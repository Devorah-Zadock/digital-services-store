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השוואת ספקים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<sst xmlns="http://schemas.openxmlformats.org/spreadsheetml/2006/main" count="18" uniqueCount="15">
  <si>
    <t xml:space="preserve">השוואת ספקים</t>
  </si>
  <si>
    <t xml:space="preserve">מלאו את התאים הצהובים (מחיר, זמן אספקה, דירוג איכות 1-5) — הציון המשוקלל וההמלצה מתעדכנים אוטומטית.</t>
  </si>
  <si>
    <t xml:space="preserve">ספק</t>
  </si>
  <si>
    <t xml:space="preserve">פריט / שירות</t>
  </si>
  <si>
    <t xml:space="preserve">מחיר (₪)</t>
  </si>
  <si>
    <t xml:space="preserve">זמן אספקה (ימים)</t>
  </si>
  <si>
    <t xml:space="preserve">דירוג איכות (1-5)</t>
  </si>
  <si>
    <t xml:space="preserve">ציון משוקלל</t>
  </si>
  <si>
    <t xml:space="preserve">ספק א'</t>
  </si>
  <si>
    <t xml:space="preserve">חומרי גלם — אריזה חודשית</t>
  </si>
  <si>
    <t xml:space="preserve">ספק ב'</t>
  </si>
  <si>
    <t xml:space="preserve">ספק ג'</t>
  </si>
  <si>
    <t xml:space="preserve">ספק ד'</t>
  </si>
  <si>
    <t xml:space="preserve">המלצה: הספק עם הציון המשוקלל הגבוה ביותר</t>
  </si>
  <si>
    <t xml:space="preserve">הספק המומלץ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</si>
</sst>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&quot; ₪&quot;"/>
    <numFmt numFmtId="166" formatCode="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22222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5C4E"/>
        <bgColor rgb="FF008080"/>
      </patternFill>
    </fill>
    <fill>
      <patternFill patternType="solid">
        <fgColor rgb="FFFFF9C4"/>
        <bgColor rgb="FFFFFF99"/>
      </patternFill>
    </fill>
    <fill>
      <patternFill patternType="solid">
        <fgColor rgb="FFC99A3B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C4E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9A3B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5" min="4" style="0" width="18"/>
    <col collapsed="false" customWidth="true" hidden="false" outlineLevel="0" max="6" min="6" style="0" width="1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2.6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4" t="s">
        <v>9</v>
      </c>
      <c r="C5" s="5" t="n">
        <v>4200</v>
      </c>
      <c r="D5" s="4" t="n">
        <v>5</v>
      </c>
      <c r="E5" s="4" t="n">
        <v>4</v>
      </c>
      <c r="F5" s="6" t="n">
        <f aca="false">(E5*10)-D5-(C5/50)</f>
        <v>-49</v>
      </c>
    </row>
    <row r="6" customFormat="false" ht="15" hidden="false" customHeight="false" outlineLevel="0" collapsed="false">
      <c r="A6" s="4" t="s">
        <v>10</v>
      </c>
      <c r="B6" s="4" t="s">
        <v>9</v>
      </c>
      <c r="C6" s="5" t="n">
        <v>3800</v>
      </c>
      <c r="D6" s="4" t="n">
        <v>9</v>
      </c>
      <c r="E6" s="4" t="n">
        <v>3</v>
      </c>
      <c r="F6" s="6" t="n">
        <f aca="false">(E6*10)-D6-(C6/50)</f>
        <v>-55</v>
      </c>
    </row>
    <row r="7" customFormat="false" ht="15" hidden="false" customHeight="false" outlineLevel="0" collapsed="false">
      <c r="A7" s="4" t="s">
        <v>11</v>
      </c>
      <c r="B7" s="4" t="s">
        <v>9</v>
      </c>
      <c r="C7" s="5" t="n">
        <v>4600</v>
      </c>
      <c r="D7" s="4" t="n">
        <v>3</v>
      </c>
      <c r="E7" s="4" t="n">
        <v>5</v>
      </c>
      <c r="F7" s="6" t="n">
        <f aca="false">(E7*10)-D7-(C7/50)</f>
        <v>-45</v>
      </c>
    </row>
    <row r="8" customFormat="false" ht="15" hidden="false" customHeight="false" outlineLevel="0" collapsed="false">
      <c r="A8" s="4" t="s">
        <v>12</v>
      </c>
      <c r="B8" s="4" t="s">
        <v>9</v>
      </c>
      <c r="C8" s="5" t="n">
        <v>3950</v>
      </c>
      <c r="D8" s="4" t="n">
        <v>7</v>
      </c>
      <c r="E8" s="4" t="n">
        <v>4</v>
      </c>
      <c r="F8" s="6" t="n">
        <f aca="false">(E8*10)-D8-(C8/50)</f>
        <v>-46</v>
      </c>
    </row>
    <row r="10" customFormat="false" ht="15" hidden="false" customHeight="false" outlineLevel="0" collapsed="false">
      <c r="A10" s="7" t="s">
        <v>13</v>
      </c>
    </row>
    <row r="11" customFormat="false" ht="15" hidden="false" customHeight="false" outlineLevel="0" collapsed="false">
      <c r="A11" s="8" t="s">
        <v>14</v>
      </c>
      <c r="B11" s="9"/>
      <c r="C11" s="9"/>
      <c r="D11" s="9"/>
      <c r="E11" s="9"/>
      <c r="F11" s="8" t="str">
        <f aca="false">INDEX(A5:A8,MATCH(MAX(F5:F8),F5:F8,0))</f>
        <v>ספק ג'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2026-09-14T13:02:20Z</dcterms:created>
  <dc:creator>openpyxl</dc:creator>
  <dc:description/>
  <dc:language>en-US</dc:language>
  <cp:lastModifiedBy/>
  <dcterms:modified xsi:type="dcterms:W3CDTF">2026-09-14T13:02:20Z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