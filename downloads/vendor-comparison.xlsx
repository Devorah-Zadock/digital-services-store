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השוואת ספקים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 &quot;₪&quot;;[Red]-#,##0 &quot;₪&quot;"/>
    <numFmt numFmtId="165" formatCode="0.0"/>
  </numFmts>
  <fonts count="9">
    <font>
      <name val="Calibri"/>
      <family val="2"/>
      <color theme="1"/>
      <sz val="11"/>
      <scheme val="minor"/>
    </font>
    <font>
      <name val="Arial"/>
      <b val="1"/>
      <color rgb="00FFFFFF"/>
      <sz val="18"/>
    </font>
    <font>
      <name val="Arial"/>
      <color rgb="00666666"/>
      <sz val="10"/>
    </font>
    <font>
      <name val="Arial"/>
      <b val="1"/>
      <color rgb="00222222"/>
      <sz val="11"/>
    </font>
    <font>
      <name val="Arial"/>
      <color rgb="000000CC"/>
      <sz val="11"/>
    </font>
    <font>
      <name val="Arial"/>
      <color rgb="00B42318"/>
      <sz val="11"/>
    </font>
    <font>
      <name val="Arial"/>
      <b val="1"/>
      <color rgb="00222222"/>
      <sz val="12"/>
    </font>
    <font>
      <name val="Arial"/>
      <b val="1"/>
      <color rgb="00FFFFFF"/>
      <sz val="11"/>
    </font>
    <font>
      <name val="Arial"/>
      <color rgb="00222222"/>
      <sz val="11"/>
    </font>
  </fonts>
  <fills count="5">
    <fill>
      <patternFill/>
    </fill>
    <fill>
      <patternFill patternType="gray125"/>
    </fill>
    <fill>
      <patternFill patternType="solid">
        <fgColor rgb="001F5C4E"/>
      </patternFill>
    </fill>
    <fill>
      <patternFill patternType="solid">
        <fgColor rgb="00FFF9C4"/>
      </patternFill>
    </fill>
    <fill>
      <patternFill patternType="solid">
        <fgColor rgb="00E8F1EE"/>
      </patternFill>
    </fill>
  </fills>
  <borders count="6">
    <border>
      <left/>
      <right/>
      <top/>
      <bottom/>
      <diagonal/>
    </border>
    <border>
      <left style="thin">
        <color rgb="00D9DED9"/>
      </left>
      <right style="thin">
        <color rgb="00D9DED9"/>
      </right>
      <top style="thin">
        <color rgb="00D9DED9"/>
      </top>
      <bottom style="thin">
        <color rgb="00D9DED9"/>
      </bottom>
    </border>
    <border>
      <left/>
      <right/>
      <top style="thin">
        <color rgb="00D9DED9"/>
      </top>
      <bottom/>
      <diagonal/>
    </border>
    <border>
      <left/>
      <right style="thin">
        <color rgb="00D9DED9"/>
      </right>
      <top style="thin">
        <color rgb="00D9DED9"/>
      </top>
      <bottom/>
      <diagonal/>
    </border>
    <border>
      <left/>
      <right/>
      <top style="thin">
        <color rgb="00D9DED9"/>
      </top>
      <bottom style="thin">
        <color rgb="00D9DED9"/>
      </bottom>
      <diagonal/>
    </border>
    <border>
      <left/>
      <right style="thin">
        <color rgb="00D9DED9"/>
      </right>
      <top style="thin">
        <color rgb="00D9DED9"/>
      </top>
      <bottom style="thin">
        <color rgb="00D9DED9"/>
      </bottom>
      <diagonal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right" vertical="center" readingOrder="2"/>
    </xf>
    <xf numFmtId="0" fontId="0" fillId="2" borderId="0" pivotButton="0" quotePrefix="0" xfId="0"/>
    <xf numFmtId="0" fontId="2" fillId="0" borderId="0" applyAlignment="1" pivotButton="0" quotePrefix="0" xfId="0">
      <alignment horizontal="right" vertical="center" wrapText="1" readingOrder="2"/>
    </xf>
    <xf numFmtId="0" fontId="3" fillId="0" borderId="1" applyAlignment="1" pivotButton="0" quotePrefix="0" xfId="0">
      <alignment horizontal="right" vertical="center" readingOrder="2"/>
    </xf>
    <xf numFmtId="9" fontId="4" fillId="3" borderId="1" applyAlignment="1" pivotButton="0" quotePrefix="0" xfId="0">
      <alignment vertical="center" readingOrder="2"/>
    </xf>
    <xf numFmtId="9" fontId="3" fillId="0" borderId="1" applyAlignment="1" pivotButton="0" quotePrefix="0" xfId="0">
      <alignment vertical="center" readingOrder="2"/>
    </xf>
    <xf numFmtId="0" fontId="3" fillId="4" borderId="1" applyAlignment="1" pivotButton="0" quotePrefix="0" xfId="0">
      <alignment horizontal="right" vertical="center" readingOrder="2"/>
    </xf>
    <xf numFmtId="0" fontId="0" fillId="0" borderId="5" pivotButton="0" quotePrefix="0" xfId="0"/>
    <xf numFmtId="0" fontId="6" fillId="4" borderId="1" applyAlignment="1" pivotButton="0" quotePrefix="0" xfId="0">
      <alignment vertical="center" readingOrder="2"/>
    </xf>
    <xf numFmtId="0" fontId="0" fillId="0" borderId="4" pivotButton="0" quotePrefix="0" xfId="0"/>
    <xf numFmtId="0" fontId="5" fillId="0" borderId="1" applyAlignment="1" pivotButton="0" quotePrefix="0" xfId="0">
      <alignment horizontal="right" vertical="center" readingOrder="2"/>
    </xf>
    <xf numFmtId="0" fontId="7" fillId="2" borderId="1" applyAlignment="1" pivotButton="0" quotePrefix="0" xfId="0">
      <alignment horizontal="center" vertical="center" wrapText="1" readingOrder="2"/>
    </xf>
    <xf numFmtId="0" fontId="4" fillId="3" borderId="1" applyAlignment="1" pivotButton="0" quotePrefix="0" xfId="0">
      <alignment horizontal="right" vertical="center" readingOrder="2"/>
    </xf>
    <xf numFmtId="164" fontId="4" fillId="3" borderId="1" applyAlignment="1" pivotButton="0" quotePrefix="0" xfId="0">
      <alignment vertical="center" readingOrder="2"/>
    </xf>
    <xf numFmtId="1" fontId="4" fillId="3" borderId="1" applyAlignment="1" pivotButton="0" quotePrefix="0" xfId="0">
      <alignment horizontal="center" vertical="center" readingOrder="2"/>
    </xf>
    <xf numFmtId="165" fontId="8" fillId="0" borderId="1" applyAlignment="1" pivotButton="0" quotePrefix="0" xfId="0">
      <alignment horizontal="center" vertical="center" readingOrder="2"/>
    </xf>
    <xf numFmtId="2" fontId="8" fillId="0" borderId="1" applyAlignment="1" pivotButton="0" quotePrefix="0" xfId="0">
      <alignment horizontal="center" vertical="center" readingOrder="2"/>
    </xf>
    <xf numFmtId="1" fontId="8" fillId="0" borderId="1" applyAlignment="1" pivotButton="0" quotePrefix="0" xfId="0">
      <alignment horizontal="center" vertical="center" readingOrder="2"/>
    </xf>
    <xf numFmtId="164" fontId="4" fillId="3" borderId="1" applyAlignment="1" pivotButton="0" quotePrefix="0" xfId="0">
      <alignment horizontal="right" vertical="center" readingOrder="2"/>
    </xf>
  </cellXfs>
  <cellStyles count="1">
    <cellStyle name="Normal" xfId="0" builtinId="0" hidden="0"/>
  </cellStyles>
  <dxfs count="1">
    <dxf>
      <font>
        <b val="1"/>
        <color rgb="001E6B3A"/>
      </font>
      <fill>
        <patternFill patternType="solid">
          <fgColor rgb="00DCF2E3"/>
          <bgColor rgb="00DCF2E3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L30"/>
  <sheetViews>
    <sheetView showGridLines="0" rightToLeft="1" zoomScale="100" workbookViewId="0">
      <pane xSplit="1" ySplit="10" topLeftCell="B11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24" customWidth="1" min="2" max="2"/>
    <col width="13" customWidth="1" min="3" max="3"/>
    <col width="12" customWidth="1" min="4" max="4"/>
    <col width="12" customWidth="1" min="5" max="5"/>
    <col width="12" customWidth="1" min="6" max="6"/>
    <col width="11" customWidth="1" min="7" max="7"/>
    <col width="11" customWidth="1" min="8" max="8"/>
    <col width="11" customWidth="1" min="9" max="9"/>
    <col width="11" customWidth="1" min="10" max="10"/>
    <col width="13" customWidth="1" min="11" max="11"/>
    <col width="9" customWidth="1" min="12" max="12"/>
  </cols>
  <sheetData>
    <row r="1" ht="34" customHeight="1">
      <c r="A1" s="1" t="inlineStr">
        <is>
          <t>השוואת ספקים — ציון משוקלל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</row>
    <row r="2" ht="30" customHeight="1">
      <c r="A2" s="3" t="inlineStr">
        <is>
          <t>קובעים כמה חשוב כל קריטריון (המשקלות בצהוב, סה״כ 100%), וממלאים לכל ספק מחיר, זמן אספקה ודירוג 1–5. הספק הזול ביותר מקבל 10 במחיר, המהיר ביותר 10 באספקה — והגיליון מדרג וממליץ.</t>
        </is>
      </c>
    </row>
    <row r="4">
      <c r="A4" s="4" t="inlineStr">
        <is>
          <t>משקל מחיר</t>
        </is>
      </c>
      <c r="B4" s="5" t="n">
        <v>0.4</v>
      </c>
      <c r="C4" s="4" t="inlineStr">
        <is>
          <t>סה״כ משקלות</t>
        </is>
      </c>
      <c r="D4" s="6">
        <f>SUM(B4:B7)</f>
        <v>1</v>
      </c>
      <c r="H4" s="7" t="inlineStr">
        <is>
          <t>הספק המומלץ</t>
        </is>
      </c>
      <c r="I4" s="8" t="n"/>
      <c r="J4" s="9" t="str">
        <f>IF(COUNT(K11:K30)=0,"",INDEX(A11:A30,MATCH(MAX(K11:K30),K11:K30,0)))</f>
        <v>ספק ג׳</v>
      </c>
      <c r="K4" s="10" t="n"/>
      <c r="L4" s="8" t="n"/>
    </row>
    <row r="5">
      <c r="A5" s="4" t="inlineStr">
        <is>
          <t>משקל זמן אספקה</t>
        </is>
      </c>
      <c r="B5" s="5" t="n">
        <v>0.2</v>
      </c>
      <c r="C5" s="11" t="str">
        <f>IF(ROUND(D4,4)&lt;&gt;1,"⚠ סה״כ המשקלות צריך להיות 100%","")</f>
        <v/>
      </c>
      <c r="D5" s="10" t="n"/>
      <c r="E5" s="10" t="n"/>
      <c r="F5" s="8" t="n"/>
    </row>
    <row r="6">
      <c r="A6" s="4" t="inlineStr">
        <is>
          <t>משקל איכות</t>
        </is>
      </c>
      <c r="B6" s="5" t="n">
        <v>0.3</v>
      </c>
    </row>
    <row r="7">
      <c r="A7" s="4" t="inlineStr">
        <is>
          <t>משקל שירות</t>
        </is>
      </c>
      <c r="B7" s="5" t="n">
        <v>0.1</v>
      </c>
    </row>
    <row r="10" ht="32" customHeight="1">
      <c r="A10" s="12" t="inlineStr">
        <is>
          <t>ספק</t>
        </is>
      </c>
      <c r="B10" s="12" t="inlineStr">
        <is>
          <t>פריט / שירות</t>
        </is>
      </c>
      <c r="C10" s="12" t="inlineStr">
        <is>
          <t>מחיר (₪)</t>
        </is>
      </c>
      <c r="D10" s="12" t="inlineStr">
        <is>
          <t>אספקה (ימים)</t>
        </is>
      </c>
      <c r="E10" s="12" t="inlineStr">
        <is>
          <t>איכות (1–5)</t>
        </is>
      </c>
      <c r="F10" s="12" t="inlineStr">
        <is>
          <t>שירות (1–5)</t>
        </is>
      </c>
      <c r="G10" s="12" t="inlineStr">
        <is>
          <t>ציון מחיר</t>
        </is>
      </c>
      <c r="H10" s="12" t="inlineStr">
        <is>
          <t>ציון אספקה</t>
        </is>
      </c>
      <c r="I10" s="12" t="inlineStr">
        <is>
          <t>ציון איכות</t>
        </is>
      </c>
      <c r="J10" s="12" t="inlineStr">
        <is>
          <t>ציון שירות</t>
        </is>
      </c>
      <c r="K10" s="12" t="inlineStr">
        <is>
          <t>ציון משוקלל</t>
        </is>
      </c>
      <c r="L10" s="12" t="inlineStr">
        <is>
          <t>דירוג</t>
        </is>
      </c>
    </row>
    <row r="11">
      <c r="A11" s="13" t="inlineStr">
        <is>
          <t>ספק א׳</t>
        </is>
      </c>
      <c r="B11" s="13" t="inlineStr">
        <is>
          <t>אריזות — הזמנה חודשית</t>
        </is>
      </c>
      <c r="C11" s="14" t="n">
        <v>4200</v>
      </c>
      <c r="D11" s="15" t="n">
        <v>5</v>
      </c>
      <c r="E11" s="15" t="n">
        <v>4</v>
      </c>
      <c r="F11" s="15" t="n">
        <v>4</v>
      </c>
      <c r="G11" s="16">
        <f>IF(OR(C11="",C11&lt;=0),"",ROUND(MIN($C$11:$C$30)/C11*10,1))</f>
        <v>9</v>
      </c>
      <c r="H11" s="16">
        <f>IF(D11="","",ROUND(IF(D11&lt;=0,10,MAX(0.5,MIN($D$11:$D$30))/MAX(0.5,D11)*10),1))</f>
        <v>6</v>
      </c>
      <c r="I11" s="16">
        <f>IF(E11="","",E11*2)</f>
        <v>8</v>
      </c>
      <c r="J11" s="16">
        <f>IF(F11="","",F11*2)</f>
        <v>8</v>
      </c>
      <c r="K11" s="17">
        <f>IF(OR(G11="",H11="",I11=""),"",ROUND(G11*$B$4+H11*$B$5+I11*$B$6+N(J11)*$B$7,2))</f>
        <v>8</v>
      </c>
      <c r="L11" s="18">
        <f>IF(K11="","",RANK(K11,$K$11:$K$30))</f>
        <v>2</v>
      </c>
    </row>
    <row r="12">
      <c r="A12" s="13" t="inlineStr">
        <is>
          <t>ספק ב׳</t>
        </is>
      </c>
      <c r="B12" s="13" t="inlineStr">
        <is>
          <t>אריזות — הזמנה חודשית</t>
        </is>
      </c>
      <c r="C12" s="14" t="n">
        <v>3800</v>
      </c>
      <c r="D12" s="15" t="n">
        <v>9</v>
      </c>
      <c r="E12" s="15" t="n">
        <v>3</v>
      </c>
      <c r="F12" s="15" t="n">
        <v>3</v>
      </c>
      <c r="G12" s="16">
        <f>IF(OR(C12="",C12&lt;=0),"",ROUND(MIN($C$11:$C$30)/C12*10,1))</f>
        <v>10</v>
      </c>
      <c r="H12" s="16">
        <f>IF(D12="","",ROUND(IF(D12&lt;=0,10,MAX(0.5,MIN($D$11:$D$30))/MAX(0.5,D12)*10),1))</f>
        <v>3.3</v>
      </c>
      <c r="I12" s="16">
        <f>IF(E12="","",E12*2)</f>
        <v>6</v>
      </c>
      <c r="J12" s="16">
        <f>IF(F12="","",F12*2)</f>
        <v>6</v>
      </c>
      <c r="K12" s="17">
        <f>IF(OR(G12="",H12="",I12=""),"",ROUND(G12*$B$4+H12*$B$5+I12*$B$6+N(J12)*$B$7,2))</f>
        <v>7.06</v>
      </c>
      <c r="L12" s="18">
        <f>IF(K12="","",RANK(K12,$K$11:$K$30))</f>
        <v>4</v>
      </c>
    </row>
    <row r="13">
      <c r="A13" s="13" t="inlineStr">
        <is>
          <t>ספק ג׳</t>
        </is>
      </c>
      <c r="B13" s="13" t="inlineStr">
        <is>
          <t>אריזות — הזמנה חודשית</t>
        </is>
      </c>
      <c r="C13" s="14" t="n">
        <v>4600</v>
      </c>
      <c r="D13" s="15" t="n">
        <v>3</v>
      </c>
      <c r="E13" s="15" t="n">
        <v>5</v>
      </c>
      <c r="F13" s="15" t="n">
        <v>5</v>
      </c>
      <c r="G13" s="16">
        <f>IF(OR(C13="",C13&lt;=0),"",ROUND(MIN($C$11:$C$30)/C13*10,1))</f>
        <v>8.3</v>
      </c>
      <c r="H13" s="16">
        <f>IF(D13="","",ROUND(IF(D13&lt;=0,10,MAX(0.5,MIN($D$11:$D$30))/MAX(0.5,D13)*10),1))</f>
        <v>10</v>
      </c>
      <c r="I13" s="16">
        <f>IF(E13="","",E13*2)</f>
        <v>10</v>
      </c>
      <c r="J13" s="16">
        <f>IF(F13="","",F13*2)</f>
        <v>10</v>
      </c>
      <c r="K13" s="17">
        <f>IF(OR(G13="",H13="",I13=""),"",ROUND(G13*$B$4+H13*$B$5+I13*$B$6+N(J13)*$B$7,2))</f>
        <v>9.32</v>
      </c>
      <c r="L13" s="18">
        <f>IF(K13="","",RANK(K13,$K$11:$K$30))</f>
        <v>1</v>
      </c>
    </row>
    <row r="14">
      <c r="A14" s="13" t="inlineStr">
        <is>
          <t>ספק ד׳</t>
        </is>
      </c>
      <c r="B14" s="13" t="inlineStr">
        <is>
          <t>אריזות — הזמנה חודשית</t>
        </is>
      </c>
      <c r="C14" s="14" t="n">
        <v>3950</v>
      </c>
      <c r="D14" s="15" t="n">
        <v>7</v>
      </c>
      <c r="E14" s="15" t="n">
        <v>4</v>
      </c>
      <c r="F14" s="15" t="n">
        <v>3</v>
      </c>
      <c r="G14" s="16">
        <f>IF(OR(C14="",C14&lt;=0),"",ROUND(MIN($C$11:$C$30)/C14*10,1))</f>
        <v>9.6</v>
      </c>
      <c r="H14" s="16">
        <f>IF(D14="","",ROUND(IF(D14&lt;=0,10,MAX(0.5,MIN($D$11:$D$30))/MAX(0.5,D14)*10),1))</f>
        <v>4.3</v>
      </c>
      <c r="I14" s="16">
        <f>IF(E14="","",E14*2)</f>
        <v>8</v>
      </c>
      <c r="J14" s="16">
        <f>IF(F14="","",F14*2)</f>
        <v>6</v>
      </c>
      <c r="K14" s="17">
        <f>IF(OR(G14="",H14="",I14=""),"",ROUND(G14*$B$4+H14*$B$5+I14*$B$6+N(J14)*$B$7,2))</f>
        <v>7.7</v>
      </c>
      <c r="L14" s="18">
        <f>IF(K14="","",RANK(K14,$K$11:$K$30))</f>
        <v>3</v>
      </c>
    </row>
    <row r="15">
      <c r="A15" s="13" t="n"/>
      <c r="B15" s="13" t="n"/>
      <c r="C15" s="19" t="n"/>
      <c r="D15" s="15" t="n"/>
      <c r="E15" s="15" t="n"/>
      <c r="F15" s="15" t="n"/>
      <c r="G15" s="16" t="str">
        <f>IF(OR(C15="",C15&lt;=0),"",ROUND(MIN($C$11:$C$30)/C15*10,1))</f>
        <v/>
      </c>
      <c r="H15" s="16" t="str">
        <f>IF(D15="","",ROUND(IF(D15&lt;=0,10,MAX(0.5,MIN($D$11:$D$30))/MAX(0.5,D15)*10),1))</f>
        <v/>
      </c>
      <c r="I15" s="16" t="str">
        <f>IF(E15="","",E15*2)</f>
        <v/>
      </c>
      <c r="J15" s="16" t="str">
        <f>IF(F15="","",F15*2)</f>
        <v/>
      </c>
      <c r="K15" s="17" t="str">
        <f>IF(OR(G15="",H15="",I15=""),"",ROUND(G15*$B$4+H15*$B$5+I15*$B$6+N(J15)*$B$7,2))</f>
        <v/>
      </c>
      <c r="L15" s="18" t="str">
        <f>IF(K15="","",RANK(K15,$K$11:$K$30))</f>
        <v/>
      </c>
    </row>
    <row r="16">
      <c r="A16" s="13" t="n"/>
      <c r="B16" s="13" t="n"/>
      <c r="C16" s="19" t="n"/>
      <c r="D16" s="15" t="n"/>
      <c r="E16" s="15" t="n"/>
      <c r="F16" s="15" t="n"/>
      <c r="G16" s="16" t="str">
        <f>IF(OR(C16="",C16&lt;=0),"",ROUND(MIN($C$11:$C$30)/C16*10,1))</f>
        <v/>
      </c>
      <c r="H16" s="16" t="str">
        <f>IF(D16="","",ROUND(IF(D16&lt;=0,10,MAX(0.5,MIN($D$11:$D$30))/MAX(0.5,D16)*10),1))</f>
        <v/>
      </c>
      <c r="I16" s="16" t="str">
        <f>IF(E16="","",E16*2)</f>
        <v/>
      </c>
      <c r="J16" s="16" t="str">
        <f>IF(F16="","",F16*2)</f>
        <v/>
      </c>
      <c r="K16" s="17" t="str">
        <f>IF(OR(G16="",H16="",I16=""),"",ROUND(G16*$B$4+H16*$B$5+I16*$B$6+N(J16)*$B$7,2))</f>
        <v/>
      </c>
      <c r="L16" s="18" t="str">
        <f>IF(K16="","",RANK(K16,$K$11:$K$30))</f>
        <v/>
      </c>
    </row>
    <row r="17">
      <c r="A17" s="13" t="n"/>
      <c r="B17" s="13" t="n"/>
      <c r="C17" s="19" t="n"/>
      <c r="D17" s="15" t="n"/>
      <c r="E17" s="15" t="n"/>
      <c r="F17" s="15" t="n"/>
      <c r="G17" s="16" t="str">
        <f>IF(OR(C17="",C17&lt;=0),"",ROUND(MIN($C$11:$C$30)/C17*10,1))</f>
        <v/>
      </c>
      <c r="H17" s="16" t="str">
        <f>IF(D17="","",ROUND(IF(D17&lt;=0,10,MAX(0.5,MIN($D$11:$D$30))/MAX(0.5,D17)*10),1))</f>
        <v/>
      </c>
      <c r="I17" s="16" t="str">
        <f>IF(E17="","",E17*2)</f>
        <v/>
      </c>
      <c r="J17" s="16" t="str">
        <f>IF(F17="","",F17*2)</f>
        <v/>
      </c>
      <c r="K17" s="17" t="str">
        <f>IF(OR(G17="",H17="",I17=""),"",ROUND(G17*$B$4+H17*$B$5+I17*$B$6+N(J17)*$B$7,2))</f>
        <v/>
      </c>
      <c r="L17" s="18" t="str">
        <f>IF(K17="","",RANK(K17,$K$11:$K$30))</f>
        <v/>
      </c>
    </row>
    <row r="18">
      <c r="A18" s="13" t="n"/>
      <c r="B18" s="13" t="n"/>
      <c r="C18" s="19" t="n"/>
      <c r="D18" s="15" t="n"/>
      <c r="E18" s="15" t="n"/>
      <c r="F18" s="15" t="n"/>
      <c r="G18" s="16" t="str">
        <f>IF(OR(C18="",C18&lt;=0),"",ROUND(MIN($C$11:$C$30)/C18*10,1))</f>
        <v/>
      </c>
      <c r="H18" s="16" t="str">
        <f>IF(D18="","",ROUND(IF(D18&lt;=0,10,MAX(0.5,MIN($D$11:$D$30))/MAX(0.5,D18)*10),1))</f>
        <v/>
      </c>
      <c r="I18" s="16" t="str">
        <f>IF(E18="","",E18*2)</f>
        <v/>
      </c>
      <c r="J18" s="16" t="str">
        <f>IF(F18="","",F18*2)</f>
        <v/>
      </c>
      <c r="K18" s="17" t="str">
        <f>IF(OR(G18="",H18="",I18=""),"",ROUND(G18*$B$4+H18*$B$5+I18*$B$6+N(J18)*$B$7,2))</f>
        <v/>
      </c>
      <c r="L18" s="18" t="str">
        <f>IF(K18="","",RANK(K18,$K$11:$K$30))</f>
        <v/>
      </c>
    </row>
    <row r="19">
      <c r="A19" s="13" t="n"/>
      <c r="B19" s="13" t="n"/>
      <c r="C19" s="19" t="n"/>
      <c r="D19" s="15" t="n"/>
      <c r="E19" s="15" t="n"/>
      <c r="F19" s="15" t="n"/>
      <c r="G19" s="16" t="str">
        <f>IF(OR(C19="",C19&lt;=0),"",ROUND(MIN($C$11:$C$30)/C19*10,1))</f>
        <v/>
      </c>
      <c r="H19" s="16" t="str">
        <f>IF(D19="","",ROUND(IF(D19&lt;=0,10,MAX(0.5,MIN($D$11:$D$30))/MAX(0.5,D19)*10),1))</f>
        <v/>
      </c>
      <c r="I19" s="16" t="str">
        <f>IF(E19="","",E19*2)</f>
        <v/>
      </c>
      <c r="J19" s="16" t="str">
        <f>IF(F19="","",F19*2)</f>
        <v/>
      </c>
      <c r="K19" s="17" t="str">
        <f>IF(OR(G19="",H19="",I19=""),"",ROUND(G19*$B$4+H19*$B$5+I19*$B$6+N(J19)*$B$7,2))</f>
        <v/>
      </c>
      <c r="L19" s="18" t="str">
        <f>IF(K19="","",RANK(K19,$K$11:$K$30))</f>
        <v/>
      </c>
    </row>
    <row r="20">
      <c r="A20" s="13" t="n"/>
      <c r="B20" s="13" t="n"/>
      <c r="C20" s="19" t="n"/>
      <c r="D20" s="15" t="n"/>
      <c r="E20" s="15" t="n"/>
      <c r="F20" s="15" t="n"/>
      <c r="G20" s="16" t="str">
        <f>IF(OR(C20="",C20&lt;=0),"",ROUND(MIN($C$11:$C$30)/C20*10,1))</f>
        <v/>
      </c>
      <c r="H20" s="16" t="str">
        <f>IF(D20="","",ROUND(IF(D20&lt;=0,10,MAX(0.5,MIN($D$11:$D$30))/MAX(0.5,D20)*10),1))</f>
        <v/>
      </c>
      <c r="I20" s="16" t="str">
        <f>IF(E20="","",E20*2)</f>
        <v/>
      </c>
      <c r="J20" s="16" t="str">
        <f>IF(F20="","",F20*2)</f>
        <v/>
      </c>
      <c r="K20" s="17" t="str">
        <f>IF(OR(G20="",H20="",I20=""),"",ROUND(G20*$B$4+H20*$B$5+I20*$B$6+N(J20)*$B$7,2))</f>
        <v/>
      </c>
      <c r="L20" s="18" t="str">
        <f>IF(K20="","",RANK(K20,$K$11:$K$30))</f>
        <v/>
      </c>
    </row>
    <row r="21">
      <c r="A21" s="13" t="n"/>
      <c r="B21" s="13" t="n"/>
      <c r="C21" s="19" t="n"/>
      <c r="D21" s="15" t="n"/>
      <c r="E21" s="15" t="n"/>
      <c r="F21" s="15" t="n"/>
      <c r="G21" s="16" t="str">
        <f>IF(OR(C21="",C21&lt;=0),"",ROUND(MIN($C$11:$C$30)/C21*10,1))</f>
        <v/>
      </c>
      <c r="H21" s="16" t="str">
        <f>IF(D21="","",ROUND(IF(D21&lt;=0,10,MAX(0.5,MIN($D$11:$D$30))/MAX(0.5,D21)*10),1))</f>
        <v/>
      </c>
      <c r="I21" s="16" t="str">
        <f>IF(E21="","",E21*2)</f>
        <v/>
      </c>
      <c r="J21" s="16" t="str">
        <f>IF(F21="","",F21*2)</f>
        <v/>
      </c>
      <c r="K21" s="17" t="str">
        <f>IF(OR(G21="",H21="",I21=""),"",ROUND(G21*$B$4+H21*$B$5+I21*$B$6+N(J21)*$B$7,2))</f>
        <v/>
      </c>
      <c r="L21" s="18" t="str">
        <f>IF(K21="","",RANK(K21,$K$11:$K$30))</f>
        <v/>
      </c>
    </row>
    <row r="22">
      <c r="A22" s="13" t="n"/>
      <c r="B22" s="13" t="n"/>
      <c r="C22" s="19" t="n"/>
      <c r="D22" s="15" t="n"/>
      <c r="E22" s="15" t="n"/>
      <c r="F22" s="15" t="n"/>
      <c r="G22" s="16" t="str">
        <f>IF(OR(C22="",C22&lt;=0),"",ROUND(MIN($C$11:$C$30)/C22*10,1))</f>
        <v/>
      </c>
      <c r="H22" s="16" t="str">
        <f>IF(D22="","",ROUND(IF(D22&lt;=0,10,MAX(0.5,MIN($D$11:$D$30))/MAX(0.5,D22)*10),1))</f>
        <v/>
      </c>
      <c r="I22" s="16" t="str">
        <f>IF(E22="","",E22*2)</f>
        <v/>
      </c>
      <c r="J22" s="16" t="str">
        <f>IF(F22="","",F22*2)</f>
        <v/>
      </c>
      <c r="K22" s="17" t="str">
        <f>IF(OR(G22="",H22="",I22=""),"",ROUND(G22*$B$4+H22*$B$5+I22*$B$6+N(J22)*$B$7,2))</f>
        <v/>
      </c>
      <c r="L22" s="18" t="str">
        <f>IF(K22="","",RANK(K22,$K$11:$K$30))</f>
        <v/>
      </c>
    </row>
    <row r="23">
      <c r="A23" s="13" t="n"/>
      <c r="B23" s="13" t="n"/>
      <c r="C23" s="19" t="n"/>
      <c r="D23" s="15" t="n"/>
      <c r="E23" s="15" t="n"/>
      <c r="F23" s="15" t="n"/>
      <c r="G23" s="16" t="str">
        <f>IF(OR(C23="",C23&lt;=0),"",ROUND(MIN($C$11:$C$30)/C23*10,1))</f>
        <v/>
      </c>
      <c r="H23" s="16" t="str">
        <f>IF(D23="","",ROUND(IF(D23&lt;=0,10,MAX(0.5,MIN($D$11:$D$30))/MAX(0.5,D23)*10),1))</f>
        <v/>
      </c>
      <c r="I23" s="16" t="str">
        <f>IF(E23="","",E23*2)</f>
        <v/>
      </c>
      <c r="J23" s="16" t="str">
        <f>IF(F23="","",F23*2)</f>
        <v/>
      </c>
      <c r="K23" s="17" t="str">
        <f>IF(OR(G23="",H23="",I23=""),"",ROUND(G23*$B$4+H23*$B$5+I23*$B$6+N(J23)*$B$7,2))</f>
        <v/>
      </c>
      <c r="L23" s="18" t="str">
        <f>IF(K23="","",RANK(K23,$K$11:$K$30))</f>
        <v/>
      </c>
    </row>
    <row r="24">
      <c r="A24" s="13" t="n"/>
      <c r="B24" s="13" t="n"/>
      <c r="C24" s="19" t="n"/>
      <c r="D24" s="15" t="n"/>
      <c r="E24" s="15" t="n"/>
      <c r="F24" s="15" t="n"/>
      <c r="G24" s="16" t="str">
        <f>IF(OR(C24="",C24&lt;=0),"",ROUND(MIN($C$11:$C$30)/C24*10,1))</f>
        <v/>
      </c>
      <c r="H24" s="16" t="str">
        <f>IF(D24="","",ROUND(IF(D24&lt;=0,10,MAX(0.5,MIN($D$11:$D$30))/MAX(0.5,D24)*10),1))</f>
        <v/>
      </c>
      <c r="I24" s="16" t="str">
        <f>IF(E24="","",E24*2)</f>
        <v/>
      </c>
      <c r="J24" s="16" t="str">
        <f>IF(F24="","",F24*2)</f>
        <v/>
      </c>
      <c r="K24" s="17" t="str">
        <f>IF(OR(G24="",H24="",I24=""),"",ROUND(G24*$B$4+H24*$B$5+I24*$B$6+N(J24)*$B$7,2))</f>
        <v/>
      </c>
      <c r="L24" s="18" t="str">
        <f>IF(K24="","",RANK(K24,$K$11:$K$30))</f>
        <v/>
      </c>
    </row>
    <row r="25">
      <c r="A25" s="13" t="n"/>
      <c r="B25" s="13" t="n"/>
      <c r="C25" s="19" t="n"/>
      <c r="D25" s="15" t="n"/>
      <c r="E25" s="15" t="n"/>
      <c r="F25" s="15" t="n"/>
      <c r="G25" s="16" t="str">
        <f>IF(OR(C25="",C25&lt;=0),"",ROUND(MIN($C$11:$C$30)/C25*10,1))</f>
        <v/>
      </c>
      <c r="H25" s="16" t="str">
        <f>IF(D25="","",ROUND(IF(D25&lt;=0,10,MAX(0.5,MIN($D$11:$D$30))/MAX(0.5,D25)*10),1))</f>
        <v/>
      </c>
      <c r="I25" s="16" t="str">
        <f>IF(E25="","",E25*2)</f>
        <v/>
      </c>
      <c r="J25" s="16" t="str">
        <f>IF(F25="","",F25*2)</f>
        <v/>
      </c>
      <c r="K25" s="17" t="str">
        <f>IF(OR(G25="",H25="",I25=""),"",ROUND(G25*$B$4+H25*$B$5+I25*$B$6+N(J25)*$B$7,2))</f>
        <v/>
      </c>
      <c r="L25" s="18" t="str">
        <f>IF(K25="","",RANK(K25,$K$11:$K$30))</f>
        <v/>
      </c>
    </row>
    <row r="26">
      <c r="A26" s="13" t="n"/>
      <c r="B26" s="13" t="n"/>
      <c r="C26" s="19" t="n"/>
      <c r="D26" s="15" t="n"/>
      <c r="E26" s="15" t="n"/>
      <c r="F26" s="15" t="n"/>
      <c r="G26" s="16" t="str">
        <f>IF(OR(C26="",C26&lt;=0),"",ROUND(MIN($C$11:$C$30)/C26*10,1))</f>
        <v/>
      </c>
      <c r="H26" s="16" t="str">
        <f>IF(D26="","",ROUND(IF(D26&lt;=0,10,MAX(0.5,MIN($D$11:$D$30))/MAX(0.5,D26)*10),1))</f>
        <v/>
      </c>
      <c r="I26" s="16" t="str">
        <f>IF(E26="","",E26*2)</f>
        <v/>
      </c>
      <c r="J26" s="16" t="str">
        <f>IF(F26="","",F26*2)</f>
        <v/>
      </c>
      <c r="K26" s="17" t="str">
        <f>IF(OR(G26="",H26="",I26=""),"",ROUND(G26*$B$4+H26*$B$5+I26*$B$6+N(J26)*$B$7,2))</f>
        <v/>
      </c>
      <c r="L26" s="18" t="str">
        <f>IF(K26="","",RANK(K26,$K$11:$K$30))</f>
        <v/>
      </c>
    </row>
    <row r="27">
      <c r="A27" s="13" t="n"/>
      <c r="B27" s="13" t="n"/>
      <c r="C27" s="19" t="n"/>
      <c r="D27" s="15" t="n"/>
      <c r="E27" s="15" t="n"/>
      <c r="F27" s="15" t="n"/>
      <c r="G27" s="16" t="str">
        <f>IF(OR(C27="",C27&lt;=0),"",ROUND(MIN($C$11:$C$30)/C27*10,1))</f>
        <v/>
      </c>
      <c r="H27" s="16" t="str">
        <f>IF(D27="","",ROUND(IF(D27&lt;=0,10,MAX(0.5,MIN($D$11:$D$30))/MAX(0.5,D27)*10),1))</f>
        <v/>
      </c>
      <c r="I27" s="16" t="str">
        <f>IF(E27="","",E27*2)</f>
        <v/>
      </c>
      <c r="J27" s="16" t="str">
        <f>IF(F27="","",F27*2)</f>
        <v/>
      </c>
      <c r="K27" s="17" t="str">
        <f>IF(OR(G27="",H27="",I27=""),"",ROUND(G27*$B$4+H27*$B$5+I27*$B$6+N(J27)*$B$7,2))</f>
        <v/>
      </c>
      <c r="L27" s="18" t="str">
        <f>IF(K27="","",RANK(K27,$K$11:$K$30))</f>
        <v/>
      </c>
    </row>
    <row r="28">
      <c r="A28" s="13" t="n"/>
      <c r="B28" s="13" t="n"/>
      <c r="C28" s="19" t="n"/>
      <c r="D28" s="15" t="n"/>
      <c r="E28" s="15" t="n"/>
      <c r="F28" s="15" t="n"/>
      <c r="G28" s="16" t="str">
        <f>IF(OR(C28="",C28&lt;=0),"",ROUND(MIN($C$11:$C$30)/C28*10,1))</f>
        <v/>
      </c>
      <c r="H28" s="16" t="str">
        <f>IF(D28="","",ROUND(IF(D28&lt;=0,10,MAX(0.5,MIN($D$11:$D$30))/MAX(0.5,D28)*10),1))</f>
        <v/>
      </c>
      <c r="I28" s="16" t="str">
        <f>IF(E28="","",E28*2)</f>
        <v/>
      </c>
      <c r="J28" s="16" t="str">
        <f>IF(F28="","",F28*2)</f>
        <v/>
      </c>
      <c r="K28" s="17" t="str">
        <f>IF(OR(G28="",H28="",I28=""),"",ROUND(G28*$B$4+H28*$B$5+I28*$B$6+N(J28)*$B$7,2))</f>
        <v/>
      </c>
      <c r="L28" s="18" t="str">
        <f>IF(K28="","",RANK(K28,$K$11:$K$30))</f>
        <v/>
      </c>
    </row>
    <row r="29">
      <c r="A29" s="13" t="n"/>
      <c r="B29" s="13" t="n"/>
      <c r="C29" s="19" t="n"/>
      <c r="D29" s="15" t="n"/>
      <c r="E29" s="15" t="n"/>
      <c r="F29" s="15" t="n"/>
      <c r="G29" s="16" t="str">
        <f>IF(OR(C29="",C29&lt;=0),"",ROUND(MIN($C$11:$C$30)/C29*10,1))</f>
        <v/>
      </c>
      <c r="H29" s="16" t="str">
        <f>IF(D29="","",ROUND(IF(D29&lt;=0,10,MAX(0.5,MIN($D$11:$D$30))/MAX(0.5,D29)*10),1))</f>
        <v/>
      </c>
      <c r="I29" s="16" t="str">
        <f>IF(E29="","",E29*2)</f>
        <v/>
      </c>
      <c r="J29" s="16" t="str">
        <f>IF(F29="","",F29*2)</f>
        <v/>
      </c>
      <c r="K29" s="17" t="str">
        <f>IF(OR(G29="",H29="",I29=""),"",ROUND(G29*$B$4+H29*$B$5+I29*$B$6+N(J29)*$B$7,2))</f>
        <v/>
      </c>
      <c r="L29" s="18" t="str">
        <f>IF(K29="","",RANK(K29,$K$11:$K$30))</f>
        <v/>
      </c>
    </row>
    <row r="30">
      <c r="A30" s="13" t="n"/>
      <c r="B30" s="13" t="n"/>
      <c r="C30" s="19" t="n"/>
      <c r="D30" s="15" t="n"/>
      <c r="E30" s="15" t="n"/>
      <c r="F30" s="15" t="n"/>
      <c r="G30" s="16" t="str">
        <f>IF(OR(C30="",C30&lt;=0),"",ROUND(MIN($C$11:$C$30)/C30*10,1))</f>
        <v/>
      </c>
      <c r="H30" s="16" t="str">
        <f>IF(D30="","",ROUND(IF(D30&lt;=0,10,MAX(0.5,MIN($D$11:$D$30))/MAX(0.5,D30)*10),1))</f>
        <v/>
      </c>
      <c r="I30" s="16" t="str">
        <f>IF(E30="","",E30*2)</f>
        <v/>
      </c>
      <c r="J30" s="16" t="str">
        <f>IF(F30="","",F30*2)</f>
        <v/>
      </c>
      <c r="K30" s="17" t="str">
        <f>IF(OR(G30="",H30="",I30=""),"",ROUND(G30*$B$4+H30*$B$5+I30*$B$6+N(J30)*$B$7,2))</f>
        <v/>
      </c>
      <c r="L30" s="18" t="str">
        <f>IF(K30="","",RANK(K30,$K$11:$K$30))</f>
        <v/>
      </c>
    </row>
  </sheetData>
  <mergeCells count="5">
    <mergeCell ref="A2:L2"/>
    <mergeCell ref="A1:L1"/>
    <mergeCell ref="J4:L4"/>
    <mergeCell ref="H4:I4"/>
    <mergeCell ref="C5:F5"/>
  </mergeCells>
  <conditionalFormatting sqref="A11:L30">
    <cfRule type="expression" priority="1" dxfId="0">
      <formula>$L11=1</formula>
    </cfRule>
  </conditionalFormatting>
  <dataValidations count="1">
    <dataValidation sqref="E11:F30" showDropDown="0" showInputMessage="0" showErrorMessage="0" allowBlank="1" error="דירוג בין 1 ל־5" type="whole" errorStyle="warning" operator="between">
      <formula1>1</formula1>
      <formula2>5</formula2>
    </dataValidation>
  </dataValidations>
  <printOptions horizontalCentered="1"/>
  <pageMargins left="0.4" right="0.4" top="1" bottom="1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2026-10-13T06:02:04Z</dcterms:created>
  <dcterms:modified xmlns:dcterms="http://purl.org/dc/terms/" xmlns:xsi="http://www.w3.org/2001/XMLSchema-instance" xsi:type="dcterms:W3CDTF">2026-10-13T06:02:04Z</dcterms:modified>
</cp:coreProperties>
</file>