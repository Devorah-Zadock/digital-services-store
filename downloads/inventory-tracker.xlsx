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לאי" sheetId="1" state="visible" r:id="rId1"/>
  </sheets>
  <definedNames>
    <definedName name="_xlnm._FilterDatabase" localSheetId="0" hidden="1">'מלאי'!$A$9:$L$509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₪&quot;;[Red]-#,##0 &quot;₪&quot;"/>
    <numFmt numFmtId="165" formatCode="#,##0.00 &quot;₪&quot;;[Red]-#,##0.00 &quot;₪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0000CC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E8F1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readingOrder="2"/>
    </xf>
    <xf numFmtId="164" fontId="4" fillId="3" borderId="1" applyAlignment="1" pivotButton="0" quotePrefix="0" xfId="0">
      <alignment vertical="center" readingOrder="2"/>
    </xf>
    <xf numFmtId="3" fontId="4" fillId="3" borderId="1" applyAlignment="1" pivotButton="0" quotePrefix="0" xfId="0">
      <alignment vertical="center" readingOrder="2"/>
    </xf>
    <xf numFmtId="0" fontId="5" fillId="2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right" vertical="center" readingOrder="2"/>
    </xf>
    <xf numFmtId="0" fontId="6" fillId="4" borderId="1" applyAlignment="1" pivotButton="0" quotePrefix="0" xfId="0">
      <alignment horizontal="center" vertical="center" readingOrder="2"/>
    </xf>
    <xf numFmtId="3" fontId="6" fillId="4" borderId="1" applyAlignment="1" pivotButton="0" quotePrefix="0" xfId="0">
      <alignment vertical="center" readingOrder="2"/>
    </xf>
    <xf numFmtId="3" fontId="7" fillId="0" borderId="1" applyAlignment="1" pivotButton="0" quotePrefix="0" xfId="0">
      <alignment vertical="center" readingOrder="2"/>
    </xf>
    <xf numFmtId="165" fontId="6" fillId="4" borderId="1" applyAlignment="1" pivotButton="0" quotePrefix="0" xfId="0">
      <alignment vertical="center" readingOrder="2"/>
    </xf>
    <xf numFmtId="164" fontId="7" fillId="0" borderId="1" applyAlignment="1" pivotButton="0" quotePrefix="0" xfId="0">
      <alignment vertical="center" readingOrder="2"/>
    </xf>
    <xf numFmtId="0" fontId="7" fillId="0" borderId="1" applyAlignment="1" pivotButton="0" quotePrefix="0" xfId="0">
      <alignment horizontal="center" vertical="center" readingOrder="2"/>
    </xf>
    <xf numFmtId="3" fontId="6" fillId="4" borderId="1" applyAlignment="1" pivotButton="0" quotePrefix="0" xfId="0">
      <alignment horizontal="right" vertical="center" readingOrder="2"/>
    </xf>
    <xf numFmtId="165" fontId="6" fillId="4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4">
    <dxf>
      <font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9"/>
  <sheetViews>
    <sheetView showGridLines="0" rightToLeft="1" zoomScale="10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6" customWidth="1" min="4" max="4"/>
    <col width="11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4" customWidth="1" min="11" max="11"/>
    <col width="13" customWidth="1" min="12" max="12"/>
  </cols>
  <sheetData>
    <row r="1" ht="34" customHeight="1">
      <c r="A1" s="1" t="inlineStr">
        <is>
          <t>מעקב מלאי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לכל פריט: כמות במלאי, מתי להזמין שוב (נקודת הזמנה), עלות ומחיר. שווי המלאי, הכמות המומלצת להזמנה והסטטוס מחושבים לבד — פריט שנגמר או צריך הזמנה נצבע.</t>
        </is>
      </c>
    </row>
    <row r="4">
      <c r="A4" s="4" t="inlineStr">
        <is>
          <t>שווי מלאי (עלות) (₪)</t>
        </is>
      </c>
      <c r="B4" s="5">
        <f>SUM($J$10:$J$509)</f>
        <v>6040</v>
      </c>
    </row>
    <row r="5">
      <c r="A5" s="4" t="inlineStr">
        <is>
          <t>שווי מלאי (מחיר מכירה) (₪)</t>
        </is>
      </c>
      <c r="B5" s="5">
        <f>SUM($K$10:$K$509)</f>
        <v>14012</v>
      </c>
    </row>
    <row r="6">
      <c r="A6" s="4" t="inlineStr">
        <is>
          <t>פריטים להזמנה</t>
        </is>
      </c>
      <c r="B6" s="6">
        <f>COUNTIF($L$10:$L$509,"להזמין")</f>
        <v>2</v>
      </c>
    </row>
    <row r="7">
      <c r="A7" s="4" t="inlineStr">
        <is>
          <t>פריטים שאזלו</t>
        </is>
      </c>
      <c r="B7" s="6">
        <f>COUNTIF($L$10:$L$509,"אזל")</f>
        <v>1</v>
      </c>
    </row>
    <row r="9" ht="32" customHeight="1">
      <c r="A9" s="7" t="inlineStr">
        <is>
          <t>פריט</t>
        </is>
      </c>
      <c r="B9" s="7" t="inlineStr">
        <is>
          <t>מק״ט</t>
        </is>
      </c>
      <c r="C9" s="7" t="inlineStr">
        <is>
          <t>קטגוריה</t>
        </is>
      </c>
      <c r="D9" s="7" t="inlineStr">
        <is>
          <t>ספק</t>
        </is>
      </c>
      <c r="E9" s="7" t="inlineStr">
        <is>
          <t>כמות במלאי</t>
        </is>
      </c>
      <c r="F9" s="7" t="inlineStr">
        <is>
          <t>נקודת הזמנה</t>
        </is>
      </c>
      <c r="G9" s="7" t="inlineStr">
        <is>
          <t>להזמין (מומלץ)</t>
        </is>
      </c>
      <c r="H9" s="7" t="inlineStr">
        <is>
          <t>עלות ליחידה (₪)</t>
        </is>
      </c>
      <c r="I9" s="7" t="inlineStr">
        <is>
          <t>מחיר מכירה (₪)</t>
        </is>
      </c>
      <c r="J9" s="7" t="inlineStr">
        <is>
          <t>שווי בעלות (₪)</t>
        </is>
      </c>
      <c r="K9" s="7" t="inlineStr">
        <is>
          <t>שווי במכירה (₪)</t>
        </is>
      </c>
      <c r="L9" s="7" t="inlineStr">
        <is>
          <t>סטטוס</t>
        </is>
      </c>
    </row>
    <row r="10">
      <c r="A10" s="8" t="inlineStr">
        <is>
          <t>חולצת כותנה לבנה</t>
        </is>
      </c>
      <c r="B10" s="9" t="inlineStr">
        <is>
          <t>SKU-1001</t>
        </is>
      </c>
      <c r="C10" s="8" t="inlineStr">
        <is>
          <t>ביגוד</t>
        </is>
      </c>
      <c r="D10" s="8" t="inlineStr">
        <is>
          <t>ספק א׳</t>
        </is>
      </c>
      <c r="E10" s="10" t="n">
        <v>42</v>
      </c>
      <c r="F10" s="10" t="n">
        <v>15</v>
      </c>
      <c r="G10" s="11">
        <f>IF(OR(E10="",F10=""),"",IF(E10&lt;=F10,F10*2-E10,0))</f>
        <v>0</v>
      </c>
      <c r="H10" s="12" t="n">
        <v>35</v>
      </c>
      <c r="I10" s="12" t="n">
        <v>89</v>
      </c>
      <c r="J10" s="13">
        <f>IF(OR(E10="",H10=""),"",E10*H10)</f>
        <v>1470</v>
      </c>
      <c r="K10" s="13">
        <f>IF(OR(E10="",I10=""),"",E10*I10)</f>
        <v>3738</v>
      </c>
      <c r="L10" s="14" t="str">
        <f>IF(OR(A10="",E10=""),"",IF(E10&lt;=0,"אזל",IF(E10&lt;=N(F10),"להזמין","תקין")))</f>
        <v>תקין</v>
      </c>
    </row>
    <row r="11">
      <c r="A11" s="8" t="inlineStr">
        <is>
          <t>חולצת כותנה שחורה</t>
        </is>
      </c>
      <c r="B11" s="9" t="inlineStr">
        <is>
          <t>SKU-1002</t>
        </is>
      </c>
      <c r="C11" s="8" t="inlineStr">
        <is>
          <t>ביגוד</t>
        </is>
      </c>
      <c r="D11" s="8" t="inlineStr">
        <is>
          <t>ספק א׳</t>
        </is>
      </c>
      <c r="E11" s="10" t="n">
        <v>8</v>
      </c>
      <c r="F11" s="10" t="n">
        <v>15</v>
      </c>
      <c r="G11" s="11">
        <f>IF(OR(E11="",F11=""),"",IF(E11&lt;=F11,F11*2-E11,0))</f>
        <v>22</v>
      </c>
      <c r="H11" s="12" t="n">
        <v>35</v>
      </c>
      <c r="I11" s="12" t="n">
        <v>89</v>
      </c>
      <c r="J11" s="13">
        <f>IF(OR(E11="",H11=""),"",E11*H11)</f>
        <v>280</v>
      </c>
      <c r="K11" s="13">
        <f>IF(OR(E11="",I11=""),"",E11*I11)</f>
        <v>712</v>
      </c>
      <c r="L11" s="14" t="str">
        <f>IF(OR(A11="",E11=""),"",IF(E11&lt;=0,"אזל",IF(E11&lt;=N(F11),"להזמין","תקין")))</f>
        <v>להזמין</v>
      </c>
    </row>
    <row r="12">
      <c r="A12" s="8" t="inlineStr">
        <is>
          <t>מכנסי ג׳ינס</t>
        </is>
      </c>
      <c r="B12" s="9" t="inlineStr">
        <is>
          <t>SKU-1003</t>
        </is>
      </c>
      <c r="C12" s="8" t="inlineStr">
        <is>
          <t>ביגוד</t>
        </is>
      </c>
      <c r="D12" s="8" t="inlineStr">
        <is>
          <t>ספק ב׳</t>
        </is>
      </c>
      <c r="E12" s="10" t="n">
        <v>25</v>
      </c>
      <c r="F12" s="10" t="n">
        <v>10</v>
      </c>
      <c r="G12" s="11">
        <f>IF(OR(E12="",F12=""),"",IF(E12&lt;=F12,F12*2-E12,0))</f>
        <v>0</v>
      </c>
      <c r="H12" s="12" t="n">
        <v>90</v>
      </c>
      <c r="I12" s="12" t="n">
        <v>199</v>
      </c>
      <c r="J12" s="13">
        <f>IF(OR(E12="",H12=""),"",E12*H12)</f>
        <v>2250</v>
      </c>
      <c r="K12" s="13">
        <f>IF(OR(E12="",I12=""),"",E12*I12)</f>
        <v>4975</v>
      </c>
      <c r="L12" s="14" t="str">
        <f>IF(OR(A12="",E12=""),"",IF(E12&lt;=0,"אזל",IF(E12&lt;=N(F12),"להזמין","תקין")))</f>
        <v>תקין</v>
      </c>
    </row>
    <row r="13">
      <c r="A13" s="8" t="inlineStr">
        <is>
          <t>נעלי ספורט</t>
        </is>
      </c>
      <c r="B13" s="9" t="inlineStr">
        <is>
          <t>SKU-1004</t>
        </is>
      </c>
      <c r="C13" s="8" t="inlineStr">
        <is>
          <t>הנעלה</t>
        </is>
      </c>
      <c r="D13" s="8" t="inlineStr">
        <is>
          <t>ספק ג׳</t>
        </is>
      </c>
      <c r="E13" s="10" t="n">
        <v>0</v>
      </c>
      <c r="F13" s="10" t="n">
        <v>8</v>
      </c>
      <c r="G13" s="11">
        <f>IF(OR(E13="",F13=""),"",IF(E13&lt;=F13,F13*2-E13,0))</f>
        <v>16</v>
      </c>
      <c r="H13" s="12" t="n">
        <v>140</v>
      </c>
      <c r="I13" s="12" t="n">
        <v>329</v>
      </c>
      <c r="J13" s="13">
        <f>IF(OR(E13="",H13=""),"",E13*H13)</f>
        <v>0</v>
      </c>
      <c r="K13" s="13">
        <f>IF(OR(E13="",I13=""),"",E13*I13)</f>
        <v>0</v>
      </c>
      <c r="L13" s="14" t="str">
        <f>IF(OR(A13="",E13=""),"",IF(E13&lt;=0,"אזל",IF(E13&lt;=N(F13),"להזמין","תקין")))</f>
        <v>אזל</v>
      </c>
    </row>
    <row r="14">
      <c r="A14" s="8" t="inlineStr">
        <is>
          <t>כובע מצחייה</t>
        </is>
      </c>
      <c r="B14" s="9" t="inlineStr">
        <is>
          <t>SKU-1005</t>
        </is>
      </c>
      <c r="C14" s="8" t="inlineStr">
        <is>
          <t>אביזרים</t>
        </is>
      </c>
      <c r="D14" s="8" t="inlineStr">
        <is>
          <t>ספק ב׳</t>
        </is>
      </c>
      <c r="E14" s="10" t="n">
        <v>60</v>
      </c>
      <c r="F14" s="10" t="n">
        <v>20</v>
      </c>
      <c r="G14" s="11">
        <f>IF(OR(E14="",F14=""),"",IF(E14&lt;=F14,F14*2-E14,0))</f>
        <v>0</v>
      </c>
      <c r="H14" s="12" t="n">
        <v>25</v>
      </c>
      <c r="I14" s="12" t="n">
        <v>59</v>
      </c>
      <c r="J14" s="13">
        <f>IF(OR(E14="",H14=""),"",E14*H14)</f>
        <v>1500</v>
      </c>
      <c r="K14" s="13">
        <f>IF(OR(E14="",I14=""),"",E14*I14)</f>
        <v>3540</v>
      </c>
      <c r="L14" s="14" t="str">
        <f>IF(OR(A14="",E14=""),"",IF(E14&lt;=0,"אזל",IF(E14&lt;=N(F14),"להזמין","תקין")))</f>
        <v>תקין</v>
      </c>
    </row>
    <row r="15">
      <c r="A15" s="8" t="inlineStr">
        <is>
          <t>תיק גב</t>
        </is>
      </c>
      <c r="B15" s="9" t="inlineStr">
        <is>
          <t>SKU-1006</t>
        </is>
      </c>
      <c r="C15" s="8" t="inlineStr">
        <is>
          <t>אביזרים</t>
        </is>
      </c>
      <c r="D15" s="8" t="inlineStr">
        <is>
          <t>ספק ג׳</t>
        </is>
      </c>
      <c r="E15" s="10" t="n">
        <v>3</v>
      </c>
      <c r="F15" s="10" t="n">
        <v>5</v>
      </c>
      <c r="G15" s="11">
        <f>IF(OR(E15="",F15=""),"",IF(E15&lt;=F15,F15*2-E15,0))</f>
        <v>7</v>
      </c>
      <c r="H15" s="12" t="n">
        <v>180</v>
      </c>
      <c r="I15" s="12" t="n">
        <v>349</v>
      </c>
      <c r="J15" s="13">
        <f>IF(OR(E15="",H15=""),"",E15*H15)</f>
        <v>540</v>
      </c>
      <c r="K15" s="13">
        <f>IF(OR(E15="",I15=""),"",E15*I15)</f>
        <v>1047</v>
      </c>
      <c r="L15" s="14" t="str">
        <f>IF(OR(A15="",E15=""),"",IF(E15&lt;=0,"אזל",IF(E15&lt;=N(F15),"להזמין","תקין")))</f>
        <v>להזמין</v>
      </c>
    </row>
    <row r="16">
      <c r="A16" s="8" t="n"/>
      <c r="B16" s="9" t="n"/>
      <c r="C16" s="8" t="n"/>
      <c r="D16" s="8" t="n"/>
      <c r="E16" s="15" t="n"/>
      <c r="F16" s="15" t="n"/>
      <c r="G16" s="11" t="str">
        <f>IF(OR(E16="",F16=""),"",IF(E16&lt;=F16,F16*2-E16,0))</f>
        <v/>
      </c>
      <c r="H16" s="16" t="n"/>
      <c r="I16" s="16" t="n"/>
      <c r="J16" s="13" t="str">
        <f>IF(OR(E16="",H16=""),"",E16*H16)</f>
        <v/>
      </c>
      <c r="K16" s="13" t="str">
        <f>IF(OR(E16="",I16=""),"",E16*I16)</f>
        <v/>
      </c>
      <c r="L16" s="14" t="str">
        <f>IF(OR(A16="",E16=""),"",IF(E16&lt;=0,"אזל",IF(E16&lt;=N(F16),"להזמין","תקין")))</f>
        <v/>
      </c>
    </row>
    <row r="17">
      <c r="A17" s="8" t="n"/>
      <c r="B17" s="9" t="n"/>
      <c r="C17" s="8" t="n"/>
      <c r="D17" s="8" t="n"/>
      <c r="E17" s="15" t="n"/>
      <c r="F17" s="15" t="n"/>
      <c r="G17" s="11" t="str">
        <f>IF(OR(E17="",F17=""),"",IF(E17&lt;=F17,F17*2-E17,0))</f>
        <v/>
      </c>
      <c r="H17" s="16" t="n"/>
      <c r="I17" s="16" t="n"/>
      <c r="J17" s="13" t="str">
        <f>IF(OR(E17="",H17=""),"",E17*H17)</f>
        <v/>
      </c>
      <c r="K17" s="13" t="str">
        <f>IF(OR(E17="",I17=""),"",E17*I17)</f>
        <v/>
      </c>
      <c r="L17" s="14" t="str">
        <f>IF(OR(A17="",E17=""),"",IF(E17&lt;=0,"אזל",IF(E17&lt;=N(F17),"להזמין","תקין")))</f>
        <v/>
      </c>
    </row>
    <row r="18">
      <c r="A18" s="8" t="n"/>
      <c r="B18" s="9" t="n"/>
      <c r="C18" s="8" t="n"/>
      <c r="D18" s="8" t="n"/>
      <c r="E18" s="15" t="n"/>
      <c r="F18" s="15" t="n"/>
      <c r="G18" s="11" t="str">
        <f>IF(OR(E18="",F18=""),"",IF(E18&lt;=F18,F18*2-E18,0))</f>
        <v/>
      </c>
      <c r="H18" s="16" t="n"/>
      <c r="I18" s="16" t="n"/>
      <c r="J18" s="13" t="str">
        <f>IF(OR(E18="",H18=""),"",E18*H18)</f>
        <v/>
      </c>
      <c r="K18" s="13" t="str">
        <f>IF(OR(E18="",I18=""),"",E18*I18)</f>
        <v/>
      </c>
      <c r="L18" s="14" t="str">
        <f>IF(OR(A18="",E18=""),"",IF(E18&lt;=0,"אזל",IF(E18&lt;=N(F18),"להזמין","תקין")))</f>
        <v/>
      </c>
    </row>
    <row r="19">
      <c r="A19" s="8" t="n"/>
      <c r="B19" s="9" t="n"/>
      <c r="C19" s="8" t="n"/>
      <c r="D19" s="8" t="n"/>
      <c r="E19" s="15" t="n"/>
      <c r="F19" s="15" t="n"/>
      <c r="G19" s="11" t="str">
        <f>IF(OR(E19="",F19=""),"",IF(E19&lt;=F19,F19*2-E19,0))</f>
        <v/>
      </c>
      <c r="H19" s="16" t="n"/>
      <c r="I19" s="16" t="n"/>
      <c r="J19" s="13" t="str">
        <f>IF(OR(E19="",H19=""),"",E19*H19)</f>
        <v/>
      </c>
      <c r="K19" s="13" t="str">
        <f>IF(OR(E19="",I19=""),"",E19*I19)</f>
        <v/>
      </c>
      <c r="L19" s="14" t="str">
        <f>IF(OR(A19="",E19=""),"",IF(E19&lt;=0,"אזל",IF(E19&lt;=N(F19),"להזמין","תקין")))</f>
        <v/>
      </c>
    </row>
    <row r="20">
      <c r="A20" s="8" t="n"/>
      <c r="B20" s="9" t="n"/>
      <c r="C20" s="8" t="n"/>
      <c r="D20" s="8" t="n"/>
      <c r="E20" s="15" t="n"/>
      <c r="F20" s="15" t="n"/>
      <c r="G20" s="11" t="str">
        <f>IF(OR(E20="",F20=""),"",IF(E20&lt;=F20,F20*2-E20,0))</f>
        <v/>
      </c>
      <c r="H20" s="16" t="n"/>
      <c r="I20" s="16" t="n"/>
      <c r="J20" s="13" t="str">
        <f>IF(OR(E20="",H20=""),"",E20*H20)</f>
        <v/>
      </c>
      <c r="K20" s="13" t="str">
        <f>IF(OR(E20="",I20=""),"",E20*I20)</f>
        <v/>
      </c>
      <c r="L20" s="14" t="str">
        <f>IF(OR(A20="",E20=""),"",IF(E20&lt;=0,"אזל",IF(E20&lt;=N(F20),"להזמין","תקין")))</f>
        <v/>
      </c>
    </row>
    <row r="21">
      <c r="A21" s="8" t="n"/>
      <c r="B21" s="9" t="n"/>
      <c r="C21" s="8" t="n"/>
      <c r="D21" s="8" t="n"/>
      <c r="E21" s="15" t="n"/>
      <c r="F21" s="15" t="n"/>
      <c r="G21" s="11" t="str">
        <f>IF(OR(E21="",F21=""),"",IF(E21&lt;=F21,F21*2-E21,0))</f>
        <v/>
      </c>
      <c r="H21" s="16" t="n"/>
      <c r="I21" s="16" t="n"/>
      <c r="J21" s="13" t="str">
        <f>IF(OR(E21="",H21=""),"",E21*H21)</f>
        <v/>
      </c>
      <c r="K21" s="13" t="str">
        <f>IF(OR(E21="",I21=""),"",E21*I21)</f>
        <v/>
      </c>
      <c r="L21" s="14" t="str">
        <f>IF(OR(A21="",E21=""),"",IF(E21&lt;=0,"אזל",IF(E21&lt;=N(F21),"להזמין","תקין")))</f>
        <v/>
      </c>
    </row>
    <row r="22">
      <c r="A22" s="8" t="n"/>
      <c r="B22" s="9" t="n"/>
      <c r="C22" s="8" t="n"/>
      <c r="D22" s="8" t="n"/>
      <c r="E22" s="15" t="n"/>
      <c r="F22" s="15" t="n"/>
      <c r="G22" s="11" t="str">
        <f>IF(OR(E22="",F22=""),"",IF(E22&lt;=F22,F22*2-E22,0))</f>
        <v/>
      </c>
      <c r="H22" s="16" t="n"/>
      <c r="I22" s="16" t="n"/>
      <c r="J22" s="13" t="str">
        <f>IF(OR(E22="",H22=""),"",E22*H22)</f>
        <v/>
      </c>
      <c r="K22" s="13" t="str">
        <f>IF(OR(E22="",I22=""),"",E22*I22)</f>
        <v/>
      </c>
      <c r="L22" s="14" t="str">
        <f>IF(OR(A22="",E22=""),"",IF(E22&lt;=0,"אזל",IF(E22&lt;=N(F22),"להזמין","תקין")))</f>
        <v/>
      </c>
    </row>
    <row r="23">
      <c r="A23" s="8" t="n"/>
      <c r="B23" s="9" t="n"/>
      <c r="C23" s="8" t="n"/>
      <c r="D23" s="8" t="n"/>
      <c r="E23" s="15" t="n"/>
      <c r="F23" s="15" t="n"/>
      <c r="G23" s="11" t="str">
        <f>IF(OR(E23="",F23=""),"",IF(E23&lt;=F23,F23*2-E23,0))</f>
        <v/>
      </c>
      <c r="H23" s="16" t="n"/>
      <c r="I23" s="16" t="n"/>
      <c r="J23" s="13" t="str">
        <f>IF(OR(E23="",H23=""),"",E23*H23)</f>
        <v/>
      </c>
      <c r="K23" s="13" t="str">
        <f>IF(OR(E23="",I23=""),"",E23*I23)</f>
        <v/>
      </c>
      <c r="L23" s="14" t="str">
        <f>IF(OR(A23="",E23=""),"",IF(E23&lt;=0,"אזל",IF(E23&lt;=N(F23),"להזמין","תקין")))</f>
        <v/>
      </c>
    </row>
    <row r="24">
      <c r="A24" s="8" t="n"/>
      <c r="B24" s="9" t="n"/>
      <c r="C24" s="8" t="n"/>
      <c r="D24" s="8" t="n"/>
      <c r="E24" s="15" t="n"/>
      <c r="F24" s="15" t="n"/>
      <c r="G24" s="11" t="str">
        <f>IF(OR(E24="",F24=""),"",IF(E24&lt;=F24,F24*2-E24,0))</f>
        <v/>
      </c>
      <c r="H24" s="16" t="n"/>
      <c r="I24" s="16" t="n"/>
      <c r="J24" s="13" t="str">
        <f>IF(OR(E24="",H24=""),"",E24*H24)</f>
        <v/>
      </c>
      <c r="K24" s="13" t="str">
        <f>IF(OR(E24="",I24=""),"",E24*I24)</f>
        <v/>
      </c>
      <c r="L24" s="14" t="str">
        <f>IF(OR(A24="",E24=""),"",IF(E24&lt;=0,"אזל",IF(E24&lt;=N(F24),"להזמין","תקין")))</f>
        <v/>
      </c>
    </row>
    <row r="25">
      <c r="A25" s="8" t="n"/>
      <c r="B25" s="9" t="n"/>
      <c r="C25" s="8" t="n"/>
      <c r="D25" s="8" t="n"/>
      <c r="E25" s="15" t="n"/>
      <c r="F25" s="15" t="n"/>
      <c r="G25" s="11" t="str">
        <f>IF(OR(E25="",F25=""),"",IF(E25&lt;=F25,F25*2-E25,0))</f>
        <v/>
      </c>
      <c r="H25" s="16" t="n"/>
      <c r="I25" s="16" t="n"/>
      <c r="J25" s="13" t="str">
        <f>IF(OR(E25="",H25=""),"",E25*H25)</f>
        <v/>
      </c>
      <c r="K25" s="13" t="str">
        <f>IF(OR(E25="",I25=""),"",E25*I25)</f>
        <v/>
      </c>
      <c r="L25" s="14" t="str">
        <f>IF(OR(A25="",E25=""),"",IF(E25&lt;=0,"אזל",IF(E25&lt;=N(F25),"להזמין","תקין")))</f>
        <v/>
      </c>
    </row>
    <row r="26">
      <c r="A26" s="8" t="n"/>
      <c r="B26" s="9" t="n"/>
      <c r="C26" s="8" t="n"/>
      <c r="D26" s="8" t="n"/>
      <c r="E26" s="15" t="n"/>
      <c r="F26" s="15" t="n"/>
      <c r="G26" s="11" t="str">
        <f>IF(OR(E26="",F26=""),"",IF(E26&lt;=F26,F26*2-E26,0))</f>
        <v/>
      </c>
      <c r="H26" s="16" t="n"/>
      <c r="I26" s="16" t="n"/>
      <c r="J26" s="13" t="str">
        <f>IF(OR(E26="",H26=""),"",E26*H26)</f>
        <v/>
      </c>
      <c r="K26" s="13" t="str">
        <f>IF(OR(E26="",I26=""),"",E26*I26)</f>
        <v/>
      </c>
      <c r="L26" s="14" t="str">
        <f>IF(OR(A26="",E26=""),"",IF(E26&lt;=0,"אזל",IF(E26&lt;=N(F26),"להזמין","תקין")))</f>
        <v/>
      </c>
    </row>
    <row r="27">
      <c r="A27" s="8" t="n"/>
      <c r="B27" s="9" t="n"/>
      <c r="C27" s="8" t="n"/>
      <c r="D27" s="8" t="n"/>
      <c r="E27" s="15" t="n"/>
      <c r="F27" s="15" t="n"/>
      <c r="G27" s="11" t="str">
        <f>IF(OR(E27="",F27=""),"",IF(E27&lt;=F27,F27*2-E27,0))</f>
        <v/>
      </c>
      <c r="H27" s="16" t="n"/>
      <c r="I27" s="16" t="n"/>
      <c r="J27" s="13" t="str">
        <f>IF(OR(E27="",H27=""),"",E27*H27)</f>
        <v/>
      </c>
      <c r="K27" s="13" t="str">
        <f>IF(OR(E27="",I27=""),"",E27*I27)</f>
        <v/>
      </c>
      <c r="L27" s="14" t="str">
        <f>IF(OR(A27="",E27=""),"",IF(E27&lt;=0,"אזל",IF(E27&lt;=N(F27),"להזמין","תקין")))</f>
        <v/>
      </c>
    </row>
    <row r="28">
      <c r="A28" s="8" t="n"/>
      <c r="B28" s="9" t="n"/>
      <c r="C28" s="8" t="n"/>
      <c r="D28" s="8" t="n"/>
      <c r="E28" s="15" t="n"/>
      <c r="F28" s="15" t="n"/>
      <c r="G28" s="11" t="str">
        <f>IF(OR(E28="",F28=""),"",IF(E28&lt;=F28,F28*2-E28,0))</f>
        <v/>
      </c>
      <c r="H28" s="16" t="n"/>
      <c r="I28" s="16" t="n"/>
      <c r="J28" s="13" t="str">
        <f>IF(OR(E28="",H28=""),"",E28*H28)</f>
        <v/>
      </c>
      <c r="K28" s="13" t="str">
        <f>IF(OR(E28="",I28=""),"",E28*I28)</f>
        <v/>
      </c>
      <c r="L28" s="14" t="str">
        <f>IF(OR(A28="",E28=""),"",IF(E28&lt;=0,"אזל",IF(E28&lt;=N(F28),"להזמין","תקין")))</f>
        <v/>
      </c>
    </row>
    <row r="29">
      <c r="A29" s="8" t="n"/>
      <c r="B29" s="9" t="n"/>
      <c r="C29" s="8" t="n"/>
      <c r="D29" s="8" t="n"/>
      <c r="E29" s="15" t="n"/>
      <c r="F29" s="15" t="n"/>
      <c r="G29" s="11" t="str">
        <f>IF(OR(E29="",F29=""),"",IF(E29&lt;=F29,F29*2-E29,0))</f>
        <v/>
      </c>
      <c r="H29" s="16" t="n"/>
      <c r="I29" s="16" t="n"/>
      <c r="J29" s="13" t="str">
        <f>IF(OR(E29="",H29=""),"",E29*H29)</f>
        <v/>
      </c>
      <c r="K29" s="13" t="str">
        <f>IF(OR(E29="",I29=""),"",E29*I29)</f>
        <v/>
      </c>
      <c r="L29" s="14" t="str">
        <f>IF(OR(A29="",E29=""),"",IF(E29&lt;=0,"אזל",IF(E29&lt;=N(F29),"להזמין","תקין")))</f>
        <v/>
      </c>
    </row>
    <row r="30">
      <c r="A30" s="8" t="n"/>
      <c r="B30" s="9" t="n"/>
      <c r="C30" s="8" t="n"/>
      <c r="D30" s="8" t="n"/>
      <c r="E30" s="15" t="n"/>
      <c r="F30" s="15" t="n"/>
      <c r="G30" s="11" t="str">
        <f>IF(OR(E30="",F30=""),"",IF(E30&lt;=F30,F30*2-E30,0))</f>
        <v/>
      </c>
      <c r="H30" s="16" t="n"/>
      <c r="I30" s="16" t="n"/>
      <c r="J30" s="13" t="str">
        <f>IF(OR(E30="",H30=""),"",E30*H30)</f>
        <v/>
      </c>
      <c r="K30" s="13" t="str">
        <f>IF(OR(E30="",I30=""),"",E30*I30)</f>
        <v/>
      </c>
      <c r="L30" s="14" t="str">
        <f>IF(OR(A30="",E30=""),"",IF(E30&lt;=0,"אזל",IF(E30&lt;=N(F30),"להזמין","תקין")))</f>
        <v/>
      </c>
    </row>
    <row r="31">
      <c r="A31" s="8" t="n"/>
      <c r="B31" s="9" t="n"/>
      <c r="C31" s="8" t="n"/>
      <c r="D31" s="8" t="n"/>
      <c r="E31" s="15" t="n"/>
      <c r="F31" s="15" t="n"/>
      <c r="G31" s="11" t="str">
        <f>IF(OR(E31="",F31=""),"",IF(E31&lt;=F31,F31*2-E31,0))</f>
        <v/>
      </c>
      <c r="H31" s="16" t="n"/>
      <c r="I31" s="16" t="n"/>
      <c r="J31" s="13" t="str">
        <f>IF(OR(E31="",H31=""),"",E31*H31)</f>
        <v/>
      </c>
      <c r="K31" s="13" t="str">
        <f>IF(OR(E31="",I31=""),"",E31*I31)</f>
        <v/>
      </c>
      <c r="L31" s="14" t="str">
        <f>IF(OR(A31="",E31=""),"",IF(E31&lt;=0,"אזל",IF(E31&lt;=N(F31),"להזמין","תקין")))</f>
        <v/>
      </c>
    </row>
    <row r="32">
      <c r="A32" s="8" t="n"/>
      <c r="B32" s="9" t="n"/>
      <c r="C32" s="8" t="n"/>
      <c r="D32" s="8" t="n"/>
      <c r="E32" s="15" t="n"/>
      <c r="F32" s="15" t="n"/>
      <c r="G32" s="11" t="str">
        <f>IF(OR(E32="",F32=""),"",IF(E32&lt;=F32,F32*2-E32,0))</f>
        <v/>
      </c>
      <c r="H32" s="16" t="n"/>
      <c r="I32" s="16" t="n"/>
      <c r="J32" s="13" t="str">
        <f>IF(OR(E32="",H32=""),"",E32*H32)</f>
        <v/>
      </c>
      <c r="K32" s="13" t="str">
        <f>IF(OR(E32="",I32=""),"",E32*I32)</f>
        <v/>
      </c>
      <c r="L32" s="14" t="str">
        <f>IF(OR(A32="",E32=""),"",IF(E32&lt;=0,"אזל",IF(E32&lt;=N(F32),"להזמין","תקין")))</f>
        <v/>
      </c>
    </row>
    <row r="33">
      <c r="A33" s="8" t="n"/>
      <c r="B33" s="9" t="n"/>
      <c r="C33" s="8" t="n"/>
      <c r="D33" s="8" t="n"/>
      <c r="E33" s="15" t="n"/>
      <c r="F33" s="15" t="n"/>
      <c r="G33" s="11" t="str">
        <f>IF(OR(E33="",F33=""),"",IF(E33&lt;=F33,F33*2-E33,0))</f>
        <v/>
      </c>
      <c r="H33" s="16" t="n"/>
      <c r="I33" s="16" t="n"/>
      <c r="J33" s="13" t="str">
        <f>IF(OR(E33="",H33=""),"",E33*H33)</f>
        <v/>
      </c>
      <c r="K33" s="13" t="str">
        <f>IF(OR(E33="",I33=""),"",E33*I33)</f>
        <v/>
      </c>
      <c r="L33" s="14" t="str">
        <f>IF(OR(A33="",E33=""),"",IF(E33&lt;=0,"אזל",IF(E33&lt;=N(F33),"להזמין","תקין")))</f>
        <v/>
      </c>
    </row>
    <row r="34">
      <c r="A34" s="8" t="n"/>
      <c r="B34" s="9" t="n"/>
      <c r="C34" s="8" t="n"/>
      <c r="D34" s="8" t="n"/>
      <c r="E34" s="15" t="n"/>
      <c r="F34" s="15" t="n"/>
      <c r="G34" s="11" t="str">
        <f>IF(OR(E34="",F34=""),"",IF(E34&lt;=F34,F34*2-E34,0))</f>
        <v/>
      </c>
      <c r="H34" s="16" t="n"/>
      <c r="I34" s="16" t="n"/>
      <c r="J34" s="13" t="str">
        <f>IF(OR(E34="",H34=""),"",E34*H34)</f>
        <v/>
      </c>
      <c r="K34" s="13" t="str">
        <f>IF(OR(E34="",I34=""),"",E34*I34)</f>
        <v/>
      </c>
      <c r="L34" s="14" t="str">
        <f>IF(OR(A34="",E34=""),"",IF(E34&lt;=0,"אזל",IF(E34&lt;=N(F34),"להזמין","תקין")))</f>
        <v/>
      </c>
    </row>
    <row r="35">
      <c r="A35" s="8" t="n"/>
      <c r="B35" s="9" t="n"/>
      <c r="C35" s="8" t="n"/>
      <c r="D35" s="8" t="n"/>
      <c r="E35" s="15" t="n"/>
      <c r="F35" s="15" t="n"/>
      <c r="G35" s="11" t="str">
        <f>IF(OR(E35="",F35=""),"",IF(E35&lt;=F35,F35*2-E35,0))</f>
        <v/>
      </c>
      <c r="H35" s="16" t="n"/>
      <c r="I35" s="16" t="n"/>
      <c r="J35" s="13" t="str">
        <f>IF(OR(E35="",H35=""),"",E35*H35)</f>
        <v/>
      </c>
      <c r="K35" s="13" t="str">
        <f>IF(OR(E35="",I35=""),"",E35*I35)</f>
        <v/>
      </c>
      <c r="L35" s="14" t="str">
        <f>IF(OR(A35="",E35=""),"",IF(E35&lt;=0,"אזל",IF(E35&lt;=N(F35),"להזמין","תקין")))</f>
        <v/>
      </c>
    </row>
    <row r="36">
      <c r="A36" s="8" t="n"/>
      <c r="B36" s="9" t="n"/>
      <c r="C36" s="8" t="n"/>
      <c r="D36" s="8" t="n"/>
      <c r="E36" s="15" t="n"/>
      <c r="F36" s="15" t="n"/>
      <c r="G36" s="11" t="str">
        <f>IF(OR(E36="",F36=""),"",IF(E36&lt;=F36,F36*2-E36,0))</f>
        <v/>
      </c>
      <c r="H36" s="16" t="n"/>
      <c r="I36" s="16" t="n"/>
      <c r="J36" s="13" t="str">
        <f>IF(OR(E36="",H36=""),"",E36*H36)</f>
        <v/>
      </c>
      <c r="K36" s="13" t="str">
        <f>IF(OR(E36="",I36=""),"",E36*I36)</f>
        <v/>
      </c>
      <c r="L36" s="14" t="str">
        <f>IF(OR(A36="",E36=""),"",IF(E36&lt;=0,"אזל",IF(E36&lt;=N(F36),"להזמין","תקין")))</f>
        <v/>
      </c>
    </row>
    <row r="37">
      <c r="A37" s="8" t="n"/>
      <c r="B37" s="9" t="n"/>
      <c r="C37" s="8" t="n"/>
      <c r="D37" s="8" t="n"/>
      <c r="E37" s="15" t="n"/>
      <c r="F37" s="15" t="n"/>
      <c r="G37" s="11" t="str">
        <f>IF(OR(E37="",F37=""),"",IF(E37&lt;=F37,F37*2-E37,0))</f>
        <v/>
      </c>
      <c r="H37" s="16" t="n"/>
      <c r="I37" s="16" t="n"/>
      <c r="J37" s="13" t="str">
        <f>IF(OR(E37="",H37=""),"",E37*H37)</f>
        <v/>
      </c>
      <c r="K37" s="13" t="str">
        <f>IF(OR(E37="",I37=""),"",E37*I37)</f>
        <v/>
      </c>
      <c r="L37" s="14" t="str">
        <f>IF(OR(A37="",E37=""),"",IF(E37&lt;=0,"אזל",IF(E37&lt;=N(F37),"להזמין","תקין")))</f>
        <v/>
      </c>
    </row>
    <row r="38">
      <c r="A38" s="8" t="n"/>
      <c r="B38" s="9" t="n"/>
      <c r="C38" s="8" t="n"/>
      <c r="D38" s="8" t="n"/>
      <c r="E38" s="15" t="n"/>
      <c r="F38" s="15" t="n"/>
      <c r="G38" s="11" t="str">
        <f>IF(OR(E38="",F38=""),"",IF(E38&lt;=F38,F38*2-E38,0))</f>
        <v/>
      </c>
      <c r="H38" s="16" t="n"/>
      <c r="I38" s="16" t="n"/>
      <c r="J38" s="13" t="str">
        <f>IF(OR(E38="",H38=""),"",E38*H38)</f>
        <v/>
      </c>
      <c r="K38" s="13" t="str">
        <f>IF(OR(E38="",I38=""),"",E38*I38)</f>
        <v/>
      </c>
      <c r="L38" s="14" t="str">
        <f>IF(OR(A38="",E38=""),"",IF(E38&lt;=0,"אזל",IF(E38&lt;=N(F38),"להזמין","תקין")))</f>
        <v/>
      </c>
    </row>
    <row r="39">
      <c r="A39" s="8" t="n"/>
      <c r="B39" s="9" t="n"/>
      <c r="C39" s="8" t="n"/>
      <c r="D39" s="8" t="n"/>
      <c r="E39" s="15" t="n"/>
      <c r="F39" s="15" t="n"/>
      <c r="G39" s="11" t="str">
        <f>IF(OR(E39="",F39=""),"",IF(E39&lt;=F39,F39*2-E39,0))</f>
        <v/>
      </c>
      <c r="H39" s="16" t="n"/>
      <c r="I39" s="16" t="n"/>
      <c r="J39" s="13" t="str">
        <f>IF(OR(E39="",H39=""),"",E39*H39)</f>
        <v/>
      </c>
      <c r="K39" s="13" t="str">
        <f>IF(OR(E39="",I39=""),"",E39*I39)</f>
        <v/>
      </c>
      <c r="L39" s="14" t="str">
        <f>IF(OR(A39="",E39=""),"",IF(E39&lt;=0,"אזל",IF(E39&lt;=N(F39),"להזמין","תקין")))</f>
        <v/>
      </c>
    </row>
    <row r="40">
      <c r="A40" s="8" t="n"/>
      <c r="B40" s="9" t="n"/>
      <c r="C40" s="8" t="n"/>
      <c r="D40" s="8" t="n"/>
      <c r="E40" s="15" t="n"/>
      <c r="F40" s="15" t="n"/>
      <c r="G40" s="11" t="str">
        <f>IF(OR(E40="",F40=""),"",IF(E40&lt;=F40,F40*2-E40,0))</f>
        <v/>
      </c>
      <c r="H40" s="16" t="n"/>
      <c r="I40" s="16" t="n"/>
      <c r="J40" s="13" t="str">
        <f>IF(OR(E40="",H40=""),"",E40*H40)</f>
        <v/>
      </c>
      <c r="K40" s="13" t="str">
        <f>IF(OR(E40="",I40=""),"",E40*I40)</f>
        <v/>
      </c>
      <c r="L40" s="14" t="str">
        <f>IF(OR(A40="",E40=""),"",IF(E40&lt;=0,"אזל",IF(E40&lt;=N(F40),"להזמין","תקין")))</f>
        <v/>
      </c>
    </row>
    <row r="41">
      <c r="A41" s="8" t="n"/>
      <c r="B41" s="9" t="n"/>
      <c r="C41" s="8" t="n"/>
      <c r="D41" s="8" t="n"/>
      <c r="E41" s="15" t="n"/>
      <c r="F41" s="15" t="n"/>
      <c r="G41" s="11" t="str">
        <f>IF(OR(E41="",F41=""),"",IF(E41&lt;=F41,F41*2-E41,0))</f>
        <v/>
      </c>
      <c r="H41" s="16" t="n"/>
      <c r="I41" s="16" t="n"/>
      <c r="J41" s="13" t="str">
        <f>IF(OR(E41="",H41=""),"",E41*H41)</f>
        <v/>
      </c>
      <c r="K41" s="13" t="str">
        <f>IF(OR(E41="",I41=""),"",E41*I41)</f>
        <v/>
      </c>
      <c r="L41" s="14" t="str">
        <f>IF(OR(A41="",E41=""),"",IF(E41&lt;=0,"אזל",IF(E41&lt;=N(F41),"להזמין","תקין")))</f>
        <v/>
      </c>
    </row>
    <row r="42">
      <c r="A42" s="8" t="n"/>
      <c r="B42" s="9" t="n"/>
      <c r="C42" s="8" t="n"/>
      <c r="D42" s="8" t="n"/>
      <c r="E42" s="15" t="n"/>
      <c r="F42" s="15" t="n"/>
      <c r="G42" s="11" t="str">
        <f>IF(OR(E42="",F42=""),"",IF(E42&lt;=F42,F42*2-E42,0))</f>
        <v/>
      </c>
      <c r="H42" s="16" t="n"/>
      <c r="I42" s="16" t="n"/>
      <c r="J42" s="13" t="str">
        <f>IF(OR(E42="",H42=""),"",E42*H42)</f>
        <v/>
      </c>
      <c r="K42" s="13" t="str">
        <f>IF(OR(E42="",I42=""),"",E42*I42)</f>
        <v/>
      </c>
      <c r="L42" s="14" t="str">
        <f>IF(OR(A42="",E42=""),"",IF(E42&lt;=0,"אזל",IF(E42&lt;=N(F42),"להזמין","תקין")))</f>
        <v/>
      </c>
    </row>
    <row r="43">
      <c r="A43" s="8" t="n"/>
      <c r="B43" s="9" t="n"/>
      <c r="C43" s="8" t="n"/>
      <c r="D43" s="8" t="n"/>
      <c r="E43" s="15" t="n"/>
      <c r="F43" s="15" t="n"/>
      <c r="G43" s="11" t="str">
        <f>IF(OR(E43="",F43=""),"",IF(E43&lt;=F43,F43*2-E43,0))</f>
        <v/>
      </c>
      <c r="H43" s="16" t="n"/>
      <c r="I43" s="16" t="n"/>
      <c r="J43" s="13" t="str">
        <f>IF(OR(E43="",H43=""),"",E43*H43)</f>
        <v/>
      </c>
      <c r="K43" s="13" t="str">
        <f>IF(OR(E43="",I43=""),"",E43*I43)</f>
        <v/>
      </c>
      <c r="L43" s="14" t="str">
        <f>IF(OR(A43="",E43=""),"",IF(E43&lt;=0,"אזל",IF(E43&lt;=N(F43),"להזמין","תקין")))</f>
        <v/>
      </c>
    </row>
    <row r="44">
      <c r="A44" s="8" t="n"/>
      <c r="B44" s="9" t="n"/>
      <c r="C44" s="8" t="n"/>
      <c r="D44" s="8" t="n"/>
      <c r="E44" s="15" t="n"/>
      <c r="F44" s="15" t="n"/>
      <c r="G44" s="11" t="str">
        <f>IF(OR(E44="",F44=""),"",IF(E44&lt;=F44,F44*2-E44,0))</f>
        <v/>
      </c>
      <c r="H44" s="16" t="n"/>
      <c r="I44" s="16" t="n"/>
      <c r="J44" s="13" t="str">
        <f>IF(OR(E44="",H44=""),"",E44*H44)</f>
        <v/>
      </c>
      <c r="K44" s="13" t="str">
        <f>IF(OR(E44="",I44=""),"",E44*I44)</f>
        <v/>
      </c>
      <c r="L44" s="14" t="str">
        <f>IF(OR(A44="",E44=""),"",IF(E44&lt;=0,"אזל",IF(E44&lt;=N(F44),"להזמין","תקין")))</f>
        <v/>
      </c>
    </row>
    <row r="45">
      <c r="A45" s="8" t="n"/>
      <c r="B45" s="9" t="n"/>
      <c r="C45" s="8" t="n"/>
      <c r="D45" s="8" t="n"/>
      <c r="E45" s="15" t="n"/>
      <c r="F45" s="15" t="n"/>
      <c r="G45" s="11" t="str">
        <f>IF(OR(E45="",F45=""),"",IF(E45&lt;=F45,F45*2-E45,0))</f>
        <v/>
      </c>
      <c r="H45" s="16" t="n"/>
      <c r="I45" s="16" t="n"/>
      <c r="J45" s="13" t="str">
        <f>IF(OR(E45="",H45=""),"",E45*H45)</f>
        <v/>
      </c>
      <c r="K45" s="13" t="str">
        <f>IF(OR(E45="",I45=""),"",E45*I45)</f>
        <v/>
      </c>
      <c r="L45" s="14" t="str">
        <f>IF(OR(A45="",E45=""),"",IF(E45&lt;=0,"אזל",IF(E45&lt;=N(F45),"להזמין","תקין")))</f>
        <v/>
      </c>
    </row>
    <row r="46">
      <c r="A46" s="8" t="n"/>
      <c r="B46" s="9" t="n"/>
      <c r="C46" s="8" t="n"/>
      <c r="D46" s="8" t="n"/>
      <c r="E46" s="15" t="n"/>
      <c r="F46" s="15" t="n"/>
      <c r="G46" s="11" t="str">
        <f>IF(OR(E46="",F46=""),"",IF(E46&lt;=F46,F46*2-E46,0))</f>
        <v/>
      </c>
      <c r="H46" s="16" t="n"/>
      <c r="I46" s="16" t="n"/>
      <c r="J46" s="13" t="str">
        <f>IF(OR(E46="",H46=""),"",E46*H46)</f>
        <v/>
      </c>
      <c r="K46" s="13" t="str">
        <f>IF(OR(E46="",I46=""),"",E46*I46)</f>
        <v/>
      </c>
      <c r="L46" s="14" t="str">
        <f>IF(OR(A46="",E46=""),"",IF(E46&lt;=0,"אזל",IF(E46&lt;=N(F46),"להזמין","תקין")))</f>
        <v/>
      </c>
    </row>
    <row r="47">
      <c r="A47" s="8" t="n"/>
      <c r="B47" s="9" t="n"/>
      <c r="C47" s="8" t="n"/>
      <c r="D47" s="8" t="n"/>
      <c r="E47" s="15" t="n"/>
      <c r="F47" s="15" t="n"/>
      <c r="G47" s="11" t="str">
        <f>IF(OR(E47="",F47=""),"",IF(E47&lt;=F47,F47*2-E47,0))</f>
        <v/>
      </c>
      <c r="H47" s="16" t="n"/>
      <c r="I47" s="16" t="n"/>
      <c r="J47" s="13" t="str">
        <f>IF(OR(E47="",H47=""),"",E47*H47)</f>
        <v/>
      </c>
      <c r="K47" s="13" t="str">
        <f>IF(OR(E47="",I47=""),"",E47*I47)</f>
        <v/>
      </c>
      <c r="L47" s="14" t="str">
        <f>IF(OR(A47="",E47=""),"",IF(E47&lt;=0,"אזל",IF(E47&lt;=N(F47),"להזמין","תקין")))</f>
        <v/>
      </c>
    </row>
    <row r="48">
      <c r="A48" s="8" t="n"/>
      <c r="B48" s="9" t="n"/>
      <c r="C48" s="8" t="n"/>
      <c r="D48" s="8" t="n"/>
      <c r="E48" s="15" t="n"/>
      <c r="F48" s="15" t="n"/>
      <c r="G48" s="11" t="str">
        <f>IF(OR(E48="",F48=""),"",IF(E48&lt;=F48,F48*2-E48,0))</f>
        <v/>
      </c>
      <c r="H48" s="16" t="n"/>
      <c r="I48" s="16" t="n"/>
      <c r="J48" s="13" t="str">
        <f>IF(OR(E48="",H48=""),"",E48*H48)</f>
        <v/>
      </c>
      <c r="K48" s="13" t="str">
        <f>IF(OR(E48="",I48=""),"",E48*I48)</f>
        <v/>
      </c>
      <c r="L48" s="14" t="str">
        <f>IF(OR(A48="",E48=""),"",IF(E48&lt;=0,"אזל",IF(E48&lt;=N(F48),"להזמין","תקין")))</f>
        <v/>
      </c>
    </row>
    <row r="49">
      <c r="A49" s="8" t="n"/>
      <c r="B49" s="9" t="n"/>
      <c r="C49" s="8" t="n"/>
      <c r="D49" s="8" t="n"/>
      <c r="E49" s="15" t="n"/>
      <c r="F49" s="15" t="n"/>
      <c r="G49" s="11" t="str">
        <f>IF(OR(E49="",F49=""),"",IF(E49&lt;=F49,F49*2-E49,0))</f>
        <v/>
      </c>
      <c r="H49" s="16" t="n"/>
      <c r="I49" s="16" t="n"/>
      <c r="J49" s="13" t="str">
        <f>IF(OR(E49="",H49=""),"",E49*H49)</f>
        <v/>
      </c>
      <c r="K49" s="13" t="str">
        <f>IF(OR(E49="",I49=""),"",E49*I49)</f>
        <v/>
      </c>
      <c r="L49" s="14" t="str">
        <f>IF(OR(A49="",E49=""),"",IF(E49&lt;=0,"אזל",IF(E49&lt;=N(F49),"להזמין","תקין")))</f>
        <v/>
      </c>
    </row>
    <row r="50">
      <c r="A50" s="8" t="n"/>
      <c r="B50" s="9" t="n"/>
      <c r="C50" s="8" t="n"/>
      <c r="D50" s="8" t="n"/>
      <c r="E50" s="15" t="n"/>
      <c r="F50" s="15" t="n"/>
      <c r="G50" s="11" t="str">
        <f>IF(OR(E50="",F50=""),"",IF(E50&lt;=F50,F50*2-E50,0))</f>
        <v/>
      </c>
      <c r="H50" s="16" t="n"/>
      <c r="I50" s="16" t="n"/>
      <c r="J50" s="13" t="str">
        <f>IF(OR(E50="",H50=""),"",E50*H50)</f>
        <v/>
      </c>
      <c r="K50" s="13" t="str">
        <f>IF(OR(E50="",I50=""),"",E50*I50)</f>
        <v/>
      </c>
      <c r="L50" s="14" t="str">
        <f>IF(OR(A50="",E50=""),"",IF(E50&lt;=0,"אזל",IF(E50&lt;=N(F50),"להזמין","תקין")))</f>
        <v/>
      </c>
    </row>
    <row r="51">
      <c r="A51" s="8" t="n"/>
      <c r="B51" s="9" t="n"/>
      <c r="C51" s="8" t="n"/>
      <c r="D51" s="8" t="n"/>
      <c r="E51" s="15" t="n"/>
      <c r="F51" s="15" t="n"/>
      <c r="G51" s="11" t="str">
        <f>IF(OR(E51="",F51=""),"",IF(E51&lt;=F51,F51*2-E51,0))</f>
        <v/>
      </c>
      <c r="H51" s="16" t="n"/>
      <c r="I51" s="16" t="n"/>
      <c r="J51" s="13" t="str">
        <f>IF(OR(E51="",H51=""),"",E51*H51)</f>
        <v/>
      </c>
      <c r="K51" s="13" t="str">
        <f>IF(OR(E51="",I51=""),"",E51*I51)</f>
        <v/>
      </c>
      <c r="L51" s="14" t="str">
        <f>IF(OR(A51="",E51=""),"",IF(E51&lt;=0,"אזל",IF(E51&lt;=N(F51),"להזמין","תקין")))</f>
        <v/>
      </c>
    </row>
    <row r="52">
      <c r="A52" s="8" t="n"/>
      <c r="B52" s="9" t="n"/>
      <c r="C52" s="8" t="n"/>
      <c r="D52" s="8" t="n"/>
      <c r="E52" s="15" t="n"/>
      <c r="F52" s="15" t="n"/>
      <c r="G52" s="11" t="str">
        <f>IF(OR(E52="",F52=""),"",IF(E52&lt;=F52,F52*2-E52,0))</f>
        <v/>
      </c>
      <c r="H52" s="16" t="n"/>
      <c r="I52" s="16" t="n"/>
      <c r="J52" s="13" t="str">
        <f>IF(OR(E52="",H52=""),"",E52*H52)</f>
        <v/>
      </c>
      <c r="K52" s="13" t="str">
        <f>IF(OR(E52="",I52=""),"",E52*I52)</f>
        <v/>
      </c>
      <c r="L52" s="14" t="str">
        <f>IF(OR(A52="",E52=""),"",IF(E52&lt;=0,"אזל",IF(E52&lt;=N(F52),"להזמין","תקין")))</f>
        <v/>
      </c>
    </row>
    <row r="53">
      <c r="A53" s="8" t="n"/>
      <c r="B53" s="9" t="n"/>
      <c r="C53" s="8" t="n"/>
      <c r="D53" s="8" t="n"/>
      <c r="E53" s="15" t="n"/>
      <c r="F53" s="15" t="n"/>
      <c r="G53" s="11" t="str">
        <f>IF(OR(E53="",F53=""),"",IF(E53&lt;=F53,F53*2-E53,0))</f>
        <v/>
      </c>
      <c r="H53" s="16" t="n"/>
      <c r="I53" s="16" t="n"/>
      <c r="J53" s="13" t="str">
        <f>IF(OR(E53="",H53=""),"",E53*H53)</f>
        <v/>
      </c>
      <c r="K53" s="13" t="str">
        <f>IF(OR(E53="",I53=""),"",E53*I53)</f>
        <v/>
      </c>
      <c r="L53" s="14" t="str">
        <f>IF(OR(A53="",E53=""),"",IF(E53&lt;=0,"אזל",IF(E53&lt;=N(F53),"להזמין","תקין")))</f>
        <v/>
      </c>
    </row>
    <row r="54">
      <c r="A54" s="8" t="n"/>
      <c r="B54" s="9" t="n"/>
      <c r="C54" s="8" t="n"/>
      <c r="D54" s="8" t="n"/>
      <c r="E54" s="15" t="n"/>
      <c r="F54" s="15" t="n"/>
      <c r="G54" s="11" t="str">
        <f>IF(OR(E54="",F54=""),"",IF(E54&lt;=F54,F54*2-E54,0))</f>
        <v/>
      </c>
      <c r="H54" s="16" t="n"/>
      <c r="I54" s="16" t="n"/>
      <c r="J54" s="13" t="str">
        <f>IF(OR(E54="",H54=""),"",E54*H54)</f>
        <v/>
      </c>
      <c r="K54" s="13" t="str">
        <f>IF(OR(E54="",I54=""),"",E54*I54)</f>
        <v/>
      </c>
      <c r="L54" s="14" t="str">
        <f>IF(OR(A54="",E54=""),"",IF(E54&lt;=0,"אזל",IF(E54&lt;=N(F54),"להזמין","תקין")))</f>
        <v/>
      </c>
    </row>
    <row r="55">
      <c r="A55" s="8" t="n"/>
      <c r="B55" s="9" t="n"/>
      <c r="C55" s="8" t="n"/>
      <c r="D55" s="8" t="n"/>
      <c r="E55" s="15" t="n"/>
      <c r="F55" s="15" t="n"/>
      <c r="G55" s="11" t="str">
        <f>IF(OR(E55="",F55=""),"",IF(E55&lt;=F55,F55*2-E55,0))</f>
        <v/>
      </c>
      <c r="H55" s="16" t="n"/>
      <c r="I55" s="16" t="n"/>
      <c r="J55" s="13" t="str">
        <f>IF(OR(E55="",H55=""),"",E55*H55)</f>
        <v/>
      </c>
      <c r="K55" s="13" t="str">
        <f>IF(OR(E55="",I55=""),"",E55*I55)</f>
        <v/>
      </c>
      <c r="L55" s="14" t="str">
        <f>IF(OR(A55="",E55=""),"",IF(E55&lt;=0,"אזל",IF(E55&lt;=N(F55),"להזמין","תקין")))</f>
        <v/>
      </c>
    </row>
    <row r="56">
      <c r="A56" s="8" t="n"/>
      <c r="B56" s="9" t="n"/>
      <c r="C56" s="8" t="n"/>
      <c r="D56" s="8" t="n"/>
      <c r="E56" s="15" t="n"/>
      <c r="F56" s="15" t="n"/>
      <c r="G56" s="11" t="str">
        <f>IF(OR(E56="",F56=""),"",IF(E56&lt;=F56,F56*2-E56,0))</f>
        <v/>
      </c>
      <c r="H56" s="16" t="n"/>
      <c r="I56" s="16" t="n"/>
      <c r="J56" s="13" t="str">
        <f>IF(OR(E56="",H56=""),"",E56*H56)</f>
        <v/>
      </c>
      <c r="K56" s="13" t="str">
        <f>IF(OR(E56="",I56=""),"",E56*I56)</f>
        <v/>
      </c>
      <c r="L56" s="14" t="str">
        <f>IF(OR(A56="",E56=""),"",IF(E56&lt;=0,"אזל",IF(E56&lt;=N(F56),"להזמין","תקין")))</f>
        <v/>
      </c>
    </row>
    <row r="57">
      <c r="A57" s="8" t="n"/>
      <c r="B57" s="9" t="n"/>
      <c r="C57" s="8" t="n"/>
      <c r="D57" s="8" t="n"/>
      <c r="E57" s="15" t="n"/>
      <c r="F57" s="15" t="n"/>
      <c r="G57" s="11" t="str">
        <f>IF(OR(E57="",F57=""),"",IF(E57&lt;=F57,F57*2-E57,0))</f>
        <v/>
      </c>
      <c r="H57" s="16" t="n"/>
      <c r="I57" s="16" t="n"/>
      <c r="J57" s="13" t="str">
        <f>IF(OR(E57="",H57=""),"",E57*H57)</f>
        <v/>
      </c>
      <c r="K57" s="13" t="str">
        <f>IF(OR(E57="",I57=""),"",E57*I57)</f>
        <v/>
      </c>
      <c r="L57" s="14" t="str">
        <f>IF(OR(A57="",E57=""),"",IF(E57&lt;=0,"אזל",IF(E57&lt;=N(F57),"להזמין","תקין")))</f>
        <v/>
      </c>
    </row>
    <row r="58">
      <c r="A58" s="8" t="n"/>
      <c r="B58" s="9" t="n"/>
      <c r="C58" s="8" t="n"/>
      <c r="D58" s="8" t="n"/>
      <c r="E58" s="15" t="n"/>
      <c r="F58" s="15" t="n"/>
      <c r="G58" s="11" t="str">
        <f>IF(OR(E58="",F58=""),"",IF(E58&lt;=F58,F58*2-E58,0))</f>
        <v/>
      </c>
      <c r="H58" s="16" t="n"/>
      <c r="I58" s="16" t="n"/>
      <c r="J58" s="13" t="str">
        <f>IF(OR(E58="",H58=""),"",E58*H58)</f>
        <v/>
      </c>
      <c r="K58" s="13" t="str">
        <f>IF(OR(E58="",I58=""),"",E58*I58)</f>
        <v/>
      </c>
      <c r="L58" s="14" t="str">
        <f>IF(OR(A58="",E58=""),"",IF(E58&lt;=0,"אזל",IF(E58&lt;=N(F58),"להזמין","תקין")))</f>
        <v/>
      </c>
    </row>
    <row r="59">
      <c r="A59" s="8" t="n"/>
      <c r="B59" s="9" t="n"/>
      <c r="C59" s="8" t="n"/>
      <c r="D59" s="8" t="n"/>
      <c r="E59" s="15" t="n"/>
      <c r="F59" s="15" t="n"/>
      <c r="G59" s="11" t="str">
        <f>IF(OR(E59="",F59=""),"",IF(E59&lt;=F59,F59*2-E59,0))</f>
        <v/>
      </c>
      <c r="H59" s="16" t="n"/>
      <c r="I59" s="16" t="n"/>
      <c r="J59" s="13" t="str">
        <f>IF(OR(E59="",H59=""),"",E59*H59)</f>
        <v/>
      </c>
      <c r="K59" s="13" t="str">
        <f>IF(OR(E59="",I59=""),"",E59*I59)</f>
        <v/>
      </c>
      <c r="L59" s="14" t="str">
        <f>IF(OR(A59="",E59=""),"",IF(E59&lt;=0,"אזל",IF(E59&lt;=N(F59),"להזמין","תקין")))</f>
        <v/>
      </c>
    </row>
    <row r="60">
      <c r="A60" s="8" t="n"/>
      <c r="B60" s="9" t="n"/>
      <c r="C60" s="8" t="n"/>
      <c r="D60" s="8" t="n"/>
      <c r="E60" s="15" t="n"/>
      <c r="F60" s="15" t="n"/>
      <c r="G60" s="11" t="str">
        <f>IF(OR(E60="",F60=""),"",IF(E60&lt;=F60,F60*2-E60,0))</f>
        <v/>
      </c>
      <c r="H60" s="16" t="n"/>
      <c r="I60" s="16" t="n"/>
      <c r="J60" s="13" t="str">
        <f>IF(OR(E60="",H60=""),"",E60*H60)</f>
        <v/>
      </c>
      <c r="K60" s="13" t="str">
        <f>IF(OR(E60="",I60=""),"",E60*I60)</f>
        <v/>
      </c>
      <c r="L60" s="14" t="str">
        <f>IF(OR(A60="",E60=""),"",IF(E60&lt;=0,"אזל",IF(E60&lt;=N(F60),"להזמין","תקין")))</f>
        <v/>
      </c>
    </row>
    <row r="61">
      <c r="A61" s="8" t="n"/>
      <c r="B61" s="9" t="n"/>
      <c r="C61" s="8" t="n"/>
      <c r="D61" s="8" t="n"/>
      <c r="E61" s="15" t="n"/>
      <c r="F61" s="15" t="n"/>
      <c r="G61" s="11" t="str">
        <f>IF(OR(E61="",F61=""),"",IF(E61&lt;=F61,F61*2-E61,0))</f>
        <v/>
      </c>
      <c r="H61" s="16" t="n"/>
      <c r="I61" s="16" t="n"/>
      <c r="J61" s="13" t="str">
        <f>IF(OR(E61="",H61=""),"",E61*H61)</f>
        <v/>
      </c>
      <c r="K61" s="13" t="str">
        <f>IF(OR(E61="",I61=""),"",E61*I61)</f>
        <v/>
      </c>
      <c r="L61" s="14" t="str">
        <f>IF(OR(A61="",E61=""),"",IF(E61&lt;=0,"אזל",IF(E61&lt;=N(F61),"להזמין","תקין")))</f>
        <v/>
      </c>
    </row>
    <row r="62">
      <c r="A62" s="8" t="n"/>
      <c r="B62" s="9" t="n"/>
      <c r="C62" s="8" t="n"/>
      <c r="D62" s="8" t="n"/>
      <c r="E62" s="15" t="n"/>
      <c r="F62" s="15" t="n"/>
      <c r="G62" s="11" t="str">
        <f>IF(OR(E62="",F62=""),"",IF(E62&lt;=F62,F62*2-E62,0))</f>
        <v/>
      </c>
      <c r="H62" s="16" t="n"/>
      <c r="I62" s="16" t="n"/>
      <c r="J62" s="13" t="str">
        <f>IF(OR(E62="",H62=""),"",E62*H62)</f>
        <v/>
      </c>
      <c r="K62" s="13" t="str">
        <f>IF(OR(E62="",I62=""),"",E62*I62)</f>
        <v/>
      </c>
      <c r="L62" s="14" t="str">
        <f>IF(OR(A62="",E62=""),"",IF(E62&lt;=0,"אזל",IF(E62&lt;=N(F62),"להזמין","תקין")))</f>
        <v/>
      </c>
    </row>
    <row r="63">
      <c r="A63" s="8" t="n"/>
      <c r="B63" s="9" t="n"/>
      <c r="C63" s="8" t="n"/>
      <c r="D63" s="8" t="n"/>
      <c r="E63" s="15" t="n"/>
      <c r="F63" s="15" t="n"/>
      <c r="G63" s="11" t="str">
        <f>IF(OR(E63="",F63=""),"",IF(E63&lt;=F63,F63*2-E63,0))</f>
        <v/>
      </c>
      <c r="H63" s="16" t="n"/>
      <c r="I63" s="16" t="n"/>
      <c r="J63" s="13" t="str">
        <f>IF(OR(E63="",H63=""),"",E63*H63)</f>
        <v/>
      </c>
      <c r="K63" s="13" t="str">
        <f>IF(OR(E63="",I63=""),"",E63*I63)</f>
        <v/>
      </c>
      <c r="L63" s="14" t="str">
        <f>IF(OR(A63="",E63=""),"",IF(E63&lt;=0,"אזל",IF(E63&lt;=N(F63),"להזמין","תקין")))</f>
        <v/>
      </c>
    </row>
    <row r="64">
      <c r="A64" s="8" t="n"/>
      <c r="B64" s="9" t="n"/>
      <c r="C64" s="8" t="n"/>
      <c r="D64" s="8" t="n"/>
      <c r="E64" s="15" t="n"/>
      <c r="F64" s="15" t="n"/>
      <c r="G64" s="11" t="str">
        <f>IF(OR(E64="",F64=""),"",IF(E64&lt;=F64,F64*2-E64,0))</f>
        <v/>
      </c>
      <c r="H64" s="16" t="n"/>
      <c r="I64" s="16" t="n"/>
      <c r="J64" s="13" t="str">
        <f>IF(OR(E64="",H64=""),"",E64*H64)</f>
        <v/>
      </c>
      <c r="K64" s="13" t="str">
        <f>IF(OR(E64="",I64=""),"",E64*I64)</f>
        <v/>
      </c>
      <c r="L64" s="14" t="str">
        <f>IF(OR(A64="",E64=""),"",IF(E64&lt;=0,"אזל",IF(E64&lt;=N(F64),"להזמין","תקין")))</f>
        <v/>
      </c>
    </row>
    <row r="65">
      <c r="A65" s="8" t="n"/>
      <c r="B65" s="9" t="n"/>
      <c r="C65" s="8" t="n"/>
      <c r="D65" s="8" t="n"/>
      <c r="E65" s="15" t="n"/>
      <c r="F65" s="15" t="n"/>
      <c r="G65" s="11" t="str">
        <f>IF(OR(E65="",F65=""),"",IF(E65&lt;=F65,F65*2-E65,0))</f>
        <v/>
      </c>
      <c r="H65" s="16" t="n"/>
      <c r="I65" s="16" t="n"/>
      <c r="J65" s="13" t="str">
        <f>IF(OR(E65="",H65=""),"",E65*H65)</f>
        <v/>
      </c>
      <c r="K65" s="13" t="str">
        <f>IF(OR(E65="",I65=""),"",E65*I65)</f>
        <v/>
      </c>
      <c r="L65" s="14" t="str">
        <f>IF(OR(A65="",E65=""),"",IF(E65&lt;=0,"אזל",IF(E65&lt;=N(F65),"להזמין","תקין")))</f>
        <v/>
      </c>
    </row>
    <row r="66">
      <c r="A66" s="8" t="n"/>
      <c r="B66" s="9" t="n"/>
      <c r="C66" s="8" t="n"/>
      <c r="D66" s="8" t="n"/>
      <c r="E66" s="15" t="n"/>
      <c r="F66" s="15" t="n"/>
      <c r="G66" s="11" t="str">
        <f>IF(OR(E66="",F66=""),"",IF(E66&lt;=F66,F66*2-E66,0))</f>
        <v/>
      </c>
      <c r="H66" s="16" t="n"/>
      <c r="I66" s="16" t="n"/>
      <c r="J66" s="13" t="str">
        <f>IF(OR(E66="",H66=""),"",E66*H66)</f>
        <v/>
      </c>
      <c r="K66" s="13" t="str">
        <f>IF(OR(E66="",I66=""),"",E66*I66)</f>
        <v/>
      </c>
      <c r="L66" s="14" t="str">
        <f>IF(OR(A66="",E66=""),"",IF(E66&lt;=0,"אזל",IF(E66&lt;=N(F66),"להזמין","תקין")))</f>
        <v/>
      </c>
    </row>
    <row r="67">
      <c r="A67" s="8" t="n"/>
      <c r="B67" s="9" t="n"/>
      <c r="C67" s="8" t="n"/>
      <c r="D67" s="8" t="n"/>
      <c r="E67" s="15" t="n"/>
      <c r="F67" s="15" t="n"/>
      <c r="G67" s="11" t="str">
        <f>IF(OR(E67="",F67=""),"",IF(E67&lt;=F67,F67*2-E67,0))</f>
        <v/>
      </c>
      <c r="H67" s="16" t="n"/>
      <c r="I67" s="16" t="n"/>
      <c r="J67" s="13" t="str">
        <f>IF(OR(E67="",H67=""),"",E67*H67)</f>
        <v/>
      </c>
      <c r="K67" s="13" t="str">
        <f>IF(OR(E67="",I67=""),"",E67*I67)</f>
        <v/>
      </c>
      <c r="L67" s="14" t="str">
        <f>IF(OR(A67="",E67=""),"",IF(E67&lt;=0,"אזל",IF(E67&lt;=N(F67),"להזמין","תקין")))</f>
        <v/>
      </c>
    </row>
    <row r="68">
      <c r="A68" s="8" t="n"/>
      <c r="B68" s="9" t="n"/>
      <c r="C68" s="8" t="n"/>
      <c r="D68" s="8" t="n"/>
      <c r="E68" s="15" t="n"/>
      <c r="F68" s="15" t="n"/>
      <c r="G68" s="11" t="str">
        <f>IF(OR(E68="",F68=""),"",IF(E68&lt;=F68,F68*2-E68,0))</f>
        <v/>
      </c>
      <c r="H68" s="16" t="n"/>
      <c r="I68" s="16" t="n"/>
      <c r="J68" s="13" t="str">
        <f>IF(OR(E68="",H68=""),"",E68*H68)</f>
        <v/>
      </c>
      <c r="K68" s="13" t="str">
        <f>IF(OR(E68="",I68=""),"",E68*I68)</f>
        <v/>
      </c>
      <c r="L68" s="14" t="str">
        <f>IF(OR(A68="",E68=""),"",IF(E68&lt;=0,"אזל",IF(E68&lt;=N(F68),"להזמין","תקין")))</f>
        <v/>
      </c>
    </row>
    <row r="69">
      <c r="A69" s="8" t="n"/>
      <c r="B69" s="9" t="n"/>
      <c r="C69" s="8" t="n"/>
      <c r="D69" s="8" t="n"/>
      <c r="E69" s="15" t="n"/>
      <c r="F69" s="15" t="n"/>
      <c r="G69" s="11" t="str">
        <f>IF(OR(E69="",F69=""),"",IF(E69&lt;=F69,F69*2-E69,0))</f>
        <v/>
      </c>
      <c r="H69" s="16" t="n"/>
      <c r="I69" s="16" t="n"/>
      <c r="J69" s="13" t="str">
        <f>IF(OR(E69="",H69=""),"",E69*H69)</f>
        <v/>
      </c>
      <c r="K69" s="13" t="str">
        <f>IF(OR(E69="",I69=""),"",E69*I69)</f>
        <v/>
      </c>
      <c r="L69" s="14" t="str">
        <f>IF(OR(A69="",E69=""),"",IF(E69&lt;=0,"אזל",IF(E69&lt;=N(F69),"להזמין","תקין")))</f>
        <v/>
      </c>
    </row>
    <row r="70">
      <c r="A70" s="8" t="n"/>
      <c r="B70" s="9" t="n"/>
      <c r="C70" s="8" t="n"/>
      <c r="D70" s="8" t="n"/>
      <c r="E70" s="15" t="n"/>
      <c r="F70" s="15" t="n"/>
      <c r="G70" s="11" t="str">
        <f>IF(OR(E70="",F70=""),"",IF(E70&lt;=F70,F70*2-E70,0))</f>
        <v/>
      </c>
      <c r="H70" s="16" t="n"/>
      <c r="I70" s="16" t="n"/>
      <c r="J70" s="13" t="str">
        <f>IF(OR(E70="",H70=""),"",E70*H70)</f>
        <v/>
      </c>
      <c r="K70" s="13" t="str">
        <f>IF(OR(E70="",I70=""),"",E70*I70)</f>
        <v/>
      </c>
      <c r="L70" s="14" t="str">
        <f>IF(OR(A70="",E70=""),"",IF(E70&lt;=0,"אזל",IF(E70&lt;=N(F70),"להזמין","תקין")))</f>
        <v/>
      </c>
    </row>
    <row r="71">
      <c r="A71" s="8" t="n"/>
      <c r="B71" s="9" t="n"/>
      <c r="C71" s="8" t="n"/>
      <c r="D71" s="8" t="n"/>
      <c r="E71" s="15" t="n"/>
      <c r="F71" s="15" t="n"/>
      <c r="G71" s="11" t="str">
        <f>IF(OR(E71="",F71=""),"",IF(E71&lt;=F71,F71*2-E71,0))</f>
        <v/>
      </c>
      <c r="H71" s="16" t="n"/>
      <c r="I71" s="16" t="n"/>
      <c r="J71" s="13" t="str">
        <f>IF(OR(E71="",H71=""),"",E71*H71)</f>
        <v/>
      </c>
      <c r="K71" s="13" t="str">
        <f>IF(OR(E71="",I71=""),"",E71*I71)</f>
        <v/>
      </c>
      <c r="L71" s="14" t="str">
        <f>IF(OR(A71="",E71=""),"",IF(E71&lt;=0,"אזל",IF(E71&lt;=N(F71),"להזמין","תקין")))</f>
        <v/>
      </c>
    </row>
    <row r="72">
      <c r="A72" s="8" t="n"/>
      <c r="B72" s="9" t="n"/>
      <c r="C72" s="8" t="n"/>
      <c r="D72" s="8" t="n"/>
      <c r="E72" s="15" t="n"/>
      <c r="F72" s="15" t="n"/>
      <c r="G72" s="11" t="str">
        <f>IF(OR(E72="",F72=""),"",IF(E72&lt;=F72,F72*2-E72,0))</f>
        <v/>
      </c>
      <c r="H72" s="16" t="n"/>
      <c r="I72" s="16" t="n"/>
      <c r="J72" s="13" t="str">
        <f>IF(OR(E72="",H72=""),"",E72*H72)</f>
        <v/>
      </c>
      <c r="K72" s="13" t="str">
        <f>IF(OR(E72="",I72=""),"",E72*I72)</f>
        <v/>
      </c>
      <c r="L72" s="14" t="str">
        <f>IF(OR(A72="",E72=""),"",IF(E72&lt;=0,"אזל",IF(E72&lt;=N(F72),"להזמין","תקין")))</f>
        <v/>
      </c>
    </row>
    <row r="73">
      <c r="A73" s="8" t="n"/>
      <c r="B73" s="9" t="n"/>
      <c r="C73" s="8" t="n"/>
      <c r="D73" s="8" t="n"/>
      <c r="E73" s="15" t="n"/>
      <c r="F73" s="15" t="n"/>
      <c r="G73" s="11" t="str">
        <f>IF(OR(E73="",F73=""),"",IF(E73&lt;=F73,F73*2-E73,0))</f>
        <v/>
      </c>
      <c r="H73" s="16" t="n"/>
      <c r="I73" s="16" t="n"/>
      <c r="J73" s="13" t="str">
        <f>IF(OR(E73="",H73=""),"",E73*H73)</f>
        <v/>
      </c>
      <c r="K73" s="13" t="str">
        <f>IF(OR(E73="",I73=""),"",E73*I73)</f>
        <v/>
      </c>
      <c r="L73" s="14" t="str">
        <f>IF(OR(A73="",E73=""),"",IF(E73&lt;=0,"אזל",IF(E73&lt;=N(F73),"להזמין","תקין")))</f>
        <v/>
      </c>
    </row>
    <row r="74">
      <c r="A74" s="8" t="n"/>
      <c r="B74" s="9" t="n"/>
      <c r="C74" s="8" t="n"/>
      <c r="D74" s="8" t="n"/>
      <c r="E74" s="15" t="n"/>
      <c r="F74" s="15" t="n"/>
      <c r="G74" s="11" t="str">
        <f>IF(OR(E74="",F74=""),"",IF(E74&lt;=F74,F74*2-E74,0))</f>
        <v/>
      </c>
      <c r="H74" s="16" t="n"/>
      <c r="I74" s="16" t="n"/>
      <c r="J74" s="13" t="str">
        <f>IF(OR(E74="",H74=""),"",E74*H74)</f>
        <v/>
      </c>
      <c r="K74" s="13" t="str">
        <f>IF(OR(E74="",I74=""),"",E74*I74)</f>
        <v/>
      </c>
      <c r="L74" s="14" t="str">
        <f>IF(OR(A74="",E74=""),"",IF(E74&lt;=0,"אזל",IF(E74&lt;=N(F74),"להזמין","תקין")))</f>
        <v/>
      </c>
    </row>
    <row r="75">
      <c r="A75" s="8" t="n"/>
      <c r="B75" s="9" t="n"/>
      <c r="C75" s="8" t="n"/>
      <c r="D75" s="8" t="n"/>
      <c r="E75" s="15" t="n"/>
      <c r="F75" s="15" t="n"/>
      <c r="G75" s="11" t="str">
        <f>IF(OR(E75="",F75=""),"",IF(E75&lt;=F75,F75*2-E75,0))</f>
        <v/>
      </c>
      <c r="H75" s="16" t="n"/>
      <c r="I75" s="16" t="n"/>
      <c r="J75" s="13" t="str">
        <f>IF(OR(E75="",H75=""),"",E75*H75)</f>
        <v/>
      </c>
      <c r="K75" s="13" t="str">
        <f>IF(OR(E75="",I75=""),"",E75*I75)</f>
        <v/>
      </c>
      <c r="L75" s="14" t="str">
        <f>IF(OR(A75="",E75=""),"",IF(E75&lt;=0,"אזל",IF(E75&lt;=N(F75),"להזמין","תקין")))</f>
        <v/>
      </c>
    </row>
    <row r="76">
      <c r="A76" s="8" t="n"/>
      <c r="B76" s="9" t="n"/>
      <c r="C76" s="8" t="n"/>
      <c r="D76" s="8" t="n"/>
      <c r="E76" s="15" t="n"/>
      <c r="F76" s="15" t="n"/>
      <c r="G76" s="11" t="str">
        <f>IF(OR(E76="",F76=""),"",IF(E76&lt;=F76,F76*2-E76,0))</f>
        <v/>
      </c>
      <c r="H76" s="16" t="n"/>
      <c r="I76" s="16" t="n"/>
      <c r="J76" s="13" t="str">
        <f>IF(OR(E76="",H76=""),"",E76*H76)</f>
        <v/>
      </c>
      <c r="K76" s="13" t="str">
        <f>IF(OR(E76="",I76=""),"",E76*I76)</f>
        <v/>
      </c>
      <c r="L76" s="14" t="str">
        <f>IF(OR(A76="",E76=""),"",IF(E76&lt;=0,"אזל",IF(E76&lt;=N(F76),"להזמין","תקין")))</f>
        <v/>
      </c>
    </row>
    <row r="77">
      <c r="A77" s="8" t="n"/>
      <c r="B77" s="9" t="n"/>
      <c r="C77" s="8" t="n"/>
      <c r="D77" s="8" t="n"/>
      <c r="E77" s="15" t="n"/>
      <c r="F77" s="15" t="n"/>
      <c r="G77" s="11" t="str">
        <f>IF(OR(E77="",F77=""),"",IF(E77&lt;=F77,F77*2-E77,0))</f>
        <v/>
      </c>
      <c r="H77" s="16" t="n"/>
      <c r="I77" s="16" t="n"/>
      <c r="J77" s="13" t="str">
        <f>IF(OR(E77="",H77=""),"",E77*H77)</f>
        <v/>
      </c>
      <c r="K77" s="13" t="str">
        <f>IF(OR(E77="",I77=""),"",E77*I77)</f>
        <v/>
      </c>
      <c r="L77" s="14" t="str">
        <f>IF(OR(A77="",E77=""),"",IF(E77&lt;=0,"אזל",IF(E77&lt;=N(F77),"להזמין","תקין")))</f>
        <v/>
      </c>
    </row>
    <row r="78">
      <c r="A78" s="8" t="n"/>
      <c r="B78" s="9" t="n"/>
      <c r="C78" s="8" t="n"/>
      <c r="D78" s="8" t="n"/>
      <c r="E78" s="15" t="n"/>
      <c r="F78" s="15" t="n"/>
      <c r="G78" s="11" t="str">
        <f>IF(OR(E78="",F78=""),"",IF(E78&lt;=F78,F78*2-E78,0))</f>
        <v/>
      </c>
      <c r="H78" s="16" t="n"/>
      <c r="I78" s="16" t="n"/>
      <c r="J78" s="13" t="str">
        <f>IF(OR(E78="",H78=""),"",E78*H78)</f>
        <v/>
      </c>
      <c r="K78" s="13" t="str">
        <f>IF(OR(E78="",I78=""),"",E78*I78)</f>
        <v/>
      </c>
      <c r="L78" s="14" t="str">
        <f>IF(OR(A78="",E78=""),"",IF(E78&lt;=0,"אזל",IF(E78&lt;=N(F78),"להזמין","תקין")))</f>
        <v/>
      </c>
    </row>
    <row r="79">
      <c r="A79" s="8" t="n"/>
      <c r="B79" s="9" t="n"/>
      <c r="C79" s="8" t="n"/>
      <c r="D79" s="8" t="n"/>
      <c r="E79" s="15" t="n"/>
      <c r="F79" s="15" t="n"/>
      <c r="G79" s="11" t="str">
        <f>IF(OR(E79="",F79=""),"",IF(E79&lt;=F79,F79*2-E79,0))</f>
        <v/>
      </c>
      <c r="H79" s="16" t="n"/>
      <c r="I79" s="16" t="n"/>
      <c r="J79" s="13" t="str">
        <f>IF(OR(E79="",H79=""),"",E79*H79)</f>
        <v/>
      </c>
      <c r="K79" s="13" t="str">
        <f>IF(OR(E79="",I79=""),"",E79*I79)</f>
        <v/>
      </c>
      <c r="L79" s="14" t="str">
        <f>IF(OR(A79="",E79=""),"",IF(E79&lt;=0,"אזל",IF(E79&lt;=N(F79),"להזמין","תקין")))</f>
        <v/>
      </c>
    </row>
    <row r="80">
      <c r="A80" s="8" t="n"/>
      <c r="B80" s="9" t="n"/>
      <c r="C80" s="8" t="n"/>
      <c r="D80" s="8" t="n"/>
      <c r="E80" s="15" t="n"/>
      <c r="F80" s="15" t="n"/>
      <c r="G80" s="11" t="str">
        <f>IF(OR(E80="",F80=""),"",IF(E80&lt;=F80,F80*2-E80,0))</f>
        <v/>
      </c>
      <c r="H80" s="16" t="n"/>
      <c r="I80" s="16" t="n"/>
      <c r="J80" s="13" t="str">
        <f>IF(OR(E80="",H80=""),"",E80*H80)</f>
        <v/>
      </c>
      <c r="K80" s="13" t="str">
        <f>IF(OR(E80="",I80=""),"",E80*I80)</f>
        <v/>
      </c>
      <c r="L80" s="14" t="str">
        <f>IF(OR(A80="",E80=""),"",IF(E80&lt;=0,"אזל",IF(E80&lt;=N(F80),"להזמין","תקין")))</f>
        <v/>
      </c>
    </row>
    <row r="81">
      <c r="A81" s="8" t="n"/>
      <c r="B81" s="9" t="n"/>
      <c r="C81" s="8" t="n"/>
      <c r="D81" s="8" t="n"/>
      <c r="E81" s="15" t="n"/>
      <c r="F81" s="15" t="n"/>
      <c r="G81" s="11" t="str">
        <f>IF(OR(E81="",F81=""),"",IF(E81&lt;=F81,F81*2-E81,0))</f>
        <v/>
      </c>
      <c r="H81" s="16" t="n"/>
      <c r="I81" s="16" t="n"/>
      <c r="J81" s="13" t="str">
        <f>IF(OR(E81="",H81=""),"",E81*H81)</f>
        <v/>
      </c>
      <c r="K81" s="13" t="str">
        <f>IF(OR(E81="",I81=""),"",E81*I81)</f>
        <v/>
      </c>
      <c r="L81" s="14" t="str">
        <f>IF(OR(A81="",E81=""),"",IF(E81&lt;=0,"אזל",IF(E81&lt;=N(F81),"להזמין","תקין")))</f>
        <v/>
      </c>
    </row>
    <row r="82">
      <c r="A82" s="8" t="n"/>
      <c r="B82" s="9" t="n"/>
      <c r="C82" s="8" t="n"/>
      <c r="D82" s="8" t="n"/>
      <c r="E82" s="15" t="n"/>
      <c r="F82" s="15" t="n"/>
      <c r="G82" s="11" t="str">
        <f>IF(OR(E82="",F82=""),"",IF(E82&lt;=F82,F82*2-E82,0))</f>
        <v/>
      </c>
      <c r="H82" s="16" t="n"/>
      <c r="I82" s="16" t="n"/>
      <c r="J82" s="13" t="str">
        <f>IF(OR(E82="",H82=""),"",E82*H82)</f>
        <v/>
      </c>
      <c r="K82" s="13" t="str">
        <f>IF(OR(E82="",I82=""),"",E82*I82)</f>
        <v/>
      </c>
      <c r="L82" s="14" t="str">
        <f>IF(OR(A82="",E82=""),"",IF(E82&lt;=0,"אזל",IF(E82&lt;=N(F82),"להזמין","תקין")))</f>
        <v/>
      </c>
    </row>
    <row r="83">
      <c r="A83" s="8" t="n"/>
      <c r="B83" s="9" t="n"/>
      <c r="C83" s="8" t="n"/>
      <c r="D83" s="8" t="n"/>
      <c r="E83" s="15" t="n"/>
      <c r="F83" s="15" t="n"/>
      <c r="G83" s="11" t="str">
        <f>IF(OR(E83="",F83=""),"",IF(E83&lt;=F83,F83*2-E83,0))</f>
        <v/>
      </c>
      <c r="H83" s="16" t="n"/>
      <c r="I83" s="16" t="n"/>
      <c r="J83" s="13" t="str">
        <f>IF(OR(E83="",H83=""),"",E83*H83)</f>
        <v/>
      </c>
      <c r="K83" s="13" t="str">
        <f>IF(OR(E83="",I83=""),"",E83*I83)</f>
        <v/>
      </c>
      <c r="L83" s="14" t="str">
        <f>IF(OR(A83="",E83=""),"",IF(E83&lt;=0,"אזל",IF(E83&lt;=N(F83),"להזמין","תקין")))</f>
        <v/>
      </c>
    </row>
    <row r="84">
      <c r="A84" s="8" t="n"/>
      <c r="B84" s="9" t="n"/>
      <c r="C84" s="8" t="n"/>
      <c r="D84" s="8" t="n"/>
      <c r="E84" s="15" t="n"/>
      <c r="F84" s="15" t="n"/>
      <c r="G84" s="11" t="str">
        <f>IF(OR(E84="",F84=""),"",IF(E84&lt;=F84,F84*2-E84,0))</f>
        <v/>
      </c>
      <c r="H84" s="16" t="n"/>
      <c r="I84" s="16" t="n"/>
      <c r="J84" s="13" t="str">
        <f>IF(OR(E84="",H84=""),"",E84*H84)</f>
        <v/>
      </c>
      <c r="K84" s="13" t="str">
        <f>IF(OR(E84="",I84=""),"",E84*I84)</f>
        <v/>
      </c>
      <c r="L84" s="14" t="str">
        <f>IF(OR(A84="",E84=""),"",IF(E84&lt;=0,"אזל",IF(E84&lt;=N(F84),"להזמין","תקין")))</f>
        <v/>
      </c>
    </row>
    <row r="85">
      <c r="A85" s="8" t="n"/>
      <c r="B85" s="9" t="n"/>
      <c r="C85" s="8" t="n"/>
      <c r="D85" s="8" t="n"/>
      <c r="E85" s="15" t="n"/>
      <c r="F85" s="15" t="n"/>
      <c r="G85" s="11" t="str">
        <f>IF(OR(E85="",F85=""),"",IF(E85&lt;=F85,F85*2-E85,0))</f>
        <v/>
      </c>
      <c r="H85" s="16" t="n"/>
      <c r="I85" s="16" t="n"/>
      <c r="J85" s="13" t="str">
        <f>IF(OR(E85="",H85=""),"",E85*H85)</f>
        <v/>
      </c>
      <c r="K85" s="13" t="str">
        <f>IF(OR(E85="",I85=""),"",E85*I85)</f>
        <v/>
      </c>
      <c r="L85" s="14" t="str">
        <f>IF(OR(A85="",E85=""),"",IF(E85&lt;=0,"אזל",IF(E85&lt;=N(F85),"להזמין","תקין")))</f>
        <v/>
      </c>
    </row>
    <row r="86">
      <c r="A86" s="8" t="n"/>
      <c r="B86" s="9" t="n"/>
      <c r="C86" s="8" t="n"/>
      <c r="D86" s="8" t="n"/>
      <c r="E86" s="15" t="n"/>
      <c r="F86" s="15" t="n"/>
      <c r="G86" s="11" t="str">
        <f>IF(OR(E86="",F86=""),"",IF(E86&lt;=F86,F86*2-E86,0))</f>
        <v/>
      </c>
      <c r="H86" s="16" t="n"/>
      <c r="I86" s="16" t="n"/>
      <c r="J86" s="13" t="str">
        <f>IF(OR(E86="",H86=""),"",E86*H86)</f>
        <v/>
      </c>
      <c r="K86" s="13" t="str">
        <f>IF(OR(E86="",I86=""),"",E86*I86)</f>
        <v/>
      </c>
      <c r="L86" s="14" t="str">
        <f>IF(OR(A86="",E86=""),"",IF(E86&lt;=0,"אזל",IF(E86&lt;=N(F86),"להזמין","תקין")))</f>
        <v/>
      </c>
    </row>
    <row r="87">
      <c r="A87" s="8" t="n"/>
      <c r="B87" s="9" t="n"/>
      <c r="C87" s="8" t="n"/>
      <c r="D87" s="8" t="n"/>
      <c r="E87" s="15" t="n"/>
      <c r="F87" s="15" t="n"/>
      <c r="G87" s="11" t="str">
        <f>IF(OR(E87="",F87=""),"",IF(E87&lt;=F87,F87*2-E87,0))</f>
        <v/>
      </c>
      <c r="H87" s="16" t="n"/>
      <c r="I87" s="16" t="n"/>
      <c r="J87" s="13" t="str">
        <f>IF(OR(E87="",H87=""),"",E87*H87)</f>
        <v/>
      </c>
      <c r="K87" s="13" t="str">
        <f>IF(OR(E87="",I87=""),"",E87*I87)</f>
        <v/>
      </c>
      <c r="L87" s="14" t="str">
        <f>IF(OR(A87="",E87=""),"",IF(E87&lt;=0,"אזל",IF(E87&lt;=N(F87),"להזמין","תקין")))</f>
        <v/>
      </c>
    </row>
    <row r="88">
      <c r="A88" s="8" t="n"/>
      <c r="B88" s="9" t="n"/>
      <c r="C88" s="8" t="n"/>
      <c r="D88" s="8" t="n"/>
      <c r="E88" s="15" t="n"/>
      <c r="F88" s="15" t="n"/>
      <c r="G88" s="11" t="str">
        <f>IF(OR(E88="",F88=""),"",IF(E88&lt;=F88,F88*2-E88,0))</f>
        <v/>
      </c>
      <c r="H88" s="16" t="n"/>
      <c r="I88" s="16" t="n"/>
      <c r="J88" s="13" t="str">
        <f>IF(OR(E88="",H88=""),"",E88*H88)</f>
        <v/>
      </c>
      <c r="K88" s="13" t="str">
        <f>IF(OR(E88="",I88=""),"",E88*I88)</f>
        <v/>
      </c>
      <c r="L88" s="14" t="str">
        <f>IF(OR(A88="",E88=""),"",IF(E88&lt;=0,"אזל",IF(E88&lt;=N(F88),"להזמין","תקין")))</f>
        <v/>
      </c>
    </row>
    <row r="89">
      <c r="A89" s="8" t="n"/>
      <c r="B89" s="9" t="n"/>
      <c r="C89" s="8" t="n"/>
      <c r="D89" s="8" t="n"/>
      <c r="E89" s="15" t="n"/>
      <c r="F89" s="15" t="n"/>
      <c r="G89" s="11" t="str">
        <f>IF(OR(E89="",F89=""),"",IF(E89&lt;=F89,F89*2-E89,0))</f>
        <v/>
      </c>
      <c r="H89" s="16" t="n"/>
      <c r="I89" s="16" t="n"/>
      <c r="J89" s="13" t="str">
        <f>IF(OR(E89="",H89=""),"",E89*H89)</f>
        <v/>
      </c>
      <c r="K89" s="13" t="str">
        <f>IF(OR(E89="",I89=""),"",E89*I89)</f>
        <v/>
      </c>
      <c r="L89" s="14" t="str">
        <f>IF(OR(A89="",E89=""),"",IF(E89&lt;=0,"אזל",IF(E89&lt;=N(F89),"להזמין","תקין")))</f>
        <v/>
      </c>
    </row>
    <row r="90">
      <c r="A90" s="8" t="n"/>
      <c r="B90" s="9" t="n"/>
      <c r="C90" s="8" t="n"/>
      <c r="D90" s="8" t="n"/>
      <c r="E90" s="15" t="n"/>
      <c r="F90" s="15" t="n"/>
      <c r="G90" s="11" t="str">
        <f>IF(OR(E90="",F90=""),"",IF(E90&lt;=F90,F90*2-E90,0))</f>
        <v/>
      </c>
      <c r="H90" s="16" t="n"/>
      <c r="I90" s="16" t="n"/>
      <c r="J90" s="13" t="str">
        <f>IF(OR(E90="",H90=""),"",E90*H90)</f>
        <v/>
      </c>
      <c r="K90" s="13" t="str">
        <f>IF(OR(E90="",I90=""),"",E90*I90)</f>
        <v/>
      </c>
      <c r="L90" s="14" t="str">
        <f>IF(OR(A90="",E90=""),"",IF(E90&lt;=0,"אזל",IF(E90&lt;=N(F90),"להזמין","תקין")))</f>
        <v/>
      </c>
    </row>
    <row r="91">
      <c r="A91" s="8" t="n"/>
      <c r="B91" s="9" t="n"/>
      <c r="C91" s="8" t="n"/>
      <c r="D91" s="8" t="n"/>
      <c r="E91" s="15" t="n"/>
      <c r="F91" s="15" t="n"/>
      <c r="G91" s="11" t="str">
        <f>IF(OR(E91="",F91=""),"",IF(E91&lt;=F91,F91*2-E91,0))</f>
        <v/>
      </c>
      <c r="H91" s="16" t="n"/>
      <c r="I91" s="16" t="n"/>
      <c r="J91" s="13" t="str">
        <f>IF(OR(E91="",H91=""),"",E91*H91)</f>
        <v/>
      </c>
      <c r="K91" s="13" t="str">
        <f>IF(OR(E91="",I91=""),"",E91*I91)</f>
        <v/>
      </c>
      <c r="L91" s="14" t="str">
        <f>IF(OR(A91="",E91=""),"",IF(E91&lt;=0,"אזל",IF(E91&lt;=N(F91),"להזמין","תקין")))</f>
        <v/>
      </c>
    </row>
    <row r="92">
      <c r="A92" s="8" t="n"/>
      <c r="B92" s="9" t="n"/>
      <c r="C92" s="8" t="n"/>
      <c r="D92" s="8" t="n"/>
      <c r="E92" s="15" t="n"/>
      <c r="F92" s="15" t="n"/>
      <c r="G92" s="11" t="str">
        <f>IF(OR(E92="",F92=""),"",IF(E92&lt;=F92,F92*2-E92,0))</f>
        <v/>
      </c>
      <c r="H92" s="16" t="n"/>
      <c r="I92" s="16" t="n"/>
      <c r="J92" s="13" t="str">
        <f>IF(OR(E92="",H92=""),"",E92*H92)</f>
        <v/>
      </c>
      <c r="K92" s="13" t="str">
        <f>IF(OR(E92="",I92=""),"",E92*I92)</f>
        <v/>
      </c>
      <c r="L92" s="14" t="str">
        <f>IF(OR(A92="",E92=""),"",IF(E92&lt;=0,"אזל",IF(E92&lt;=N(F92),"להזמין","תקין")))</f>
        <v/>
      </c>
    </row>
    <row r="93">
      <c r="A93" s="8" t="n"/>
      <c r="B93" s="9" t="n"/>
      <c r="C93" s="8" t="n"/>
      <c r="D93" s="8" t="n"/>
      <c r="E93" s="15" t="n"/>
      <c r="F93" s="15" t="n"/>
      <c r="G93" s="11" t="str">
        <f>IF(OR(E93="",F93=""),"",IF(E93&lt;=F93,F93*2-E93,0))</f>
        <v/>
      </c>
      <c r="H93" s="16" t="n"/>
      <c r="I93" s="16" t="n"/>
      <c r="J93" s="13" t="str">
        <f>IF(OR(E93="",H93=""),"",E93*H93)</f>
        <v/>
      </c>
      <c r="K93" s="13" t="str">
        <f>IF(OR(E93="",I93=""),"",E93*I93)</f>
        <v/>
      </c>
      <c r="L93" s="14" t="str">
        <f>IF(OR(A93="",E93=""),"",IF(E93&lt;=0,"אזל",IF(E93&lt;=N(F93),"להזמין","תקין")))</f>
        <v/>
      </c>
    </row>
    <row r="94">
      <c r="A94" s="8" t="n"/>
      <c r="B94" s="9" t="n"/>
      <c r="C94" s="8" t="n"/>
      <c r="D94" s="8" t="n"/>
      <c r="E94" s="15" t="n"/>
      <c r="F94" s="15" t="n"/>
      <c r="G94" s="11" t="str">
        <f>IF(OR(E94="",F94=""),"",IF(E94&lt;=F94,F94*2-E94,0))</f>
        <v/>
      </c>
      <c r="H94" s="16" t="n"/>
      <c r="I94" s="16" t="n"/>
      <c r="J94" s="13" t="str">
        <f>IF(OR(E94="",H94=""),"",E94*H94)</f>
        <v/>
      </c>
      <c r="K94" s="13" t="str">
        <f>IF(OR(E94="",I94=""),"",E94*I94)</f>
        <v/>
      </c>
      <c r="L94" s="14" t="str">
        <f>IF(OR(A94="",E94=""),"",IF(E94&lt;=0,"אזל",IF(E94&lt;=N(F94),"להזמין","תקין")))</f>
        <v/>
      </c>
    </row>
    <row r="95">
      <c r="A95" s="8" t="n"/>
      <c r="B95" s="9" t="n"/>
      <c r="C95" s="8" t="n"/>
      <c r="D95" s="8" t="n"/>
      <c r="E95" s="15" t="n"/>
      <c r="F95" s="15" t="n"/>
      <c r="G95" s="11" t="str">
        <f>IF(OR(E95="",F95=""),"",IF(E95&lt;=F95,F95*2-E95,0))</f>
        <v/>
      </c>
      <c r="H95" s="16" t="n"/>
      <c r="I95" s="16" t="n"/>
      <c r="J95" s="13" t="str">
        <f>IF(OR(E95="",H95=""),"",E95*H95)</f>
        <v/>
      </c>
      <c r="K95" s="13" t="str">
        <f>IF(OR(E95="",I95=""),"",E95*I95)</f>
        <v/>
      </c>
      <c r="L95" s="14" t="str">
        <f>IF(OR(A95="",E95=""),"",IF(E95&lt;=0,"אזל",IF(E95&lt;=N(F95),"להזמין","תקין")))</f>
        <v/>
      </c>
    </row>
    <row r="96">
      <c r="A96" s="8" t="n"/>
      <c r="B96" s="9" t="n"/>
      <c r="C96" s="8" t="n"/>
      <c r="D96" s="8" t="n"/>
      <c r="E96" s="15" t="n"/>
      <c r="F96" s="15" t="n"/>
      <c r="G96" s="11" t="str">
        <f>IF(OR(E96="",F96=""),"",IF(E96&lt;=F96,F96*2-E96,0))</f>
        <v/>
      </c>
      <c r="H96" s="16" t="n"/>
      <c r="I96" s="16" t="n"/>
      <c r="J96" s="13" t="str">
        <f>IF(OR(E96="",H96=""),"",E96*H96)</f>
        <v/>
      </c>
      <c r="K96" s="13" t="str">
        <f>IF(OR(E96="",I96=""),"",E96*I96)</f>
        <v/>
      </c>
      <c r="L96" s="14" t="str">
        <f>IF(OR(A96="",E96=""),"",IF(E96&lt;=0,"אזל",IF(E96&lt;=N(F96),"להזמין","תקין")))</f>
        <v/>
      </c>
    </row>
    <row r="97">
      <c r="A97" s="8" t="n"/>
      <c r="B97" s="9" t="n"/>
      <c r="C97" s="8" t="n"/>
      <c r="D97" s="8" t="n"/>
      <c r="E97" s="15" t="n"/>
      <c r="F97" s="15" t="n"/>
      <c r="G97" s="11" t="str">
        <f>IF(OR(E97="",F97=""),"",IF(E97&lt;=F97,F97*2-E97,0))</f>
        <v/>
      </c>
      <c r="H97" s="16" t="n"/>
      <c r="I97" s="16" t="n"/>
      <c r="J97" s="13" t="str">
        <f>IF(OR(E97="",H97=""),"",E97*H97)</f>
        <v/>
      </c>
      <c r="K97" s="13" t="str">
        <f>IF(OR(E97="",I97=""),"",E97*I97)</f>
        <v/>
      </c>
      <c r="L97" s="14" t="str">
        <f>IF(OR(A97="",E97=""),"",IF(E97&lt;=0,"אזל",IF(E97&lt;=N(F97),"להזמין","תקין")))</f>
        <v/>
      </c>
    </row>
    <row r="98">
      <c r="A98" s="8" t="n"/>
      <c r="B98" s="9" t="n"/>
      <c r="C98" s="8" t="n"/>
      <c r="D98" s="8" t="n"/>
      <c r="E98" s="15" t="n"/>
      <c r="F98" s="15" t="n"/>
      <c r="G98" s="11" t="str">
        <f>IF(OR(E98="",F98=""),"",IF(E98&lt;=F98,F98*2-E98,0))</f>
        <v/>
      </c>
      <c r="H98" s="16" t="n"/>
      <c r="I98" s="16" t="n"/>
      <c r="J98" s="13" t="str">
        <f>IF(OR(E98="",H98=""),"",E98*H98)</f>
        <v/>
      </c>
      <c r="K98" s="13" t="str">
        <f>IF(OR(E98="",I98=""),"",E98*I98)</f>
        <v/>
      </c>
      <c r="L98" s="14" t="str">
        <f>IF(OR(A98="",E98=""),"",IF(E98&lt;=0,"אזל",IF(E98&lt;=N(F98),"להזמין","תקין")))</f>
        <v/>
      </c>
    </row>
    <row r="99">
      <c r="A99" s="8" t="n"/>
      <c r="B99" s="9" t="n"/>
      <c r="C99" s="8" t="n"/>
      <c r="D99" s="8" t="n"/>
      <c r="E99" s="15" t="n"/>
      <c r="F99" s="15" t="n"/>
      <c r="G99" s="11" t="str">
        <f>IF(OR(E99="",F99=""),"",IF(E99&lt;=F99,F99*2-E99,0))</f>
        <v/>
      </c>
      <c r="H99" s="16" t="n"/>
      <c r="I99" s="16" t="n"/>
      <c r="J99" s="13" t="str">
        <f>IF(OR(E99="",H99=""),"",E99*H99)</f>
        <v/>
      </c>
      <c r="K99" s="13" t="str">
        <f>IF(OR(E99="",I99=""),"",E99*I99)</f>
        <v/>
      </c>
      <c r="L99" s="14" t="str">
        <f>IF(OR(A99="",E99=""),"",IF(E99&lt;=0,"אזל",IF(E99&lt;=N(F99),"להזמין","תקין")))</f>
        <v/>
      </c>
    </row>
    <row r="100">
      <c r="A100" s="8" t="n"/>
      <c r="B100" s="9" t="n"/>
      <c r="C100" s="8" t="n"/>
      <c r="D100" s="8" t="n"/>
      <c r="E100" s="15" t="n"/>
      <c r="F100" s="15" t="n"/>
      <c r="G100" s="11" t="str">
        <f>IF(OR(E100="",F100=""),"",IF(E100&lt;=F100,F100*2-E100,0))</f>
        <v/>
      </c>
      <c r="H100" s="16" t="n"/>
      <c r="I100" s="16" t="n"/>
      <c r="J100" s="13" t="str">
        <f>IF(OR(E100="",H100=""),"",E100*H100)</f>
        <v/>
      </c>
      <c r="K100" s="13" t="str">
        <f>IF(OR(E100="",I100=""),"",E100*I100)</f>
        <v/>
      </c>
      <c r="L100" s="14" t="str">
        <f>IF(OR(A100="",E100=""),"",IF(E100&lt;=0,"אזל",IF(E100&lt;=N(F100),"להזמין","תקין")))</f>
        <v/>
      </c>
    </row>
    <row r="101">
      <c r="A101" s="8" t="n"/>
      <c r="B101" s="9" t="n"/>
      <c r="C101" s="8" t="n"/>
      <c r="D101" s="8" t="n"/>
      <c r="E101" s="15" t="n"/>
      <c r="F101" s="15" t="n"/>
      <c r="G101" s="11" t="str">
        <f>IF(OR(E101="",F101=""),"",IF(E101&lt;=F101,F101*2-E101,0))</f>
        <v/>
      </c>
      <c r="H101" s="16" t="n"/>
      <c r="I101" s="16" t="n"/>
      <c r="J101" s="13" t="str">
        <f>IF(OR(E101="",H101=""),"",E101*H101)</f>
        <v/>
      </c>
      <c r="K101" s="13" t="str">
        <f>IF(OR(E101="",I101=""),"",E101*I101)</f>
        <v/>
      </c>
      <c r="L101" s="14" t="str">
        <f>IF(OR(A101="",E101=""),"",IF(E101&lt;=0,"אזל",IF(E101&lt;=N(F101),"להזמין","תקין")))</f>
        <v/>
      </c>
    </row>
    <row r="102">
      <c r="A102" s="8" t="n"/>
      <c r="B102" s="9" t="n"/>
      <c r="C102" s="8" t="n"/>
      <c r="D102" s="8" t="n"/>
      <c r="E102" s="15" t="n"/>
      <c r="F102" s="15" t="n"/>
      <c r="G102" s="11" t="str">
        <f>IF(OR(E102="",F102=""),"",IF(E102&lt;=F102,F102*2-E102,0))</f>
        <v/>
      </c>
      <c r="H102" s="16" t="n"/>
      <c r="I102" s="16" t="n"/>
      <c r="J102" s="13" t="str">
        <f>IF(OR(E102="",H102=""),"",E102*H102)</f>
        <v/>
      </c>
      <c r="K102" s="13" t="str">
        <f>IF(OR(E102="",I102=""),"",E102*I102)</f>
        <v/>
      </c>
      <c r="L102" s="14" t="str">
        <f>IF(OR(A102="",E102=""),"",IF(E102&lt;=0,"אזל",IF(E102&lt;=N(F102),"להזמין","תקין")))</f>
        <v/>
      </c>
    </row>
    <row r="103">
      <c r="A103" s="8" t="n"/>
      <c r="B103" s="9" t="n"/>
      <c r="C103" s="8" t="n"/>
      <c r="D103" s="8" t="n"/>
      <c r="E103" s="15" t="n"/>
      <c r="F103" s="15" t="n"/>
      <c r="G103" s="11" t="str">
        <f>IF(OR(E103="",F103=""),"",IF(E103&lt;=F103,F103*2-E103,0))</f>
        <v/>
      </c>
      <c r="H103" s="16" t="n"/>
      <c r="I103" s="16" t="n"/>
      <c r="J103" s="13" t="str">
        <f>IF(OR(E103="",H103=""),"",E103*H103)</f>
        <v/>
      </c>
      <c r="K103" s="13" t="str">
        <f>IF(OR(E103="",I103=""),"",E103*I103)</f>
        <v/>
      </c>
      <c r="L103" s="14" t="str">
        <f>IF(OR(A103="",E103=""),"",IF(E103&lt;=0,"אזל",IF(E103&lt;=N(F103),"להזמין","תקין")))</f>
        <v/>
      </c>
    </row>
    <row r="104">
      <c r="A104" s="8" t="n"/>
      <c r="B104" s="9" t="n"/>
      <c r="C104" s="8" t="n"/>
      <c r="D104" s="8" t="n"/>
      <c r="E104" s="15" t="n"/>
      <c r="F104" s="15" t="n"/>
      <c r="G104" s="11" t="str">
        <f>IF(OR(E104="",F104=""),"",IF(E104&lt;=F104,F104*2-E104,0))</f>
        <v/>
      </c>
      <c r="H104" s="16" t="n"/>
      <c r="I104" s="16" t="n"/>
      <c r="J104" s="13" t="str">
        <f>IF(OR(E104="",H104=""),"",E104*H104)</f>
        <v/>
      </c>
      <c r="K104" s="13" t="str">
        <f>IF(OR(E104="",I104=""),"",E104*I104)</f>
        <v/>
      </c>
      <c r="L104" s="14" t="str">
        <f>IF(OR(A104="",E104=""),"",IF(E104&lt;=0,"אזל",IF(E104&lt;=N(F104),"להזמין","תקין")))</f>
        <v/>
      </c>
    </row>
    <row r="105">
      <c r="A105" s="8" t="n"/>
      <c r="B105" s="9" t="n"/>
      <c r="C105" s="8" t="n"/>
      <c r="D105" s="8" t="n"/>
      <c r="E105" s="15" t="n"/>
      <c r="F105" s="15" t="n"/>
      <c r="G105" s="11" t="str">
        <f>IF(OR(E105="",F105=""),"",IF(E105&lt;=F105,F105*2-E105,0))</f>
        <v/>
      </c>
      <c r="H105" s="16" t="n"/>
      <c r="I105" s="16" t="n"/>
      <c r="J105" s="13" t="str">
        <f>IF(OR(E105="",H105=""),"",E105*H105)</f>
        <v/>
      </c>
      <c r="K105" s="13" t="str">
        <f>IF(OR(E105="",I105=""),"",E105*I105)</f>
        <v/>
      </c>
      <c r="L105" s="14" t="str">
        <f>IF(OR(A105="",E105=""),"",IF(E105&lt;=0,"אזל",IF(E105&lt;=N(F105),"להזמין","תקין")))</f>
        <v/>
      </c>
    </row>
    <row r="106">
      <c r="A106" s="8" t="n"/>
      <c r="B106" s="9" t="n"/>
      <c r="C106" s="8" t="n"/>
      <c r="D106" s="8" t="n"/>
      <c r="E106" s="15" t="n"/>
      <c r="F106" s="15" t="n"/>
      <c r="G106" s="11" t="str">
        <f>IF(OR(E106="",F106=""),"",IF(E106&lt;=F106,F106*2-E106,0))</f>
        <v/>
      </c>
      <c r="H106" s="16" t="n"/>
      <c r="I106" s="16" t="n"/>
      <c r="J106" s="13" t="str">
        <f>IF(OR(E106="",H106=""),"",E106*H106)</f>
        <v/>
      </c>
      <c r="K106" s="13" t="str">
        <f>IF(OR(E106="",I106=""),"",E106*I106)</f>
        <v/>
      </c>
      <c r="L106" s="14" t="str">
        <f>IF(OR(A106="",E106=""),"",IF(E106&lt;=0,"אזל",IF(E106&lt;=N(F106),"להזמין","תקין")))</f>
        <v/>
      </c>
    </row>
    <row r="107">
      <c r="A107" s="8" t="n"/>
      <c r="B107" s="9" t="n"/>
      <c r="C107" s="8" t="n"/>
      <c r="D107" s="8" t="n"/>
      <c r="E107" s="15" t="n"/>
      <c r="F107" s="15" t="n"/>
      <c r="G107" s="11" t="str">
        <f>IF(OR(E107="",F107=""),"",IF(E107&lt;=F107,F107*2-E107,0))</f>
        <v/>
      </c>
      <c r="H107" s="16" t="n"/>
      <c r="I107" s="16" t="n"/>
      <c r="J107" s="13" t="str">
        <f>IF(OR(E107="",H107=""),"",E107*H107)</f>
        <v/>
      </c>
      <c r="K107" s="13" t="str">
        <f>IF(OR(E107="",I107=""),"",E107*I107)</f>
        <v/>
      </c>
      <c r="L107" s="14" t="str">
        <f>IF(OR(A107="",E107=""),"",IF(E107&lt;=0,"אזל",IF(E107&lt;=N(F107),"להזמין","תקין")))</f>
        <v/>
      </c>
    </row>
    <row r="108">
      <c r="A108" s="8" t="n"/>
      <c r="B108" s="9" t="n"/>
      <c r="C108" s="8" t="n"/>
      <c r="D108" s="8" t="n"/>
      <c r="E108" s="15" t="n"/>
      <c r="F108" s="15" t="n"/>
      <c r="G108" s="11" t="str">
        <f>IF(OR(E108="",F108=""),"",IF(E108&lt;=F108,F108*2-E108,0))</f>
        <v/>
      </c>
      <c r="H108" s="16" t="n"/>
      <c r="I108" s="16" t="n"/>
      <c r="J108" s="13" t="str">
        <f>IF(OR(E108="",H108=""),"",E108*H108)</f>
        <v/>
      </c>
      <c r="K108" s="13" t="str">
        <f>IF(OR(E108="",I108=""),"",E108*I108)</f>
        <v/>
      </c>
      <c r="L108" s="14" t="str">
        <f>IF(OR(A108="",E108=""),"",IF(E108&lt;=0,"אזל",IF(E108&lt;=N(F108),"להזמין","תקין")))</f>
        <v/>
      </c>
    </row>
    <row r="109">
      <c r="A109" s="8" t="n"/>
      <c r="B109" s="9" t="n"/>
      <c r="C109" s="8" t="n"/>
      <c r="D109" s="8" t="n"/>
      <c r="E109" s="15" t="n"/>
      <c r="F109" s="15" t="n"/>
      <c r="G109" s="11" t="str">
        <f>IF(OR(E109="",F109=""),"",IF(E109&lt;=F109,F109*2-E109,0))</f>
        <v/>
      </c>
      <c r="H109" s="16" t="n"/>
      <c r="I109" s="16" t="n"/>
      <c r="J109" s="13" t="str">
        <f>IF(OR(E109="",H109=""),"",E109*H109)</f>
        <v/>
      </c>
      <c r="K109" s="13" t="str">
        <f>IF(OR(E109="",I109=""),"",E109*I109)</f>
        <v/>
      </c>
      <c r="L109" s="14" t="str">
        <f>IF(OR(A109="",E109=""),"",IF(E109&lt;=0,"אזל",IF(E109&lt;=N(F109),"להזמין","תקין")))</f>
        <v/>
      </c>
    </row>
    <row r="110">
      <c r="A110" s="8" t="n"/>
      <c r="B110" s="9" t="n"/>
      <c r="C110" s="8" t="n"/>
      <c r="D110" s="8" t="n"/>
      <c r="E110" s="15" t="n"/>
      <c r="F110" s="15" t="n"/>
      <c r="G110" s="11" t="str">
        <f>IF(OR(E110="",F110=""),"",IF(E110&lt;=F110,F110*2-E110,0))</f>
        <v/>
      </c>
      <c r="H110" s="16" t="n"/>
      <c r="I110" s="16" t="n"/>
      <c r="J110" s="13" t="str">
        <f>IF(OR(E110="",H110=""),"",E110*H110)</f>
        <v/>
      </c>
      <c r="K110" s="13" t="str">
        <f>IF(OR(E110="",I110=""),"",E110*I110)</f>
        <v/>
      </c>
      <c r="L110" s="14" t="str">
        <f>IF(OR(A110="",E110=""),"",IF(E110&lt;=0,"אזל",IF(E110&lt;=N(F110),"להזמין","תקין")))</f>
        <v/>
      </c>
    </row>
    <row r="111">
      <c r="A111" s="8" t="n"/>
      <c r="B111" s="9" t="n"/>
      <c r="C111" s="8" t="n"/>
      <c r="D111" s="8" t="n"/>
      <c r="E111" s="15" t="n"/>
      <c r="F111" s="15" t="n"/>
      <c r="G111" s="11" t="str">
        <f>IF(OR(E111="",F111=""),"",IF(E111&lt;=F111,F111*2-E111,0))</f>
        <v/>
      </c>
      <c r="H111" s="16" t="n"/>
      <c r="I111" s="16" t="n"/>
      <c r="J111" s="13" t="str">
        <f>IF(OR(E111="",H111=""),"",E111*H111)</f>
        <v/>
      </c>
      <c r="K111" s="13" t="str">
        <f>IF(OR(E111="",I111=""),"",E111*I111)</f>
        <v/>
      </c>
      <c r="L111" s="14" t="str">
        <f>IF(OR(A111="",E111=""),"",IF(E111&lt;=0,"אזל",IF(E111&lt;=N(F111),"להזמין","תקין")))</f>
        <v/>
      </c>
    </row>
    <row r="112">
      <c r="A112" s="8" t="n"/>
      <c r="B112" s="9" t="n"/>
      <c r="C112" s="8" t="n"/>
      <c r="D112" s="8" t="n"/>
      <c r="E112" s="15" t="n"/>
      <c r="F112" s="15" t="n"/>
      <c r="G112" s="11" t="str">
        <f>IF(OR(E112="",F112=""),"",IF(E112&lt;=F112,F112*2-E112,0))</f>
        <v/>
      </c>
      <c r="H112" s="16" t="n"/>
      <c r="I112" s="16" t="n"/>
      <c r="J112" s="13" t="str">
        <f>IF(OR(E112="",H112=""),"",E112*H112)</f>
        <v/>
      </c>
      <c r="K112" s="13" t="str">
        <f>IF(OR(E112="",I112=""),"",E112*I112)</f>
        <v/>
      </c>
      <c r="L112" s="14" t="str">
        <f>IF(OR(A112="",E112=""),"",IF(E112&lt;=0,"אזל",IF(E112&lt;=N(F112),"להזמין","תקין")))</f>
        <v/>
      </c>
    </row>
    <row r="113">
      <c r="A113" s="8" t="n"/>
      <c r="B113" s="9" t="n"/>
      <c r="C113" s="8" t="n"/>
      <c r="D113" s="8" t="n"/>
      <c r="E113" s="15" t="n"/>
      <c r="F113" s="15" t="n"/>
      <c r="G113" s="11" t="str">
        <f>IF(OR(E113="",F113=""),"",IF(E113&lt;=F113,F113*2-E113,0))</f>
        <v/>
      </c>
      <c r="H113" s="16" t="n"/>
      <c r="I113" s="16" t="n"/>
      <c r="J113" s="13" t="str">
        <f>IF(OR(E113="",H113=""),"",E113*H113)</f>
        <v/>
      </c>
      <c r="K113" s="13" t="str">
        <f>IF(OR(E113="",I113=""),"",E113*I113)</f>
        <v/>
      </c>
      <c r="L113" s="14" t="str">
        <f>IF(OR(A113="",E113=""),"",IF(E113&lt;=0,"אזל",IF(E113&lt;=N(F113),"להזמין","תקין")))</f>
        <v/>
      </c>
    </row>
    <row r="114">
      <c r="A114" s="8" t="n"/>
      <c r="B114" s="9" t="n"/>
      <c r="C114" s="8" t="n"/>
      <c r="D114" s="8" t="n"/>
      <c r="E114" s="15" t="n"/>
      <c r="F114" s="15" t="n"/>
      <c r="G114" s="11" t="str">
        <f>IF(OR(E114="",F114=""),"",IF(E114&lt;=F114,F114*2-E114,0))</f>
        <v/>
      </c>
      <c r="H114" s="16" t="n"/>
      <c r="I114" s="16" t="n"/>
      <c r="J114" s="13" t="str">
        <f>IF(OR(E114="",H114=""),"",E114*H114)</f>
        <v/>
      </c>
      <c r="K114" s="13" t="str">
        <f>IF(OR(E114="",I114=""),"",E114*I114)</f>
        <v/>
      </c>
      <c r="L114" s="14" t="str">
        <f>IF(OR(A114="",E114=""),"",IF(E114&lt;=0,"אזל",IF(E114&lt;=N(F114),"להזמין","תקין")))</f>
        <v/>
      </c>
    </row>
    <row r="115">
      <c r="A115" s="8" t="n"/>
      <c r="B115" s="9" t="n"/>
      <c r="C115" s="8" t="n"/>
      <c r="D115" s="8" t="n"/>
      <c r="E115" s="15" t="n"/>
      <c r="F115" s="15" t="n"/>
      <c r="G115" s="11" t="str">
        <f>IF(OR(E115="",F115=""),"",IF(E115&lt;=F115,F115*2-E115,0))</f>
        <v/>
      </c>
      <c r="H115" s="16" t="n"/>
      <c r="I115" s="16" t="n"/>
      <c r="J115" s="13" t="str">
        <f>IF(OR(E115="",H115=""),"",E115*H115)</f>
        <v/>
      </c>
      <c r="K115" s="13" t="str">
        <f>IF(OR(E115="",I115=""),"",E115*I115)</f>
        <v/>
      </c>
      <c r="L115" s="14" t="str">
        <f>IF(OR(A115="",E115=""),"",IF(E115&lt;=0,"אזל",IF(E115&lt;=N(F115),"להזמין","תקין")))</f>
        <v/>
      </c>
    </row>
    <row r="116">
      <c r="A116" s="8" t="n"/>
      <c r="B116" s="9" t="n"/>
      <c r="C116" s="8" t="n"/>
      <c r="D116" s="8" t="n"/>
      <c r="E116" s="15" t="n"/>
      <c r="F116" s="15" t="n"/>
      <c r="G116" s="11" t="str">
        <f>IF(OR(E116="",F116=""),"",IF(E116&lt;=F116,F116*2-E116,0))</f>
        <v/>
      </c>
      <c r="H116" s="16" t="n"/>
      <c r="I116" s="16" t="n"/>
      <c r="J116" s="13" t="str">
        <f>IF(OR(E116="",H116=""),"",E116*H116)</f>
        <v/>
      </c>
      <c r="K116" s="13" t="str">
        <f>IF(OR(E116="",I116=""),"",E116*I116)</f>
        <v/>
      </c>
      <c r="L116" s="14" t="str">
        <f>IF(OR(A116="",E116=""),"",IF(E116&lt;=0,"אזל",IF(E116&lt;=N(F116),"להזמין","תקין")))</f>
        <v/>
      </c>
    </row>
    <row r="117">
      <c r="A117" s="8" t="n"/>
      <c r="B117" s="9" t="n"/>
      <c r="C117" s="8" t="n"/>
      <c r="D117" s="8" t="n"/>
      <c r="E117" s="15" t="n"/>
      <c r="F117" s="15" t="n"/>
      <c r="G117" s="11" t="str">
        <f>IF(OR(E117="",F117=""),"",IF(E117&lt;=F117,F117*2-E117,0))</f>
        <v/>
      </c>
      <c r="H117" s="16" t="n"/>
      <c r="I117" s="16" t="n"/>
      <c r="J117" s="13" t="str">
        <f>IF(OR(E117="",H117=""),"",E117*H117)</f>
        <v/>
      </c>
      <c r="K117" s="13" t="str">
        <f>IF(OR(E117="",I117=""),"",E117*I117)</f>
        <v/>
      </c>
      <c r="L117" s="14" t="str">
        <f>IF(OR(A117="",E117=""),"",IF(E117&lt;=0,"אזל",IF(E117&lt;=N(F117),"להזמין","תקין")))</f>
        <v/>
      </c>
    </row>
    <row r="118">
      <c r="A118" s="8" t="n"/>
      <c r="B118" s="9" t="n"/>
      <c r="C118" s="8" t="n"/>
      <c r="D118" s="8" t="n"/>
      <c r="E118" s="15" t="n"/>
      <c r="F118" s="15" t="n"/>
      <c r="G118" s="11" t="str">
        <f>IF(OR(E118="",F118=""),"",IF(E118&lt;=F118,F118*2-E118,0))</f>
        <v/>
      </c>
      <c r="H118" s="16" t="n"/>
      <c r="I118" s="16" t="n"/>
      <c r="J118" s="13" t="str">
        <f>IF(OR(E118="",H118=""),"",E118*H118)</f>
        <v/>
      </c>
      <c r="K118" s="13" t="str">
        <f>IF(OR(E118="",I118=""),"",E118*I118)</f>
        <v/>
      </c>
      <c r="L118" s="14" t="str">
        <f>IF(OR(A118="",E118=""),"",IF(E118&lt;=0,"אזל",IF(E118&lt;=N(F118),"להזמין","תקין")))</f>
        <v/>
      </c>
    </row>
    <row r="119">
      <c r="A119" s="8" t="n"/>
      <c r="B119" s="9" t="n"/>
      <c r="C119" s="8" t="n"/>
      <c r="D119" s="8" t="n"/>
      <c r="E119" s="15" t="n"/>
      <c r="F119" s="15" t="n"/>
      <c r="G119" s="11" t="str">
        <f>IF(OR(E119="",F119=""),"",IF(E119&lt;=F119,F119*2-E119,0))</f>
        <v/>
      </c>
      <c r="H119" s="16" t="n"/>
      <c r="I119" s="16" t="n"/>
      <c r="J119" s="13" t="str">
        <f>IF(OR(E119="",H119=""),"",E119*H119)</f>
        <v/>
      </c>
      <c r="K119" s="13" t="str">
        <f>IF(OR(E119="",I119=""),"",E119*I119)</f>
        <v/>
      </c>
      <c r="L119" s="14" t="str">
        <f>IF(OR(A119="",E119=""),"",IF(E119&lt;=0,"אזל",IF(E119&lt;=N(F119),"להזמין","תקין")))</f>
        <v/>
      </c>
    </row>
    <row r="120">
      <c r="A120" s="8" t="n"/>
      <c r="B120" s="9" t="n"/>
      <c r="C120" s="8" t="n"/>
      <c r="D120" s="8" t="n"/>
      <c r="E120" s="15" t="n"/>
      <c r="F120" s="15" t="n"/>
      <c r="G120" s="11" t="str">
        <f>IF(OR(E120="",F120=""),"",IF(E120&lt;=F120,F120*2-E120,0))</f>
        <v/>
      </c>
      <c r="H120" s="16" t="n"/>
      <c r="I120" s="16" t="n"/>
      <c r="J120" s="13" t="str">
        <f>IF(OR(E120="",H120=""),"",E120*H120)</f>
        <v/>
      </c>
      <c r="K120" s="13" t="str">
        <f>IF(OR(E120="",I120=""),"",E120*I120)</f>
        <v/>
      </c>
      <c r="L120" s="14" t="str">
        <f>IF(OR(A120="",E120=""),"",IF(E120&lt;=0,"אזל",IF(E120&lt;=N(F120),"להזמין","תקין")))</f>
        <v/>
      </c>
    </row>
    <row r="121">
      <c r="A121" s="8" t="n"/>
      <c r="B121" s="9" t="n"/>
      <c r="C121" s="8" t="n"/>
      <c r="D121" s="8" t="n"/>
      <c r="E121" s="15" t="n"/>
      <c r="F121" s="15" t="n"/>
      <c r="G121" s="11" t="str">
        <f>IF(OR(E121="",F121=""),"",IF(E121&lt;=F121,F121*2-E121,0))</f>
        <v/>
      </c>
      <c r="H121" s="16" t="n"/>
      <c r="I121" s="16" t="n"/>
      <c r="J121" s="13" t="str">
        <f>IF(OR(E121="",H121=""),"",E121*H121)</f>
        <v/>
      </c>
      <c r="K121" s="13" t="str">
        <f>IF(OR(E121="",I121=""),"",E121*I121)</f>
        <v/>
      </c>
      <c r="L121" s="14" t="str">
        <f>IF(OR(A121="",E121=""),"",IF(E121&lt;=0,"אזל",IF(E121&lt;=N(F121),"להזמין","תקין")))</f>
        <v/>
      </c>
    </row>
    <row r="122">
      <c r="A122" s="8" t="n"/>
      <c r="B122" s="9" t="n"/>
      <c r="C122" s="8" t="n"/>
      <c r="D122" s="8" t="n"/>
      <c r="E122" s="15" t="n"/>
      <c r="F122" s="15" t="n"/>
      <c r="G122" s="11" t="str">
        <f>IF(OR(E122="",F122=""),"",IF(E122&lt;=F122,F122*2-E122,0))</f>
        <v/>
      </c>
      <c r="H122" s="16" t="n"/>
      <c r="I122" s="16" t="n"/>
      <c r="J122" s="13" t="str">
        <f>IF(OR(E122="",H122=""),"",E122*H122)</f>
        <v/>
      </c>
      <c r="K122" s="13" t="str">
        <f>IF(OR(E122="",I122=""),"",E122*I122)</f>
        <v/>
      </c>
      <c r="L122" s="14" t="str">
        <f>IF(OR(A122="",E122=""),"",IF(E122&lt;=0,"אזל",IF(E122&lt;=N(F122),"להזמין","תקין")))</f>
        <v/>
      </c>
    </row>
    <row r="123">
      <c r="A123" s="8" t="n"/>
      <c r="B123" s="9" t="n"/>
      <c r="C123" s="8" t="n"/>
      <c r="D123" s="8" t="n"/>
      <c r="E123" s="15" t="n"/>
      <c r="F123" s="15" t="n"/>
      <c r="G123" s="11" t="str">
        <f>IF(OR(E123="",F123=""),"",IF(E123&lt;=F123,F123*2-E123,0))</f>
        <v/>
      </c>
      <c r="H123" s="16" t="n"/>
      <c r="I123" s="16" t="n"/>
      <c r="J123" s="13" t="str">
        <f>IF(OR(E123="",H123=""),"",E123*H123)</f>
        <v/>
      </c>
      <c r="K123" s="13" t="str">
        <f>IF(OR(E123="",I123=""),"",E123*I123)</f>
        <v/>
      </c>
      <c r="L123" s="14" t="str">
        <f>IF(OR(A123="",E123=""),"",IF(E123&lt;=0,"אזל",IF(E123&lt;=N(F123),"להזמין","תקין")))</f>
        <v/>
      </c>
    </row>
    <row r="124">
      <c r="A124" s="8" t="n"/>
      <c r="B124" s="9" t="n"/>
      <c r="C124" s="8" t="n"/>
      <c r="D124" s="8" t="n"/>
      <c r="E124" s="15" t="n"/>
      <c r="F124" s="15" t="n"/>
      <c r="G124" s="11" t="str">
        <f>IF(OR(E124="",F124=""),"",IF(E124&lt;=F124,F124*2-E124,0))</f>
        <v/>
      </c>
      <c r="H124" s="16" t="n"/>
      <c r="I124" s="16" t="n"/>
      <c r="J124" s="13" t="str">
        <f>IF(OR(E124="",H124=""),"",E124*H124)</f>
        <v/>
      </c>
      <c r="K124" s="13" t="str">
        <f>IF(OR(E124="",I124=""),"",E124*I124)</f>
        <v/>
      </c>
      <c r="L124" s="14" t="str">
        <f>IF(OR(A124="",E124=""),"",IF(E124&lt;=0,"אזל",IF(E124&lt;=N(F124),"להזמין","תקין")))</f>
        <v/>
      </c>
    </row>
    <row r="125">
      <c r="A125" s="8" t="n"/>
      <c r="B125" s="9" t="n"/>
      <c r="C125" s="8" t="n"/>
      <c r="D125" s="8" t="n"/>
      <c r="E125" s="15" t="n"/>
      <c r="F125" s="15" t="n"/>
      <c r="G125" s="11" t="str">
        <f>IF(OR(E125="",F125=""),"",IF(E125&lt;=F125,F125*2-E125,0))</f>
        <v/>
      </c>
      <c r="H125" s="16" t="n"/>
      <c r="I125" s="16" t="n"/>
      <c r="J125" s="13" t="str">
        <f>IF(OR(E125="",H125=""),"",E125*H125)</f>
        <v/>
      </c>
      <c r="K125" s="13" t="str">
        <f>IF(OR(E125="",I125=""),"",E125*I125)</f>
        <v/>
      </c>
      <c r="L125" s="14" t="str">
        <f>IF(OR(A125="",E125=""),"",IF(E125&lt;=0,"אזל",IF(E125&lt;=N(F125),"להזמין","תקין")))</f>
        <v/>
      </c>
    </row>
    <row r="126">
      <c r="A126" s="8" t="n"/>
      <c r="B126" s="9" t="n"/>
      <c r="C126" s="8" t="n"/>
      <c r="D126" s="8" t="n"/>
      <c r="E126" s="15" t="n"/>
      <c r="F126" s="15" t="n"/>
      <c r="G126" s="11" t="str">
        <f>IF(OR(E126="",F126=""),"",IF(E126&lt;=F126,F126*2-E126,0))</f>
        <v/>
      </c>
      <c r="H126" s="16" t="n"/>
      <c r="I126" s="16" t="n"/>
      <c r="J126" s="13" t="str">
        <f>IF(OR(E126="",H126=""),"",E126*H126)</f>
        <v/>
      </c>
      <c r="K126" s="13" t="str">
        <f>IF(OR(E126="",I126=""),"",E126*I126)</f>
        <v/>
      </c>
      <c r="L126" s="14" t="str">
        <f>IF(OR(A126="",E126=""),"",IF(E126&lt;=0,"אזל",IF(E126&lt;=N(F126),"להזמין","תקין")))</f>
        <v/>
      </c>
    </row>
    <row r="127">
      <c r="A127" s="8" t="n"/>
      <c r="B127" s="9" t="n"/>
      <c r="C127" s="8" t="n"/>
      <c r="D127" s="8" t="n"/>
      <c r="E127" s="15" t="n"/>
      <c r="F127" s="15" t="n"/>
      <c r="G127" s="11" t="str">
        <f>IF(OR(E127="",F127=""),"",IF(E127&lt;=F127,F127*2-E127,0))</f>
        <v/>
      </c>
      <c r="H127" s="16" t="n"/>
      <c r="I127" s="16" t="n"/>
      <c r="J127" s="13" t="str">
        <f>IF(OR(E127="",H127=""),"",E127*H127)</f>
        <v/>
      </c>
      <c r="K127" s="13" t="str">
        <f>IF(OR(E127="",I127=""),"",E127*I127)</f>
        <v/>
      </c>
      <c r="L127" s="14" t="str">
        <f>IF(OR(A127="",E127=""),"",IF(E127&lt;=0,"אזל",IF(E127&lt;=N(F127),"להזמין","תקין")))</f>
        <v/>
      </c>
    </row>
    <row r="128">
      <c r="A128" s="8" t="n"/>
      <c r="B128" s="9" t="n"/>
      <c r="C128" s="8" t="n"/>
      <c r="D128" s="8" t="n"/>
      <c r="E128" s="15" t="n"/>
      <c r="F128" s="15" t="n"/>
      <c r="G128" s="11" t="str">
        <f>IF(OR(E128="",F128=""),"",IF(E128&lt;=F128,F128*2-E128,0))</f>
        <v/>
      </c>
      <c r="H128" s="16" t="n"/>
      <c r="I128" s="16" t="n"/>
      <c r="J128" s="13" t="str">
        <f>IF(OR(E128="",H128=""),"",E128*H128)</f>
        <v/>
      </c>
      <c r="K128" s="13" t="str">
        <f>IF(OR(E128="",I128=""),"",E128*I128)</f>
        <v/>
      </c>
      <c r="L128" s="14" t="str">
        <f>IF(OR(A128="",E128=""),"",IF(E128&lt;=0,"אזל",IF(E128&lt;=N(F128),"להזמין","תקין")))</f>
        <v/>
      </c>
    </row>
    <row r="129">
      <c r="A129" s="8" t="n"/>
      <c r="B129" s="9" t="n"/>
      <c r="C129" s="8" t="n"/>
      <c r="D129" s="8" t="n"/>
      <c r="E129" s="15" t="n"/>
      <c r="F129" s="15" t="n"/>
      <c r="G129" s="11" t="str">
        <f>IF(OR(E129="",F129=""),"",IF(E129&lt;=F129,F129*2-E129,0))</f>
        <v/>
      </c>
      <c r="H129" s="16" t="n"/>
      <c r="I129" s="16" t="n"/>
      <c r="J129" s="13" t="str">
        <f>IF(OR(E129="",H129=""),"",E129*H129)</f>
        <v/>
      </c>
      <c r="K129" s="13" t="str">
        <f>IF(OR(E129="",I129=""),"",E129*I129)</f>
        <v/>
      </c>
      <c r="L129" s="14" t="str">
        <f>IF(OR(A129="",E129=""),"",IF(E129&lt;=0,"אזל",IF(E129&lt;=N(F129),"להזמין","תקין")))</f>
        <v/>
      </c>
    </row>
    <row r="130">
      <c r="A130" s="8" t="n"/>
      <c r="B130" s="9" t="n"/>
      <c r="C130" s="8" t="n"/>
      <c r="D130" s="8" t="n"/>
      <c r="E130" s="15" t="n"/>
      <c r="F130" s="15" t="n"/>
      <c r="G130" s="11" t="str">
        <f>IF(OR(E130="",F130=""),"",IF(E130&lt;=F130,F130*2-E130,0))</f>
        <v/>
      </c>
      <c r="H130" s="16" t="n"/>
      <c r="I130" s="16" t="n"/>
      <c r="J130" s="13" t="str">
        <f>IF(OR(E130="",H130=""),"",E130*H130)</f>
        <v/>
      </c>
      <c r="K130" s="13" t="str">
        <f>IF(OR(E130="",I130=""),"",E130*I130)</f>
        <v/>
      </c>
      <c r="L130" s="14" t="str">
        <f>IF(OR(A130="",E130=""),"",IF(E130&lt;=0,"אזל",IF(E130&lt;=N(F130),"להזמין","תקין")))</f>
        <v/>
      </c>
    </row>
    <row r="131">
      <c r="A131" s="8" t="n"/>
      <c r="B131" s="9" t="n"/>
      <c r="C131" s="8" t="n"/>
      <c r="D131" s="8" t="n"/>
      <c r="E131" s="15" t="n"/>
      <c r="F131" s="15" t="n"/>
      <c r="G131" s="11" t="str">
        <f>IF(OR(E131="",F131=""),"",IF(E131&lt;=F131,F131*2-E131,0))</f>
        <v/>
      </c>
      <c r="H131" s="16" t="n"/>
      <c r="I131" s="16" t="n"/>
      <c r="J131" s="13" t="str">
        <f>IF(OR(E131="",H131=""),"",E131*H131)</f>
        <v/>
      </c>
      <c r="K131" s="13" t="str">
        <f>IF(OR(E131="",I131=""),"",E131*I131)</f>
        <v/>
      </c>
      <c r="L131" s="14" t="str">
        <f>IF(OR(A131="",E131=""),"",IF(E131&lt;=0,"אזל",IF(E131&lt;=N(F131),"להזמין","תקין")))</f>
        <v/>
      </c>
    </row>
    <row r="132">
      <c r="A132" s="8" t="n"/>
      <c r="B132" s="9" t="n"/>
      <c r="C132" s="8" t="n"/>
      <c r="D132" s="8" t="n"/>
      <c r="E132" s="15" t="n"/>
      <c r="F132" s="15" t="n"/>
      <c r="G132" s="11" t="str">
        <f>IF(OR(E132="",F132=""),"",IF(E132&lt;=F132,F132*2-E132,0))</f>
        <v/>
      </c>
      <c r="H132" s="16" t="n"/>
      <c r="I132" s="16" t="n"/>
      <c r="J132" s="13" t="str">
        <f>IF(OR(E132="",H132=""),"",E132*H132)</f>
        <v/>
      </c>
      <c r="K132" s="13" t="str">
        <f>IF(OR(E132="",I132=""),"",E132*I132)</f>
        <v/>
      </c>
      <c r="L132" s="14" t="str">
        <f>IF(OR(A132="",E132=""),"",IF(E132&lt;=0,"אזל",IF(E132&lt;=N(F132),"להזמין","תקין")))</f>
        <v/>
      </c>
    </row>
    <row r="133">
      <c r="A133" s="8" t="n"/>
      <c r="B133" s="9" t="n"/>
      <c r="C133" s="8" t="n"/>
      <c r="D133" s="8" t="n"/>
      <c r="E133" s="15" t="n"/>
      <c r="F133" s="15" t="n"/>
      <c r="G133" s="11" t="str">
        <f>IF(OR(E133="",F133=""),"",IF(E133&lt;=F133,F133*2-E133,0))</f>
        <v/>
      </c>
      <c r="H133" s="16" t="n"/>
      <c r="I133" s="16" t="n"/>
      <c r="J133" s="13" t="str">
        <f>IF(OR(E133="",H133=""),"",E133*H133)</f>
        <v/>
      </c>
      <c r="K133" s="13" t="str">
        <f>IF(OR(E133="",I133=""),"",E133*I133)</f>
        <v/>
      </c>
      <c r="L133" s="14" t="str">
        <f>IF(OR(A133="",E133=""),"",IF(E133&lt;=0,"אזל",IF(E133&lt;=N(F133),"להזמין","תקין")))</f>
        <v/>
      </c>
    </row>
    <row r="134">
      <c r="A134" s="8" t="n"/>
      <c r="B134" s="9" t="n"/>
      <c r="C134" s="8" t="n"/>
      <c r="D134" s="8" t="n"/>
      <c r="E134" s="15" t="n"/>
      <c r="F134" s="15" t="n"/>
      <c r="G134" s="11" t="str">
        <f>IF(OR(E134="",F134=""),"",IF(E134&lt;=F134,F134*2-E134,0))</f>
        <v/>
      </c>
      <c r="H134" s="16" t="n"/>
      <c r="I134" s="16" t="n"/>
      <c r="J134" s="13" t="str">
        <f>IF(OR(E134="",H134=""),"",E134*H134)</f>
        <v/>
      </c>
      <c r="K134" s="13" t="str">
        <f>IF(OR(E134="",I134=""),"",E134*I134)</f>
        <v/>
      </c>
      <c r="L134" s="14" t="str">
        <f>IF(OR(A134="",E134=""),"",IF(E134&lt;=0,"אזל",IF(E134&lt;=N(F134),"להזמין","תקין")))</f>
        <v/>
      </c>
    </row>
    <row r="135">
      <c r="A135" s="8" t="n"/>
      <c r="B135" s="9" t="n"/>
      <c r="C135" s="8" t="n"/>
      <c r="D135" s="8" t="n"/>
      <c r="E135" s="15" t="n"/>
      <c r="F135" s="15" t="n"/>
      <c r="G135" s="11" t="str">
        <f>IF(OR(E135="",F135=""),"",IF(E135&lt;=F135,F135*2-E135,0))</f>
        <v/>
      </c>
      <c r="H135" s="16" t="n"/>
      <c r="I135" s="16" t="n"/>
      <c r="J135" s="13" t="str">
        <f>IF(OR(E135="",H135=""),"",E135*H135)</f>
        <v/>
      </c>
      <c r="K135" s="13" t="str">
        <f>IF(OR(E135="",I135=""),"",E135*I135)</f>
        <v/>
      </c>
      <c r="L135" s="14" t="str">
        <f>IF(OR(A135="",E135=""),"",IF(E135&lt;=0,"אזל",IF(E135&lt;=N(F135),"להזמין","תקין")))</f>
        <v/>
      </c>
    </row>
    <row r="136">
      <c r="A136" s="8" t="n"/>
      <c r="B136" s="9" t="n"/>
      <c r="C136" s="8" t="n"/>
      <c r="D136" s="8" t="n"/>
      <c r="E136" s="15" t="n"/>
      <c r="F136" s="15" t="n"/>
      <c r="G136" s="11" t="str">
        <f>IF(OR(E136="",F136=""),"",IF(E136&lt;=F136,F136*2-E136,0))</f>
        <v/>
      </c>
      <c r="H136" s="16" t="n"/>
      <c r="I136" s="16" t="n"/>
      <c r="J136" s="13" t="str">
        <f>IF(OR(E136="",H136=""),"",E136*H136)</f>
        <v/>
      </c>
      <c r="K136" s="13" t="str">
        <f>IF(OR(E136="",I136=""),"",E136*I136)</f>
        <v/>
      </c>
      <c r="L136" s="14" t="str">
        <f>IF(OR(A136="",E136=""),"",IF(E136&lt;=0,"אזל",IF(E136&lt;=N(F136),"להזמין","תקין")))</f>
        <v/>
      </c>
    </row>
    <row r="137">
      <c r="A137" s="8" t="n"/>
      <c r="B137" s="9" t="n"/>
      <c r="C137" s="8" t="n"/>
      <c r="D137" s="8" t="n"/>
      <c r="E137" s="15" t="n"/>
      <c r="F137" s="15" t="n"/>
      <c r="G137" s="11" t="str">
        <f>IF(OR(E137="",F137=""),"",IF(E137&lt;=F137,F137*2-E137,0))</f>
        <v/>
      </c>
      <c r="H137" s="16" t="n"/>
      <c r="I137" s="16" t="n"/>
      <c r="J137" s="13" t="str">
        <f>IF(OR(E137="",H137=""),"",E137*H137)</f>
        <v/>
      </c>
      <c r="K137" s="13" t="str">
        <f>IF(OR(E137="",I137=""),"",E137*I137)</f>
        <v/>
      </c>
      <c r="L137" s="14" t="str">
        <f>IF(OR(A137="",E137=""),"",IF(E137&lt;=0,"אזל",IF(E137&lt;=N(F137),"להזמין","תקין")))</f>
        <v/>
      </c>
    </row>
    <row r="138">
      <c r="A138" s="8" t="n"/>
      <c r="B138" s="9" t="n"/>
      <c r="C138" s="8" t="n"/>
      <c r="D138" s="8" t="n"/>
      <c r="E138" s="15" t="n"/>
      <c r="F138" s="15" t="n"/>
      <c r="G138" s="11" t="str">
        <f>IF(OR(E138="",F138=""),"",IF(E138&lt;=F138,F138*2-E138,0))</f>
        <v/>
      </c>
      <c r="H138" s="16" t="n"/>
      <c r="I138" s="16" t="n"/>
      <c r="J138" s="13" t="str">
        <f>IF(OR(E138="",H138=""),"",E138*H138)</f>
        <v/>
      </c>
      <c r="K138" s="13" t="str">
        <f>IF(OR(E138="",I138=""),"",E138*I138)</f>
        <v/>
      </c>
      <c r="L138" s="14" t="str">
        <f>IF(OR(A138="",E138=""),"",IF(E138&lt;=0,"אזל",IF(E138&lt;=N(F138),"להזמין","תקין")))</f>
        <v/>
      </c>
    </row>
    <row r="139">
      <c r="A139" s="8" t="n"/>
      <c r="B139" s="9" t="n"/>
      <c r="C139" s="8" t="n"/>
      <c r="D139" s="8" t="n"/>
      <c r="E139" s="15" t="n"/>
      <c r="F139" s="15" t="n"/>
      <c r="G139" s="11" t="str">
        <f>IF(OR(E139="",F139=""),"",IF(E139&lt;=F139,F139*2-E139,0))</f>
        <v/>
      </c>
      <c r="H139" s="16" t="n"/>
      <c r="I139" s="16" t="n"/>
      <c r="J139" s="13" t="str">
        <f>IF(OR(E139="",H139=""),"",E139*H139)</f>
        <v/>
      </c>
      <c r="K139" s="13" t="str">
        <f>IF(OR(E139="",I139=""),"",E139*I139)</f>
        <v/>
      </c>
      <c r="L139" s="14" t="str">
        <f>IF(OR(A139="",E139=""),"",IF(E139&lt;=0,"אזל",IF(E139&lt;=N(F139),"להזמין","תקין")))</f>
        <v/>
      </c>
    </row>
    <row r="140">
      <c r="A140" s="8" t="n"/>
      <c r="B140" s="9" t="n"/>
      <c r="C140" s="8" t="n"/>
      <c r="D140" s="8" t="n"/>
      <c r="E140" s="15" t="n"/>
      <c r="F140" s="15" t="n"/>
      <c r="G140" s="11" t="str">
        <f>IF(OR(E140="",F140=""),"",IF(E140&lt;=F140,F140*2-E140,0))</f>
        <v/>
      </c>
      <c r="H140" s="16" t="n"/>
      <c r="I140" s="16" t="n"/>
      <c r="J140" s="13" t="str">
        <f>IF(OR(E140="",H140=""),"",E140*H140)</f>
        <v/>
      </c>
      <c r="K140" s="13" t="str">
        <f>IF(OR(E140="",I140=""),"",E140*I140)</f>
        <v/>
      </c>
      <c r="L140" s="14" t="str">
        <f>IF(OR(A140="",E140=""),"",IF(E140&lt;=0,"אזל",IF(E140&lt;=N(F140),"להזמין","תקין")))</f>
        <v/>
      </c>
    </row>
    <row r="141">
      <c r="A141" s="8" t="n"/>
      <c r="B141" s="9" t="n"/>
      <c r="C141" s="8" t="n"/>
      <c r="D141" s="8" t="n"/>
      <c r="E141" s="15" t="n"/>
      <c r="F141" s="15" t="n"/>
      <c r="G141" s="11" t="str">
        <f>IF(OR(E141="",F141=""),"",IF(E141&lt;=F141,F141*2-E141,0))</f>
        <v/>
      </c>
      <c r="H141" s="16" t="n"/>
      <c r="I141" s="16" t="n"/>
      <c r="J141" s="13" t="str">
        <f>IF(OR(E141="",H141=""),"",E141*H141)</f>
        <v/>
      </c>
      <c r="K141" s="13" t="str">
        <f>IF(OR(E141="",I141=""),"",E141*I141)</f>
        <v/>
      </c>
      <c r="L141" s="14" t="str">
        <f>IF(OR(A141="",E141=""),"",IF(E141&lt;=0,"אזל",IF(E141&lt;=N(F141),"להזמין","תקין")))</f>
        <v/>
      </c>
    </row>
    <row r="142">
      <c r="A142" s="8" t="n"/>
      <c r="B142" s="9" t="n"/>
      <c r="C142" s="8" t="n"/>
      <c r="D142" s="8" t="n"/>
      <c r="E142" s="15" t="n"/>
      <c r="F142" s="15" t="n"/>
      <c r="G142" s="11" t="str">
        <f>IF(OR(E142="",F142=""),"",IF(E142&lt;=F142,F142*2-E142,0))</f>
        <v/>
      </c>
      <c r="H142" s="16" t="n"/>
      <c r="I142" s="16" t="n"/>
      <c r="J142" s="13" t="str">
        <f>IF(OR(E142="",H142=""),"",E142*H142)</f>
        <v/>
      </c>
      <c r="K142" s="13" t="str">
        <f>IF(OR(E142="",I142=""),"",E142*I142)</f>
        <v/>
      </c>
      <c r="L142" s="14" t="str">
        <f>IF(OR(A142="",E142=""),"",IF(E142&lt;=0,"אזל",IF(E142&lt;=N(F142),"להזמין","תקין")))</f>
        <v/>
      </c>
    </row>
    <row r="143">
      <c r="A143" s="8" t="n"/>
      <c r="B143" s="9" t="n"/>
      <c r="C143" s="8" t="n"/>
      <c r="D143" s="8" t="n"/>
      <c r="E143" s="15" t="n"/>
      <c r="F143" s="15" t="n"/>
      <c r="G143" s="11" t="str">
        <f>IF(OR(E143="",F143=""),"",IF(E143&lt;=F143,F143*2-E143,0))</f>
        <v/>
      </c>
      <c r="H143" s="16" t="n"/>
      <c r="I143" s="16" t="n"/>
      <c r="J143" s="13" t="str">
        <f>IF(OR(E143="",H143=""),"",E143*H143)</f>
        <v/>
      </c>
      <c r="K143" s="13" t="str">
        <f>IF(OR(E143="",I143=""),"",E143*I143)</f>
        <v/>
      </c>
      <c r="L143" s="14" t="str">
        <f>IF(OR(A143="",E143=""),"",IF(E143&lt;=0,"אזל",IF(E143&lt;=N(F143),"להזמין","תקין")))</f>
        <v/>
      </c>
    </row>
    <row r="144">
      <c r="A144" s="8" t="n"/>
      <c r="B144" s="9" t="n"/>
      <c r="C144" s="8" t="n"/>
      <c r="D144" s="8" t="n"/>
      <c r="E144" s="15" t="n"/>
      <c r="F144" s="15" t="n"/>
      <c r="G144" s="11" t="str">
        <f>IF(OR(E144="",F144=""),"",IF(E144&lt;=F144,F144*2-E144,0))</f>
        <v/>
      </c>
      <c r="H144" s="16" t="n"/>
      <c r="I144" s="16" t="n"/>
      <c r="J144" s="13" t="str">
        <f>IF(OR(E144="",H144=""),"",E144*H144)</f>
        <v/>
      </c>
      <c r="K144" s="13" t="str">
        <f>IF(OR(E144="",I144=""),"",E144*I144)</f>
        <v/>
      </c>
      <c r="L144" s="14" t="str">
        <f>IF(OR(A144="",E144=""),"",IF(E144&lt;=0,"אזל",IF(E144&lt;=N(F144),"להזמין","תקין")))</f>
        <v/>
      </c>
    </row>
    <row r="145">
      <c r="A145" s="8" t="n"/>
      <c r="B145" s="9" t="n"/>
      <c r="C145" s="8" t="n"/>
      <c r="D145" s="8" t="n"/>
      <c r="E145" s="15" t="n"/>
      <c r="F145" s="15" t="n"/>
      <c r="G145" s="11" t="str">
        <f>IF(OR(E145="",F145=""),"",IF(E145&lt;=F145,F145*2-E145,0))</f>
        <v/>
      </c>
      <c r="H145" s="16" t="n"/>
      <c r="I145" s="16" t="n"/>
      <c r="J145" s="13" t="str">
        <f>IF(OR(E145="",H145=""),"",E145*H145)</f>
        <v/>
      </c>
      <c r="K145" s="13" t="str">
        <f>IF(OR(E145="",I145=""),"",E145*I145)</f>
        <v/>
      </c>
      <c r="L145" s="14" t="str">
        <f>IF(OR(A145="",E145=""),"",IF(E145&lt;=0,"אזל",IF(E145&lt;=N(F145),"להזמין","תקין")))</f>
        <v/>
      </c>
    </row>
    <row r="146">
      <c r="A146" s="8" t="n"/>
      <c r="B146" s="9" t="n"/>
      <c r="C146" s="8" t="n"/>
      <c r="D146" s="8" t="n"/>
      <c r="E146" s="15" t="n"/>
      <c r="F146" s="15" t="n"/>
      <c r="G146" s="11" t="str">
        <f>IF(OR(E146="",F146=""),"",IF(E146&lt;=F146,F146*2-E146,0))</f>
        <v/>
      </c>
      <c r="H146" s="16" t="n"/>
      <c r="I146" s="16" t="n"/>
      <c r="J146" s="13" t="str">
        <f>IF(OR(E146="",H146=""),"",E146*H146)</f>
        <v/>
      </c>
      <c r="K146" s="13" t="str">
        <f>IF(OR(E146="",I146=""),"",E146*I146)</f>
        <v/>
      </c>
      <c r="L146" s="14" t="str">
        <f>IF(OR(A146="",E146=""),"",IF(E146&lt;=0,"אזל",IF(E146&lt;=N(F146),"להזמין","תקין")))</f>
        <v/>
      </c>
    </row>
    <row r="147">
      <c r="A147" s="8" t="n"/>
      <c r="B147" s="9" t="n"/>
      <c r="C147" s="8" t="n"/>
      <c r="D147" s="8" t="n"/>
      <c r="E147" s="15" t="n"/>
      <c r="F147" s="15" t="n"/>
      <c r="G147" s="11" t="str">
        <f>IF(OR(E147="",F147=""),"",IF(E147&lt;=F147,F147*2-E147,0))</f>
        <v/>
      </c>
      <c r="H147" s="16" t="n"/>
      <c r="I147" s="16" t="n"/>
      <c r="J147" s="13" t="str">
        <f>IF(OR(E147="",H147=""),"",E147*H147)</f>
        <v/>
      </c>
      <c r="K147" s="13" t="str">
        <f>IF(OR(E147="",I147=""),"",E147*I147)</f>
        <v/>
      </c>
      <c r="L147" s="14" t="str">
        <f>IF(OR(A147="",E147=""),"",IF(E147&lt;=0,"אזל",IF(E147&lt;=N(F147),"להזמין","תקין")))</f>
        <v/>
      </c>
    </row>
    <row r="148">
      <c r="A148" s="8" t="n"/>
      <c r="B148" s="9" t="n"/>
      <c r="C148" s="8" t="n"/>
      <c r="D148" s="8" t="n"/>
      <c r="E148" s="15" t="n"/>
      <c r="F148" s="15" t="n"/>
      <c r="G148" s="11" t="str">
        <f>IF(OR(E148="",F148=""),"",IF(E148&lt;=F148,F148*2-E148,0))</f>
        <v/>
      </c>
      <c r="H148" s="16" t="n"/>
      <c r="I148" s="16" t="n"/>
      <c r="J148" s="13" t="str">
        <f>IF(OR(E148="",H148=""),"",E148*H148)</f>
        <v/>
      </c>
      <c r="K148" s="13" t="str">
        <f>IF(OR(E148="",I148=""),"",E148*I148)</f>
        <v/>
      </c>
      <c r="L148" s="14" t="str">
        <f>IF(OR(A148="",E148=""),"",IF(E148&lt;=0,"אזל",IF(E148&lt;=N(F148),"להזמין","תקין")))</f>
        <v/>
      </c>
    </row>
    <row r="149">
      <c r="A149" s="8" t="n"/>
      <c r="B149" s="9" t="n"/>
      <c r="C149" s="8" t="n"/>
      <c r="D149" s="8" t="n"/>
      <c r="E149" s="15" t="n"/>
      <c r="F149" s="15" t="n"/>
      <c r="G149" s="11" t="str">
        <f>IF(OR(E149="",F149=""),"",IF(E149&lt;=F149,F149*2-E149,0))</f>
        <v/>
      </c>
      <c r="H149" s="16" t="n"/>
      <c r="I149" s="16" t="n"/>
      <c r="J149" s="13" t="str">
        <f>IF(OR(E149="",H149=""),"",E149*H149)</f>
        <v/>
      </c>
      <c r="K149" s="13" t="str">
        <f>IF(OR(E149="",I149=""),"",E149*I149)</f>
        <v/>
      </c>
      <c r="L149" s="14" t="str">
        <f>IF(OR(A149="",E149=""),"",IF(E149&lt;=0,"אזל",IF(E149&lt;=N(F149),"להזמין","תקין")))</f>
        <v/>
      </c>
    </row>
    <row r="150">
      <c r="A150" s="8" t="n"/>
      <c r="B150" s="9" t="n"/>
      <c r="C150" s="8" t="n"/>
      <c r="D150" s="8" t="n"/>
      <c r="E150" s="15" t="n"/>
      <c r="F150" s="15" t="n"/>
      <c r="G150" s="11" t="str">
        <f>IF(OR(E150="",F150=""),"",IF(E150&lt;=F150,F150*2-E150,0))</f>
        <v/>
      </c>
      <c r="H150" s="16" t="n"/>
      <c r="I150" s="16" t="n"/>
      <c r="J150" s="13" t="str">
        <f>IF(OR(E150="",H150=""),"",E150*H150)</f>
        <v/>
      </c>
      <c r="K150" s="13" t="str">
        <f>IF(OR(E150="",I150=""),"",E150*I150)</f>
        <v/>
      </c>
      <c r="L150" s="14" t="str">
        <f>IF(OR(A150="",E150=""),"",IF(E150&lt;=0,"אזל",IF(E150&lt;=N(F150),"להזמין","תקין")))</f>
        <v/>
      </c>
    </row>
    <row r="151">
      <c r="A151" s="8" t="n"/>
      <c r="B151" s="9" t="n"/>
      <c r="C151" s="8" t="n"/>
      <c r="D151" s="8" t="n"/>
      <c r="E151" s="15" t="n"/>
      <c r="F151" s="15" t="n"/>
      <c r="G151" s="11" t="str">
        <f>IF(OR(E151="",F151=""),"",IF(E151&lt;=F151,F151*2-E151,0))</f>
        <v/>
      </c>
      <c r="H151" s="16" t="n"/>
      <c r="I151" s="16" t="n"/>
      <c r="J151" s="13" t="str">
        <f>IF(OR(E151="",H151=""),"",E151*H151)</f>
        <v/>
      </c>
      <c r="K151" s="13" t="str">
        <f>IF(OR(E151="",I151=""),"",E151*I151)</f>
        <v/>
      </c>
      <c r="L151" s="14" t="str">
        <f>IF(OR(A151="",E151=""),"",IF(E151&lt;=0,"אזל",IF(E151&lt;=N(F151),"להזמין","תקין")))</f>
        <v/>
      </c>
    </row>
    <row r="152">
      <c r="A152" s="8" t="n"/>
      <c r="B152" s="9" t="n"/>
      <c r="C152" s="8" t="n"/>
      <c r="D152" s="8" t="n"/>
      <c r="E152" s="15" t="n"/>
      <c r="F152" s="15" t="n"/>
      <c r="G152" s="11" t="str">
        <f>IF(OR(E152="",F152=""),"",IF(E152&lt;=F152,F152*2-E152,0))</f>
        <v/>
      </c>
      <c r="H152" s="16" t="n"/>
      <c r="I152" s="16" t="n"/>
      <c r="J152" s="13" t="str">
        <f>IF(OR(E152="",H152=""),"",E152*H152)</f>
        <v/>
      </c>
      <c r="K152" s="13" t="str">
        <f>IF(OR(E152="",I152=""),"",E152*I152)</f>
        <v/>
      </c>
      <c r="L152" s="14" t="str">
        <f>IF(OR(A152="",E152=""),"",IF(E152&lt;=0,"אזל",IF(E152&lt;=N(F152),"להזמין","תקין")))</f>
        <v/>
      </c>
    </row>
    <row r="153">
      <c r="A153" s="8" t="n"/>
      <c r="B153" s="9" t="n"/>
      <c r="C153" s="8" t="n"/>
      <c r="D153" s="8" t="n"/>
      <c r="E153" s="15" t="n"/>
      <c r="F153" s="15" t="n"/>
      <c r="G153" s="11" t="str">
        <f>IF(OR(E153="",F153=""),"",IF(E153&lt;=F153,F153*2-E153,0))</f>
        <v/>
      </c>
      <c r="H153" s="16" t="n"/>
      <c r="I153" s="16" t="n"/>
      <c r="J153" s="13" t="str">
        <f>IF(OR(E153="",H153=""),"",E153*H153)</f>
        <v/>
      </c>
      <c r="K153" s="13" t="str">
        <f>IF(OR(E153="",I153=""),"",E153*I153)</f>
        <v/>
      </c>
      <c r="L153" s="14" t="str">
        <f>IF(OR(A153="",E153=""),"",IF(E153&lt;=0,"אזל",IF(E153&lt;=N(F153),"להזמין","תקין")))</f>
        <v/>
      </c>
    </row>
    <row r="154">
      <c r="A154" s="8" t="n"/>
      <c r="B154" s="9" t="n"/>
      <c r="C154" s="8" t="n"/>
      <c r="D154" s="8" t="n"/>
      <c r="E154" s="15" t="n"/>
      <c r="F154" s="15" t="n"/>
      <c r="G154" s="11" t="str">
        <f>IF(OR(E154="",F154=""),"",IF(E154&lt;=F154,F154*2-E154,0))</f>
        <v/>
      </c>
      <c r="H154" s="16" t="n"/>
      <c r="I154" s="16" t="n"/>
      <c r="J154" s="13" t="str">
        <f>IF(OR(E154="",H154=""),"",E154*H154)</f>
        <v/>
      </c>
      <c r="K154" s="13" t="str">
        <f>IF(OR(E154="",I154=""),"",E154*I154)</f>
        <v/>
      </c>
      <c r="L154" s="14" t="str">
        <f>IF(OR(A154="",E154=""),"",IF(E154&lt;=0,"אזל",IF(E154&lt;=N(F154),"להזמין","תקין")))</f>
        <v/>
      </c>
    </row>
    <row r="155">
      <c r="A155" s="8" t="n"/>
      <c r="B155" s="9" t="n"/>
      <c r="C155" s="8" t="n"/>
      <c r="D155" s="8" t="n"/>
      <c r="E155" s="15" t="n"/>
      <c r="F155" s="15" t="n"/>
      <c r="G155" s="11" t="str">
        <f>IF(OR(E155="",F155=""),"",IF(E155&lt;=F155,F155*2-E155,0))</f>
        <v/>
      </c>
      <c r="H155" s="16" t="n"/>
      <c r="I155" s="16" t="n"/>
      <c r="J155" s="13" t="str">
        <f>IF(OR(E155="",H155=""),"",E155*H155)</f>
        <v/>
      </c>
      <c r="K155" s="13" t="str">
        <f>IF(OR(E155="",I155=""),"",E155*I155)</f>
        <v/>
      </c>
      <c r="L155" s="14" t="str">
        <f>IF(OR(A155="",E155=""),"",IF(E155&lt;=0,"אזל",IF(E155&lt;=N(F155),"להזמין","תקין")))</f>
        <v/>
      </c>
    </row>
    <row r="156">
      <c r="A156" s="8" t="n"/>
      <c r="B156" s="9" t="n"/>
      <c r="C156" s="8" t="n"/>
      <c r="D156" s="8" t="n"/>
      <c r="E156" s="15" t="n"/>
      <c r="F156" s="15" t="n"/>
      <c r="G156" s="11" t="str">
        <f>IF(OR(E156="",F156=""),"",IF(E156&lt;=F156,F156*2-E156,0))</f>
        <v/>
      </c>
      <c r="H156" s="16" t="n"/>
      <c r="I156" s="16" t="n"/>
      <c r="J156" s="13" t="str">
        <f>IF(OR(E156="",H156=""),"",E156*H156)</f>
        <v/>
      </c>
      <c r="K156" s="13" t="str">
        <f>IF(OR(E156="",I156=""),"",E156*I156)</f>
        <v/>
      </c>
      <c r="L156" s="14" t="str">
        <f>IF(OR(A156="",E156=""),"",IF(E156&lt;=0,"אזל",IF(E156&lt;=N(F156),"להזמין","תקין")))</f>
        <v/>
      </c>
    </row>
    <row r="157">
      <c r="A157" s="8" t="n"/>
      <c r="B157" s="9" t="n"/>
      <c r="C157" s="8" t="n"/>
      <c r="D157" s="8" t="n"/>
      <c r="E157" s="15" t="n"/>
      <c r="F157" s="15" t="n"/>
      <c r="G157" s="11" t="str">
        <f>IF(OR(E157="",F157=""),"",IF(E157&lt;=F157,F157*2-E157,0))</f>
        <v/>
      </c>
      <c r="H157" s="16" t="n"/>
      <c r="I157" s="16" t="n"/>
      <c r="J157" s="13" t="str">
        <f>IF(OR(E157="",H157=""),"",E157*H157)</f>
        <v/>
      </c>
      <c r="K157" s="13" t="str">
        <f>IF(OR(E157="",I157=""),"",E157*I157)</f>
        <v/>
      </c>
      <c r="L157" s="14" t="str">
        <f>IF(OR(A157="",E157=""),"",IF(E157&lt;=0,"אזל",IF(E157&lt;=N(F157),"להזמין","תקין")))</f>
        <v/>
      </c>
    </row>
    <row r="158">
      <c r="A158" s="8" t="n"/>
      <c r="B158" s="9" t="n"/>
      <c r="C158" s="8" t="n"/>
      <c r="D158" s="8" t="n"/>
      <c r="E158" s="15" t="n"/>
      <c r="F158" s="15" t="n"/>
      <c r="G158" s="11" t="str">
        <f>IF(OR(E158="",F158=""),"",IF(E158&lt;=F158,F158*2-E158,0))</f>
        <v/>
      </c>
      <c r="H158" s="16" t="n"/>
      <c r="I158" s="16" t="n"/>
      <c r="J158" s="13" t="str">
        <f>IF(OR(E158="",H158=""),"",E158*H158)</f>
        <v/>
      </c>
      <c r="K158" s="13" t="str">
        <f>IF(OR(E158="",I158=""),"",E158*I158)</f>
        <v/>
      </c>
      <c r="L158" s="14" t="str">
        <f>IF(OR(A158="",E158=""),"",IF(E158&lt;=0,"אזל",IF(E158&lt;=N(F158),"להזמין","תקין")))</f>
        <v/>
      </c>
    </row>
    <row r="159">
      <c r="A159" s="8" t="n"/>
      <c r="B159" s="9" t="n"/>
      <c r="C159" s="8" t="n"/>
      <c r="D159" s="8" t="n"/>
      <c r="E159" s="15" t="n"/>
      <c r="F159" s="15" t="n"/>
      <c r="G159" s="11" t="str">
        <f>IF(OR(E159="",F159=""),"",IF(E159&lt;=F159,F159*2-E159,0))</f>
        <v/>
      </c>
      <c r="H159" s="16" t="n"/>
      <c r="I159" s="16" t="n"/>
      <c r="J159" s="13" t="str">
        <f>IF(OR(E159="",H159=""),"",E159*H159)</f>
        <v/>
      </c>
      <c r="K159" s="13" t="str">
        <f>IF(OR(E159="",I159=""),"",E159*I159)</f>
        <v/>
      </c>
      <c r="L159" s="14" t="str">
        <f>IF(OR(A159="",E159=""),"",IF(E159&lt;=0,"אזל",IF(E159&lt;=N(F159),"להזמין","תקין")))</f>
        <v/>
      </c>
    </row>
    <row r="160">
      <c r="A160" s="8" t="n"/>
      <c r="B160" s="9" t="n"/>
      <c r="C160" s="8" t="n"/>
      <c r="D160" s="8" t="n"/>
      <c r="E160" s="15" t="n"/>
      <c r="F160" s="15" t="n"/>
      <c r="G160" s="11" t="str">
        <f>IF(OR(E160="",F160=""),"",IF(E160&lt;=F160,F160*2-E160,0))</f>
        <v/>
      </c>
      <c r="H160" s="16" t="n"/>
      <c r="I160" s="16" t="n"/>
      <c r="J160" s="13" t="str">
        <f>IF(OR(E160="",H160=""),"",E160*H160)</f>
        <v/>
      </c>
      <c r="K160" s="13" t="str">
        <f>IF(OR(E160="",I160=""),"",E160*I160)</f>
        <v/>
      </c>
      <c r="L160" s="14" t="str">
        <f>IF(OR(A160="",E160=""),"",IF(E160&lt;=0,"אזל",IF(E160&lt;=N(F160),"להזמין","תקין")))</f>
        <v/>
      </c>
    </row>
    <row r="161">
      <c r="A161" s="8" t="n"/>
      <c r="B161" s="9" t="n"/>
      <c r="C161" s="8" t="n"/>
      <c r="D161" s="8" t="n"/>
      <c r="E161" s="15" t="n"/>
      <c r="F161" s="15" t="n"/>
      <c r="G161" s="11" t="str">
        <f>IF(OR(E161="",F161=""),"",IF(E161&lt;=F161,F161*2-E161,0))</f>
        <v/>
      </c>
      <c r="H161" s="16" t="n"/>
      <c r="I161" s="16" t="n"/>
      <c r="J161" s="13" t="str">
        <f>IF(OR(E161="",H161=""),"",E161*H161)</f>
        <v/>
      </c>
      <c r="K161" s="13" t="str">
        <f>IF(OR(E161="",I161=""),"",E161*I161)</f>
        <v/>
      </c>
      <c r="L161" s="14" t="str">
        <f>IF(OR(A161="",E161=""),"",IF(E161&lt;=0,"אזל",IF(E161&lt;=N(F161),"להזמין","תקין")))</f>
        <v/>
      </c>
    </row>
    <row r="162">
      <c r="A162" s="8" t="n"/>
      <c r="B162" s="9" t="n"/>
      <c r="C162" s="8" t="n"/>
      <c r="D162" s="8" t="n"/>
      <c r="E162" s="15" t="n"/>
      <c r="F162" s="15" t="n"/>
      <c r="G162" s="11" t="str">
        <f>IF(OR(E162="",F162=""),"",IF(E162&lt;=F162,F162*2-E162,0))</f>
        <v/>
      </c>
      <c r="H162" s="16" t="n"/>
      <c r="I162" s="16" t="n"/>
      <c r="J162" s="13" t="str">
        <f>IF(OR(E162="",H162=""),"",E162*H162)</f>
        <v/>
      </c>
      <c r="K162" s="13" t="str">
        <f>IF(OR(E162="",I162=""),"",E162*I162)</f>
        <v/>
      </c>
      <c r="L162" s="14" t="str">
        <f>IF(OR(A162="",E162=""),"",IF(E162&lt;=0,"אזל",IF(E162&lt;=N(F162),"להזמין","תקין")))</f>
        <v/>
      </c>
    </row>
    <row r="163">
      <c r="A163" s="8" t="n"/>
      <c r="B163" s="9" t="n"/>
      <c r="C163" s="8" t="n"/>
      <c r="D163" s="8" t="n"/>
      <c r="E163" s="15" t="n"/>
      <c r="F163" s="15" t="n"/>
      <c r="G163" s="11" t="str">
        <f>IF(OR(E163="",F163=""),"",IF(E163&lt;=F163,F163*2-E163,0))</f>
        <v/>
      </c>
      <c r="H163" s="16" t="n"/>
      <c r="I163" s="16" t="n"/>
      <c r="J163" s="13" t="str">
        <f>IF(OR(E163="",H163=""),"",E163*H163)</f>
        <v/>
      </c>
      <c r="K163" s="13" t="str">
        <f>IF(OR(E163="",I163=""),"",E163*I163)</f>
        <v/>
      </c>
      <c r="L163" s="14" t="str">
        <f>IF(OR(A163="",E163=""),"",IF(E163&lt;=0,"אזל",IF(E163&lt;=N(F163),"להזמין","תקין")))</f>
        <v/>
      </c>
    </row>
    <row r="164">
      <c r="A164" s="8" t="n"/>
      <c r="B164" s="9" t="n"/>
      <c r="C164" s="8" t="n"/>
      <c r="D164" s="8" t="n"/>
      <c r="E164" s="15" t="n"/>
      <c r="F164" s="15" t="n"/>
      <c r="G164" s="11" t="str">
        <f>IF(OR(E164="",F164=""),"",IF(E164&lt;=F164,F164*2-E164,0))</f>
        <v/>
      </c>
      <c r="H164" s="16" t="n"/>
      <c r="I164" s="16" t="n"/>
      <c r="J164" s="13" t="str">
        <f>IF(OR(E164="",H164=""),"",E164*H164)</f>
        <v/>
      </c>
      <c r="K164" s="13" t="str">
        <f>IF(OR(E164="",I164=""),"",E164*I164)</f>
        <v/>
      </c>
      <c r="L164" s="14" t="str">
        <f>IF(OR(A164="",E164=""),"",IF(E164&lt;=0,"אזל",IF(E164&lt;=N(F164),"להזמין","תקין")))</f>
        <v/>
      </c>
    </row>
    <row r="165">
      <c r="A165" s="8" t="n"/>
      <c r="B165" s="9" t="n"/>
      <c r="C165" s="8" t="n"/>
      <c r="D165" s="8" t="n"/>
      <c r="E165" s="15" t="n"/>
      <c r="F165" s="15" t="n"/>
      <c r="G165" s="11" t="str">
        <f>IF(OR(E165="",F165=""),"",IF(E165&lt;=F165,F165*2-E165,0))</f>
        <v/>
      </c>
      <c r="H165" s="16" t="n"/>
      <c r="I165" s="16" t="n"/>
      <c r="J165" s="13" t="str">
        <f>IF(OR(E165="",H165=""),"",E165*H165)</f>
        <v/>
      </c>
      <c r="K165" s="13" t="str">
        <f>IF(OR(E165="",I165=""),"",E165*I165)</f>
        <v/>
      </c>
      <c r="L165" s="14" t="str">
        <f>IF(OR(A165="",E165=""),"",IF(E165&lt;=0,"אזל",IF(E165&lt;=N(F165),"להזמין","תקין")))</f>
        <v/>
      </c>
    </row>
    <row r="166">
      <c r="A166" s="8" t="n"/>
      <c r="B166" s="9" t="n"/>
      <c r="C166" s="8" t="n"/>
      <c r="D166" s="8" t="n"/>
      <c r="E166" s="15" t="n"/>
      <c r="F166" s="15" t="n"/>
      <c r="G166" s="11" t="str">
        <f>IF(OR(E166="",F166=""),"",IF(E166&lt;=F166,F166*2-E166,0))</f>
        <v/>
      </c>
      <c r="H166" s="16" t="n"/>
      <c r="I166" s="16" t="n"/>
      <c r="J166" s="13" t="str">
        <f>IF(OR(E166="",H166=""),"",E166*H166)</f>
        <v/>
      </c>
      <c r="K166" s="13" t="str">
        <f>IF(OR(E166="",I166=""),"",E166*I166)</f>
        <v/>
      </c>
      <c r="L166" s="14" t="str">
        <f>IF(OR(A166="",E166=""),"",IF(E166&lt;=0,"אזל",IF(E166&lt;=N(F166),"להזמין","תקין")))</f>
        <v/>
      </c>
    </row>
    <row r="167">
      <c r="A167" s="8" t="n"/>
      <c r="B167" s="9" t="n"/>
      <c r="C167" s="8" t="n"/>
      <c r="D167" s="8" t="n"/>
      <c r="E167" s="15" t="n"/>
      <c r="F167" s="15" t="n"/>
      <c r="G167" s="11" t="str">
        <f>IF(OR(E167="",F167=""),"",IF(E167&lt;=F167,F167*2-E167,0))</f>
        <v/>
      </c>
      <c r="H167" s="16" t="n"/>
      <c r="I167" s="16" t="n"/>
      <c r="J167" s="13" t="str">
        <f>IF(OR(E167="",H167=""),"",E167*H167)</f>
        <v/>
      </c>
      <c r="K167" s="13" t="str">
        <f>IF(OR(E167="",I167=""),"",E167*I167)</f>
        <v/>
      </c>
      <c r="L167" s="14" t="str">
        <f>IF(OR(A167="",E167=""),"",IF(E167&lt;=0,"אזל",IF(E167&lt;=N(F167),"להזמין","תקין")))</f>
        <v/>
      </c>
    </row>
    <row r="168">
      <c r="A168" s="8" t="n"/>
      <c r="B168" s="9" t="n"/>
      <c r="C168" s="8" t="n"/>
      <c r="D168" s="8" t="n"/>
      <c r="E168" s="15" t="n"/>
      <c r="F168" s="15" t="n"/>
      <c r="G168" s="11" t="str">
        <f>IF(OR(E168="",F168=""),"",IF(E168&lt;=F168,F168*2-E168,0))</f>
        <v/>
      </c>
      <c r="H168" s="16" t="n"/>
      <c r="I168" s="16" t="n"/>
      <c r="J168" s="13" t="str">
        <f>IF(OR(E168="",H168=""),"",E168*H168)</f>
        <v/>
      </c>
      <c r="K168" s="13" t="str">
        <f>IF(OR(E168="",I168=""),"",E168*I168)</f>
        <v/>
      </c>
      <c r="L168" s="14" t="str">
        <f>IF(OR(A168="",E168=""),"",IF(E168&lt;=0,"אזל",IF(E168&lt;=N(F168),"להזמין","תקין")))</f>
        <v/>
      </c>
    </row>
    <row r="169">
      <c r="A169" s="8" t="n"/>
      <c r="B169" s="9" t="n"/>
      <c r="C169" s="8" t="n"/>
      <c r="D169" s="8" t="n"/>
      <c r="E169" s="15" t="n"/>
      <c r="F169" s="15" t="n"/>
      <c r="G169" s="11" t="str">
        <f>IF(OR(E169="",F169=""),"",IF(E169&lt;=F169,F169*2-E169,0))</f>
        <v/>
      </c>
      <c r="H169" s="16" t="n"/>
      <c r="I169" s="16" t="n"/>
      <c r="J169" s="13" t="str">
        <f>IF(OR(E169="",H169=""),"",E169*H169)</f>
        <v/>
      </c>
      <c r="K169" s="13" t="str">
        <f>IF(OR(E169="",I169=""),"",E169*I169)</f>
        <v/>
      </c>
      <c r="L169" s="14" t="str">
        <f>IF(OR(A169="",E169=""),"",IF(E169&lt;=0,"אזל",IF(E169&lt;=N(F169),"להזמין","תקין")))</f>
        <v/>
      </c>
    </row>
    <row r="170">
      <c r="A170" s="8" t="n"/>
      <c r="B170" s="9" t="n"/>
      <c r="C170" s="8" t="n"/>
      <c r="D170" s="8" t="n"/>
      <c r="E170" s="15" t="n"/>
      <c r="F170" s="15" t="n"/>
      <c r="G170" s="11" t="str">
        <f>IF(OR(E170="",F170=""),"",IF(E170&lt;=F170,F170*2-E170,0))</f>
        <v/>
      </c>
      <c r="H170" s="16" t="n"/>
      <c r="I170" s="16" t="n"/>
      <c r="J170" s="13" t="str">
        <f>IF(OR(E170="",H170=""),"",E170*H170)</f>
        <v/>
      </c>
      <c r="K170" s="13" t="str">
        <f>IF(OR(E170="",I170=""),"",E170*I170)</f>
        <v/>
      </c>
      <c r="L170" s="14" t="str">
        <f>IF(OR(A170="",E170=""),"",IF(E170&lt;=0,"אזל",IF(E170&lt;=N(F170),"להזמין","תקין")))</f>
        <v/>
      </c>
    </row>
    <row r="171">
      <c r="A171" s="8" t="n"/>
      <c r="B171" s="9" t="n"/>
      <c r="C171" s="8" t="n"/>
      <c r="D171" s="8" t="n"/>
      <c r="E171" s="15" t="n"/>
      <c r="F171" s="15" t="n"/>
      <c r="G171" s="11" t="str">
        <f>IF(OR(E171="",F171=""),"",IF(E171&lt;=F171,F171*2-E171,0))</f>
        <v/>
      </c>
      <c r="H171" s="16" t="n"/>
      <c r="I171" s="16" t="n"/>
      <c r="J171" s="13" t="str">
        <f>IF(OR(E171="",H171=""),"",E171*H171)</f>
        <v/>
      </c>
      <c r="K171" s="13" t="str">
        <f>IF(OR(E171="",I171=""),"",E171*I171)</f>
        <v/>
      </c>
      <c r="L171" s="14" t="str">
        <f>IF(OR(A171="",E171=""),"",IF(E171&lt;=0,"אזל",IF(E171&lt;=N(F171),"להזמין","תקין")))</f>
        <v/>
      </c>
    </row>
    <row r="172">
      <c r="A172" s="8" t="n"/>
      <c r="B172" s="9" t="n"/>
      <c r="C172" s="8" t="n"/>
      <c r="D172" s="8" t="n"/>
      <c r="E172" s="15" t="n"/>
      <c r="F172" s="15" t="n"/>
      <c r="G172" s="11" t="str">
        <f>IF(OR(E172="",F172=""),"",IF(E172&lt;=F172,F172*2-E172,0))</f>
        <v/>
      </c>
      <c r="H172" s="16" t="n"/>
      <c r="I172" s="16" t="n"/>
      <c r="J172" s="13" t="str">
        <f>IF(OR(E172="",H172=""),"",E172*H172)</f>
        <v/>
      </c>
      <c r="K172" s="13" t="str">
        <f>IF(OR(E172="",I172=""),"",E172*I172)</f>
        <v/>
      </c>
      <c r="L172" s="14" t="str">
        <f>IF(OR(A172="",E172=""),"",IF(E172&lt;=0,"אזל",IF(E172&lt;=N(F172),"להזמין","תקין")))</f>
        <v/>
      </c>
    </row>
    <row r="173">
      <c r="A173" s="8" t="n"/>
      <c r="B173" s="9" t="n"/>
      <c r="C173" s="8" t="n"/>
      <c r="D173" s="8" t="n"/>
      <c r="E173" s="15" t="n"/>
      <c r="F173" s="15" t="n"/>
      <c r="G173" s="11" t="str">
        <f>IF(OR(E173="",F173=""),"",IF(E173&lt;=F173,F173*2-E173,0))</f>
        <v/>
      </c>
      <c r="H173" s="16" t="n"/>
      <c r="I173" s="16" t="n"/>
      <c r="J173" s="13" t="str">
        <f>IF(OR(E173="",H173=""),"",E173*H173)</f>
        <v/>
      </c>
      <c r="K173" s="13" t="str">
        <f>IF(OR(E173="",I173=""),"",E173*I173)</f>
        <v/>
      </c>
      <c r="L173" s="14" t="str">
        <f>IF(OR(A173="",E173=""),"",IF(E173&lt;=0,"אזל",IF(E173&lt;=N(F173),"להזמין","תקין")))</f>
        <v/>
      </c>
    </row>
    <row r="174">
      <c r="A174" s="8" t="n"/>
      <c r="B174" s="9" t="n"/>
      <c r="C174" s="8" t="n"/>
      <c r="D174" s="8" t="n"/>
      <c r="E174" s="15" t="n"/>
      <c r="F174" s="15" t="n"/>
      <c r="G174" s="11" t="str">
        <f>IF(OR(E174="",F174=""),"",IF(E174&lt;=F174,F174*2-E174,0))</f>
        <v/>
      </c>
      <c r="H174" s="16" t="n"/>
      <c r="I174" s="16" t="n"/>
      <c r="J174" s="13" t="str">
        <f>IF(OR(E174="",H174=""),"",E174*H174)</f>
        <v/>
      </c>
      <c r="K174" s="13" t="str">
        <f>IF(OR(E174="",I174=""),"",E174*I174)</f>
        <v/>
      </c>
      <c r="L174" s="14" t="str">
        <f>IF(OR(A174="",E174=""),"",IF(E174&lt;=0,"אזל",IF(E174&lt;=N(F174),"להזמין","תקין")))</f>
        <v/>
      </c>
    </row>
    <row r="175">
      <c r="A175" s="8" t="n"/>
      <c r="B175" s="9" t="n"/>
      <c r="C175" s="8" t="n"/>
      <c r="D175" s="8" t="n"/>
      <c r="E175" s="15" t="n"/>
      <c r="F175" s="15" t="n"/>
      <c r="G175" s="11" t="str">
        <f>IF(OR(E175="",F175=""),"",IF(E175&lt;=F175,F175*2-E175,0))</f>
        <v/>
      </c>
      <c r="H175" s="16" t="n"/>
      <c r="I175" s="16" t="n"/>
      <c r="J175" s="13" t="str">
        <f>IF(OR(E175="",H175=""),"",E175*H175)</f>
        <v/>
      </c>
      <c r="K175" s="13" t="str">
        <f>IF(OR(E175="",I175=""),"",E175*I175)</f>
        <v/>
      </c>
      <c r="L175" s="14" t="str">
        <f>IF(OR(A175="",E175=""),"",IF(E175&lt;=0,"אזל",IF(E175&lt;=N(F175),"להזמין","תקין")))</f>
        <v/>
      </c>
    </row>
    <row r="176">
      <c r="A176" s="8" t="n"/>
      <c r="B176" s="9" t="n"/>
      <c r="C176" s="8" t="n"/>
      <c r="D176" s="8" t="n"/>
      <c r="E176" s="15" t="n"/>
      <c r="F176" s="15" t="n"/>
      <c r="G176" s="11" t="str">
        <f>IF(OR(E176="",F176=""),"",IF(E176&lt;=F176,F176*2-E176,0))</f>
        <v/>
      </c>
      <c r="H176" s="16" t="n"/>
      <c r="I176" s="16" t="n"/>
      <c r="J176" s="13" t="str">
        <f>IF(OR(E176="",H176=""),"",E176*H176)</f>
        <v/>
      </c>
      <c r="K176" s="13" t="str">
        <f>IF(OR(E176="",I176=""),"",E176*I176)</f>
        <v/>
      </c>
      <c r="L176" s="14" t="str">
        <f>IF(OR(A176="",E176=""),"",IF(E176&lt;=0,"אזל",IF(E176&lt;=N(F176),"להזמין","תקין")))</f>
        <v/>
      </c>
    </row>
    <row r="177">
      <c r="A177" s="8" t="n"/>
      <c r="B177" s="9" t="n"/>
      <c r="C177" s="8" t="n"/>
      <c r="D177" s="8" t="n"/>
      <c r="E177" s="15" t="n"/>
      <c r="F177" s="15" t="n"/>
      <c r="G177" s="11" t="str">
        <f>IF(OR(E177="",F177=""),"",IF(E177&lt;=F177,F177*2-E177,0))</f>
        <v/>
      </c>
      <c r="H177" s="16" t="n"/>
      <c r="I177" s="16" t="n"/>
      <c r="J177" s="13" t="str">
        <f>IF(OR(E177="",H177=""),"",E177*H177)</f>
        <v/>
      </c>
      <c r="K177" s="13" t="str">
        <f>IF(OR(E177="",I177=""),"",E177*I177)</f>
        <v/>
      </c>
      <c r="L177" s="14" t="str">
        <f>IF(OR(A177="",E177=""),"",IF(E177&lt;=0,"אזל",IF(E177&lt;=N(F177),"להזמין","תקין")))</f>
        <v/>
      </c>
    </row>
    <row r="178">
      <c r="A178" s="8" t="n"/>
      <c r="B178" s="9" t="n"/>
      <c r="C178" s="8" t="n"/>
      <c r="D178" s="8" t="n"/>
      <c r="E178" s="15" t="n"/>
      <c r="F178" s="15" t="n"/>
      <c r="G178" s="11" t="str">
        <f>IF(OR(E178="",F178=""),"",IF(E178&lt;=F178,F178*2-E178,0))</f>
        <v/>
      </c>
      <c r="H178" s="16" t="n"/>
      <c r="I178" s="16" t="n"/>
      <c r="J178" s="13" t="str">
        <f>IF(OR(E178="",H178=""),"",E178*H178)</f>
        <v/>
      </c>
      <c r="K178" s="13" t="str">
        <f>IF(OR(E178="",I178=""),"",E178*I178)</f>
        <v/>
      </c>
      <c r="L178" s="14" t="str">
        <f>IF(OR(A178="",E178=""),"",IF(E178&lt;=0,"אזל",IF(E178&lt;=N(F178),"להזמין","תקין")))</f>
        <v/>
      </c>
    </row>
    <row r="179">
      <c r="A179" s="8" t="n"/>
      <c r="B179" s="9" t="n"/>
      <c r="C179" s="8" t="n"/>
      <c r="D179" s="8" t="n"/>
      <c r="E179" s="15" t="n"/>
      <c r="F179" s="15" t="n"/>
      <c r="G179" s="11" t="str">
        <f>IF(OR(E179="",F179=""),"",IF(E179&lt;=F179,F179*2-E179,0))</f>
        <v/>
      </c>
      <c r="H179" s="16" t="n"/>
      <c r="I179" s="16" t="n"/>
      <c r="J179" s="13" t="str">
        <f>IF(OR(E179="",H179=""),"",E179*H179)</f>
        <v/>
      </c>
      <c r="K179" s="13" t="str">
        <f>IF(OR(E179="",I179=""),"",E179*I179)</f>
        <v/>
      </c>
      <c r="L179" s="14" t="str">
        <f>IF(OR(A179="",E179=""),"",IF(E179&lt;=0,"אזל",IF(E179&lt;=N(F179),"להזמין","תקין")))</f>
        <v/>
      </c>
    </row>
    <row r="180">
      <c r="A180" s="8" t="n"/>
      <c r="B180" s="9" t="n"/>
      <c r="C180" s="8" t="n"/>
      <c r="D180" s="8" t="n"/>
      <c r="E180" s="15" t="n"/>
      <c r="F180" s="15" t="n"/>
      <c r="G180" s="11" t="str">
        <f>IF(OR(E180="",F180=""),"",IF(E180&lt;=F180,F180*2-E180,0))</f>
        <v/>
      </c>
      <c r="H180" s="16" t="n"/>
      <c r="I180" s="16" t="n"/>
      <c r="J180" s="13" t="str">
        <f>IF(OR(E180="",H180=""),"",E180*H180)</f>
        <v/>
      </c>
      <c r="K180" s="13" t="str">
        <f>IF(OR(E180="",I180=""),"",E180*I180)</f>
        <v/>
      </c>
      <c r="L180" s="14" t="str">
        <f>IF(OR(A180="",E180=""),"",IF(E180&lt;=0,"אזל",IF(E180&lt;=N(F180),"להזמין","תקין")))</f>
        <v/>
      </c>
    </row>
    <row r="181">
      <c r="A181" s="8" t="n"/>
      <c r="B181" s="9" t="n"/>
      <c r="C181" s="8" t="n"/>
      <c r="D181" s="8" t="n"/>
      <c r="E181" s="15" t="n"/>
      <c r="F181" s="15" t="n"/>
      <c r="G181" s="11" t="str">
        <f>IF(OR(E181="",F181=""),"",IF(E181&lt;=F181,F181*2-E181,0))</f>
        <v/>
      </c>
      <c r="H181" s="16" t="n"/>
      <c r="I181" s="16" t="n"/>
      <c r="J181" s="13" t="str">
        <f>IF(OR(E181="",H181=""),"",E181*H181)</f>
        <v/>
      </c>
      <c r="K181" s="13" t="str">
        <f>IF(OR(E181="",I181=""),"",E181*I181)</f>
        <v/>
      </c>
      <c r="L181" s="14" t="str">
        <f>IF(OR(A181="",E181=""),"",IF(E181&lt;=0,"אזל",IF(E181&lt;=N(F181),"להזמין","תקין")))</f>
        <v/>
      </c>
    </row>
    <row r="182">
      <c r="A182" s="8" t="n"/>
      <c r="B182" s="9" t="n"/>
      <c r="C182" s="8" t="n"/>
      <c r="D182" s="8" t="n"/>
      <c r="E182" s="15" t="n"/>
      <c r="F182" s="15" t="n"/>
      <c r="G182" s="11" t="str">
        <f>IF(OR(E182="",F182=""),"",IF(E182&lt;=F182,F182*2-E182,0))</f>
        <v/>
      </c>
      <c r="H182" s="16" t="n"/>
      <c r="I182" s="16" t="n"/>
      <c r="J182" s="13" t="str">
        <f>IF(OR(E182="",H182=""),"",E182*H182)</f>
        <v/>
      </c>
      <c r="K182" s="13" t="str">
        <f>IF(OR(E182="",I182=""),"",E182*I182)</f>
        <v/>
      </c>
      <c r="L182" s="14" t="str">
        <f>IF(OR(A182="",E182=""),"",IF(E182&lt;=0,"אזל",IF(E182&lt;=N(F182),"להזמין","תקין")))</f>
        <v/>
      </c>
    </row>
    <row r="183">
      <c r="A183" s="8" t="n"/>
      <c r="B183" s="9" t="n"/>
      <c r="C183" s="8" t="n"/>
      <c r="D183" s="8" t="n"/>
      <c r="E183" s="15" t="n"/>
      <c r="F183" s="15" t="n"/>
      <c r="G183" s="11" t="str">
        <f>IF(OR(E183="",F183=""),"",IF(E183&lt;=F183,F183*2-E183,0))</f>
        <v/>
      </c>
      <c r="H183" s="16" t="n"/>
      <c r="I183" s="16" t="n"/>
      <c r="J183" s="13" t="str">
        <f>IF(OR(E183="",H183=""),"",E183*H183)</f>
        <v/>
      </c>
      <c r="K183" s="13" t="str">
        <f>IF(OR(E183="",I183=""),"",E183*I183)</f>
        <v/>
      </c>
      <c r="L183" s="14" t="str">
        <f>IF(OR(A183="",E183=""),"",IF(E183&lt;=0,"אזל",IF(E183&lt;=N(F183),"להזמין","תקין")))</f>
        <v/>
      </c>
    </row>
    <row r="184">
      <c r="A184" s="8" t="n"/>
      <c r="B184" s="9" t="n"/>
      <c r="C184" s="8" t="n"/>
      <c r="D184" s="8" t="n"/>
      <c r="E184" s="15" t="n"/>
      <c r="F184" s="15" t="n"/>
      <c r="G184" s="11" t="str">
        <f>IF(OR(E184="",F184=""),"",IF(E184&lt;=F184,F184*2-E184,0))</f>
        <v/>
      </c>
      <c r="H184" s="16" t="n"/>
      <c r="I184" s="16" t="n"/>
      <c r="J184" s="13" t="str">
        <f>IF(OR(E184="",H184=""),"",E184*H184)</f>
        <v/>
      </c>
      <c r="K184" s="13" t="str">
        <f>IF(OR(E184="",I184=""),"",E184*I184)</f>
        <v/>
      </c>
      <c r="L184" s="14" t="str">
        <f>IF(OR(A184="",E184=""),"",IF(E184&lt;=0,"אזל",IF(E184&lt;=N(F184),"להזמין","תקין")))</f>
        <v/>
      </c>
    </row>
    <row r="185">
      <c r="A185" s="8" t="n"/>
      <c r="B185" s="9" t="n"/>
      <c r="C185" s="8" t="n"/>
      <c r="D185" s="8" t="n"/>
      <c r="E185" s="15" t="n"/>
      <c r="F185" s="15" t="n"/>
      <c r="G185" s="11" t="str">
        <f>IF(OR(E185="",F185=""),"",IF(E185&lt;=F185,F185*2-E185,0))</f>
        <v/>
      </c>
      <c r="H185" s="16" t="n"/>
      <c r="I185" s="16" t="n"/>
      <c r="J185" s="13" t="str">
        <f>IF(OR(E185="",H185=""),"",E185*H185)</f>
        <v/>
      </c>
      <c r="K185" s="13" t="str">
        <f>IF(OR(E185="",I185=""),"",E185*I185)</f>
        <v/>
      </c>
      <c r="L185" s="14" t="str">
        <f>IF(OR(A185="",E185=""),"",IF(E185&lt;=0,"אזל",IF(E185&lt;=N(F185),"להזמין","תקין")))</f>
        <v/>
      </c>
    </row>
    <row r="186">
      <c r="A186" s="8" t="n"/>
      <c r="B186" s="9" t="n"/>
      <c r="C186" s="8" t="n"/>
      <c r="D186" s="8" t="n"/>
      <c r="E186" s="15" t="n"/>
      <c r="F186" s="15" t="n"/>
      <c r="G186" s="11" t="str">
        <f>IF(OR(E186="",F186=""),"",IF(E186&lt;=F186,F186*2-E186,0))</f>
        <v/>
      </c>
      <c r="H186" s="16" t="n"/>
      <c r="I186" s="16" t="n"/>
      <c r="J186" s="13" t="str">
        <f>IF(OR(E186="",H186=""),"",E186*H186)</f>
        <v/>
      </c>
      <c r="K186" s="13" t="str">
        <f>IF(OR(E186="",I186=""),"",E186*I186)</f>
        <v/>
      </c>
      <c r="L186" s="14" t="str">
        <f>IF(OR(A186="",E186=""),"",IF(E186&lt;=0,"אזל",IF(E186&lt;=N(F186),"להזמין","תקין")))</f>
        <v/>
      </c>
    </row>
    <row r="187">
      <c r="A187" s="8" t="n"/>
      <c r="B187" s="9" t="n"/>
      <c r="C187" s="8" t="n"/>
      <c r="D187" s="8" t="n"/>
      <c r="E187" s="15" t="n"/>
      <c r="F187" s="15" t="n"/>
      <c r="G187" s="11" t="str">
        <f>IF(OR(E187="",F187=""),"",IF(E187&lt;=F187,F187*2-E187,0))</f>
        <v/>
      </c>
      <c r="H187" s="16" t="n"/>
      <c r="I187" s="16" t="n"/>
      <c r="J187" s="13" t="str">
        <f>IF(OR(E187="",H187=""),"",E187*H187)</f>
        <v/>
      </c>
      <c r="K187" s="13" t="str">
        <f>IF(OR(E187="",I187=""),"",E187*I187)</f>
        <v/>
      </c>
      <c r="L187" s="14" t="str">
        <f>IF(OR(A187="",E187=""),"",IF(E187&lt;=0,"אזל",IF(E187&lt;=N(F187),"להזמין","תקין")))</f>
        <v/>
      </c>
    </row>
    <row r="188">
      <c r="A188" s="8" t="n"/>
      <c r="B188" s="9" t="n"/>
      <c r="C188" s="8" t="n"/>
      <c r="D188" s="8" t="n"/>
      <c r="E188" s="15" t="n"/>
      <c r="F188" s="15" t="n"/>
      <c r="G188" s="11" t="str">
        <f>IF(OR(E188="",F188=""),"",IF(E188&lt;=F188,F188*2-E188,0))</f>
        <v/>
      </c>
      <c r="H188" s="16" t="n"/>
      <c r="I188" s="16" t="n"/>
      <c r="J188" s="13" t="str">
        <f>IF(OR(E188="",H188=""),"",E188*H188)</f>
        <v/>
      </c>
      <c r="K188" s="13" t="str">
        <f>IF(OR(E188="",I188=""),"",E188*I188)</f>
        <v/>
      </c>
      <c r="L188" s="14" t="str">
        <f>IF(OR(A188="",E188=""),"",IF(E188&lt;=0,"אזל",IF(E188&lt;=N(F188),"להזמין","תקין")))</f>
        <v/>
      </c>
    </row>
    <row r="189">
      <c r="A189" s="8" t="n"/>
      <c r="B189" s="9" t="n"/>
      <c r="C189" s="8" t="n"/>
      <c r="D189" s="8" t="n"/>
      <c r="E189" s="15" t="n"/>
      <c r="F189" s="15" t="n"/>
      <c r="G189" s="11" t="str">
        <f>IF(OR(E189="",F189=""),"",IF(E189&lt;=F189,F189*2-E189,0))</f>
        <v/>
      </c>
      <c r="H189" s="16" t="n"/>
      <c r="I189" s="16" t="n"/>
      <c r="J189" s="13" t="str">
        <f>IF(OR(E189="",H189=""),"",E189*H189)</f>
        <v/>
      </c>
      <c r="K189" s="13" t="str">
        <f>IF(OR(E189="",I189=""),"",E189*I189)</f>
        <v/>
      </c>
      <c r="L189" s="14" t="str">
        <f>IF(OR(A189="",E189=""),"",IF(E189&lt;=0,"אזל",IF(E189&lt;=N(F189),"להזמין","תקין")))</f>
        <v/>
      </c>
    </row>
    <row r="190">
      <c r="A190" s="8" t="n"/>
      <c r="B190" s="9" t="n"/>
      <c r="C190" s="8" t="n"/>
      <c r="D190" s="8" t="n"/>
      <c r="E190" s="15" t="n"/>
      <c r="F190" s="15" t="n"/>
      <c r="G190" s="11" t="str">
        <f>IF(OR(E190="",F190=""),"",IF(E190&lt;=F190,F190*2-E190,0))</f>
        <v/>
      </c>
      <c r="H190" s="16" t="n"/>
      <c r="I190" s="16" t="n"/>
      <c r="J190" s="13" t="str">
        <f>IF(OR(E190="",H190=""),"",E190*H190)</f>
        <v/>
      </c>
      <c r="K190" s="13" t="str">
        <f>IF(OR(E190="",I190=""),"",E190*I190)</f>
        <v/>
      </c>
      <c r="L190" s="14" t="str">
        <f>IF(OR(A190="",E190=""),"",IF(E190&lt;=0,"אזל",IF(E190&lt;=N(F190),"להזמין","תקין")))</f>
        <v/>
      </c>
    </row>
    <row r="191">
      <c r="A191" s="8" t="n"/>
      <c r="B191" s="9" t="n"/>
      <c r="C191" s="8" t="n"/>
      <c r="D191" s="8" t="n"/>
      <c r="E191" s="15" t="n"/>
      <c r="F191" s="15" t="n"/>
      <c r="G191" s="11" t="str">
        <f>IF(OR(E191="",F191=""),"",IF(E191&lt;=F191,F191*2-E191,0))</f>
        <v/>
      </c>
      <c r="H191" s="16" t="n"/>
      <c r="I191" s="16" t="n"/>
      <c r="J191" s="13" t="str">
        <f>IF(OR(E191="",H191=""),"",E191*H191)</f>
        <v/>
      </c>
      <c r="K191" s="13" t="str">
        <f>IF(OR(E191="",I191=""),"",E191*I191)</f>
        <v/>
      </c>
      <c r="L191" s="14" t="str">
        <f>IF(OR(A191="",E191=""),"",IF(E191&lt;=0,"אזל",IF(E191&lt;=N(F191),"להזמין","תקין")))</f>
        <v/>
      </c>
    </row>
    <row r="192">
      <c r="A192" s="8" t="n"/>
      <c r="B192" s="9" t="n"/>
      <c r="C192" s="8" t="n"/>
      <c r="D192" s="8" t="n"/>
      <c r="E192" s="15" t="n"/>
      <c r="F192" s="15" t="n"/>
      <c r="G192" s="11" t="str">
        <f>IF(OR(E192="",F192=""),"",IF(E192&lt;=F192,F192*2-E192,0))</f>
        <v/>
      </c>
      <c r="H192" s="16" t="n"/>
      <c r="I192" s="16" t="n"/>
      <c r="J192" s="13" t="str">
        <f>IF(OR(E192="",H192=""),"",E192*H192)</f>
        <v/>
      </c>
      <c r="K192" s="13" t="str">
        <f>IF(OR(E192="",I192=""),"",E192*I192)</f>
        <v/>
      </c>
      <c r="L192" s="14" t="str">
        <f>IF(OR(A192="",E192=""),"",IF(E192&lt;=0,"אזל",IF(E192&lt;=N(F192),"להזמין","תקין")))</f>
        <v/>
      </c>
    </row>
    <row r="193">
      <c r="A193" s="8" t="n"/>
      <c r="B193" s="9" t="n"/>
      <c r="C193" s="8" t="n"/>
      <c r="D193" s="8" t="n"/>
      <c r="E193" s="15" t="n"/>
      <c r="F193" s="15" t="n"/>
      <c r="G193" s="11" t="str">
        <f>IF(OR(E193="",F193=""),"",IF(E193&lt;=F193,F193*2-E193,0))</f>
        <v/>
      </c>
      <c r="H193" s="16" t="n"/>
      <c r="I193" s="16" t="n"/>
      <c r="J193" s="13" t="str">
        <f>IF(OR(E193="",H193=""),"",E193*H193)</f>
        <v/>
      </c>
      <c r="K193" s="13" t="str">
        <f>IF(OR(E193="",I193=""),"",E193*I193)</f>
        <v/>
      </c>
      <c r="L193" s="14" t="str">
        <f>IF(OR(A193="",E193=""),"",IF(E193&lt;=0,"אזל",IF(E193&lt;=N(F193),"להזמין","תקין")))</f>
        <v/>
      </c>
    </row>
    <row r="194">
      <c r="A194" s="8" t="n"/>
      <c r="B194" s="9" t="n"/>
      <c r="C194" s="8" t="n"/>
      <c r="D194" s="8" t="n"/>
      <c r="E194" s="15" t="n"/>
      <c r="F194" s="15" t="n"/>
      <c r="G194" s="11" t="str">
        <f>IF(OR(E194="",F194=""),"",IF(E194&lt;=F194,F194*2-E194,0))</f>
        <v/>
      </c>
      <c r="H194" s="16" t="n"/>
      <c r="I194" s="16" t="n"/>
      <c r="J194" s="13" t="str">
        <f>IF(OR(E194="",H194=""),"",E194*H194)</f>
        <v/>
      </c>
      <c r="K194" s="13" t="str">
        <f>IF(OR(E194="",I194=""),"",E194*I194)</f>
        <v/>
      </c>
      <c r="L194" s="14" t="str">
        <f>IF(OR(A194="",E194=""),"",IF(E194&lt;=0,"אזל",IF(E194&lt;=N(F194),"להזמין","תקין")))</f>
        <v/>
      </c>
    </row>
    <row r="195">
      <c r="A195" s="8" t="n"/>
      <c r="B195" s="9" t="n"/>
      <c r="C195" s="8" t="n"/>
      <c r="D195" s="8" t="n"/>
      <c r="E195" s="15" t="n"/>
      <c r="F195" s="15" t="n"/>
      <c r="G195" s="11" t="str">
        <f>IF(OR(E195="",F195=""),"",IF(E195&lt;=F195,F195*2-E195,0))</f>
        <v/>
      </c>
      <c r="H195" s="16" t="n"/>
      <c r="I195" s="16" t="n"/>
      <c r="J195" s="13" t="str">
        <f>IF(OR(E195="",H195=""),"",E195*H195)</f>
        <v/>
      </c>
      <c r="K195" s="13" t="str">
        <f>IF(OR(E195="",I195=""),"",E195*I195)</f>
        <v/>
      </c>
      <c r="L195" s="14" t="str">
        <f>IF(OR(A195="",E195=""),"",IF(E195&lt;=0,"אזל",IF(E195&lt;=N(F195),"להזמין","תקין")))</f>
        <v/>
      </c>
    </row>
    <row r="196">
      <c r="A196" s="8" t="n"/>
      <c r="B196" s="9" t="n"/>
      <c r="C196" s="8" t="n"/>
      <c r="D196" s="8" t="n"/>
      <c r="E196" s="15" t="n"/>
      <c r="F196" s="15" t="n"/>
      <c r="G196" s="11" t="str">
        <f>IF(OR(E196="",F196=""),"",IF(E196&lt;=F196,F196*2-E196,0))</f>
        <v/>
      </c>
      <c r="H196" s="16" t="n"/>
      <c r="I196" s="16" t="n"/>
      <c r="J196" s="13" t="str">
        <f>IF(OR(E196="",H196=""),"",E196*H196)</f>
        <v/>
      </c>
      <c r="K196" s="13" t="str">
        <f>IF(OR(E196="",I196=""),"",E196*I196)</f>
        <v/>
      </c>
      <c r="L196" s="14" t="str">
        <f>IF(OR(A196="",E196=""),"",IF(E196&lt;=0,"אזל",IF(E196&lt;=N(F196),"להזמין","תקין")))</f>
        <v/>
      </c>
    </row>
    <row r="197">
      <c r="A197" s="8" t="n"/>
      <c r="B197" s="9" t="n"/>
      <c r="C197" s="8" t="n"/>
      <c r="D197" s="8" t="n"/>
      <c r="E197" s="15" t="n"/>
      <c r="F197" s="15" t="n"/>
      <c r="G197" s="11" t="str">
        <f>IF(OR(E197="",F197=""),"",IF(E197&lt;=F197,F197*2-E197,0))</f>
        <v/>
      </c>
      <c r="H197" s="16" t="n"/>
      <c r="I197" s="16" t="n"/>
      <c r="J197" s="13" t="str">
        <f>IF(OR(E197="",H197=""),"",E197*H197)</f>
        <v/>
      </c>
      <c r="K197" s="13" t="str">
        <f>IF(OR(E197="",I197=""),"",E197*I197)</f>
        <v/>
      </c>
      <c r="L197" s="14" t="str">
        <f>IF(OR(A197="",E197=""),"",IF(E197&lt;=0,"אזל",IF(E197&lt;=N(F197),"להזמין","תקין")))</f>
        <v/>
      </c>
    </row>
    <row r="198">
      <c r="A198" s="8" t="n"/>
      <c r="B198" s="9" t="n"/>
      <c r="C198" s="8" t="n"/>
      <c r="D198" s="8" t="n"/>
      <c r="E198" s="15" t="n"/>
      <c r="F198" s="15" t="n"/>
      <c r="G198" s="11" t="str">
        <f>IF(OR(E198="",F198=""),"",IF(E198&lt;=F198,F198*2-E198,0))</f>
        <v/>
      </c>
      <c r="H198" s="16" t="n"/>
      <c r="I198" s="16" t="n"/>
      <c r="J198" s="13" t="str">
        <f>IF(OR(E198="",H198=""),"",E198*H198)</f>
        <v/>
      </c>
      <c r="K198" s="13" t="str">
        <f>IF(OR(E198="",I198=""),"",E198*I198)</f>
        <v/>
      </c>
      <c r="L198" s="14" t="str">
        <f>IF(OR(A198="",E198=""),"",IF(E198&lt;=0,"אזל",IF(E198&lt;=N(F198),"להזמין","תקין")))</f>
        <v/>
      </c>
    </row>
    <row r="199">
      <c r="A199" s="8" t="n"/>
      <c r="B199" s="9" t="n"/>
      <c r="C199" s="8" t="n"/>
      <c r="D199" s="8" t="n"/>
      <c r="E199" s="15" t="n"/>
      <c r="F199" s="15" t="n"/>
      <c r="G199" s="11" t="str">
        <f>IF(OR(E199="",F199=""),"",IF(E199&lt;=F199,F199*2-E199,0))</f>
        <v/>
      </c>
      <c r="H199" s="16" t="n"/>
      <c r="I199" s="16" t="n"/>
      <c r="J199" s="13" t="str">
        <f>IF(OR(E199="",H199=""),"",E199*H199)</f>
        <v/>
      </c>
      <c r="K199" s="13" t="str">
        <f>IF(OR(E199="",I199=""),"",E199*I199)</f>
        <v/>
      </c>
      <c r="L199" s="14" t="str">
        <f>IF(OR(A199="",E199=""),"",IF(E199&lt;=0,"אזל",IF(E199&lt;=N(F199),"להזמין","תקין")))</f>
        <v/>
      </c>
    </row>
    <row r="200">
      <c r="A200" s="8" t="n"/>
      <c r="B200" s="9" t="n"/>
      <c r="C200" s="8" t="n"/>
      <c r="D200" s="8" t="n"/>
      <c r="E200" s="15" t="n"/>
      <c r="F200" s="15" t="n"/>
      <c r="G200" s="11" t="str">
        <f>IF(OR(E200="",F200=""),"",IF(E200&lt;=F200,F200*2-E200,0))</f>
        <v/>
      </c>
      <c r="H200" s="16" t="n"/>
      <c r="I200" s="16" t="n"/>
      <c r="J200" s="13" t="str">
        <f>IF(OR(E200="",H200=""),"",E200*H200)</f>
        <v/>
      </c>
      <c r="K200" s="13" t="str">
        <f>IF(OR(E200="",I200=""),"",E200*I200)</f>
        <v/>
      </c>
      <c r="L200" s="14" t="str">
        <f>IF(OR(A200="",E200=""),"",IF(E200&lt;=0,"אזל",IF(E200&lt;=N(F200),"להזמין","תקין")))</f>
        <v/>
      </c>
    </row>
    <row r="201">
      <c r="A201" s="8" t="n"/>
      <c r="B201" s="9" t="n"/>
      <c r="C201" s="8" t="n"/>
      <c r="D201" s="8" t="n"/>
      <c r="E201" s="15" t="n"/>
      <c r="F201" s="15" t="n"/>
      <c r="G201" s="11" t="str">
        <f>IF(OR(E201="",F201=""),"",IF(E201&lt;=F201,F201*2-E201,0))</f>
        <v/>
      </c>
      <c r="H201" s="16" t="n"/>
      <c r="I201" s="16" t="n"/>
      <c r="J201" s="13" t="str">
        <f>IF(OR(E201="",H201=""),"",E201*H201)</f>
        <v/>
      </c>
      <c r="K201" s="13" t="str">
        <f>IF(OR(E201="",I201=""),"",E201*I201)</f>
        <v/>
      </c>
      <c r="L201" s="14" t="str">
        <f>IF(OR(A201="",E201=""),"",IF(E201&lt;=0,"אזל",IF(E201&lt;=N(F201),"להזמין","תקין")))</f>
        <v/>
      </c>
    </row>
    <row r="202">
      <c r="A202" s="8" t="n"/>
      <c r="B202" s="9" t="n"/>
      <c r="C202" s="8" t="n"/>
      <c r="D202" s="8" t="n"/>
      <c r="E202" s="15" t="n"/>
      <c r="F202" s="15" t="n"/>
      <c r="G202" s="11" t="str">
        <f>IF(OR(E202="",F202=""),"",IF(E202&lt;=F202,F202*2-E202,0))</f>
        <v/>
      </c>
      <c r="H202" s="16" t="n"/>
      <c r="I202" s="16" t="n"/>
      <c r="J202" s="13" t="str">
        <f>IF(OR(E202="",H202=""),"",E202*H202)</f>
        <v/>
      </c>
      <c r="K202" s="13" t="str">
        <f>IF(OR(E202="",I202=""),"",E202*I202)</f>
        <v/>
      </c>
      <c r="L202" s="14" t="str">
        <f>IF(OR(A202="",E202=""),"",IF(E202&lt;=0,"אזל",IF(E202&lt;=N(F202),"להזמין","תקין")))</f>
        <v/>
      </c>
    </row>
    <row r="203">
      <c r="A203" s="8" t="n"/>
      <c r="B203" s="9" t="n"/>
      <c r="C203" s="8" t="n"/>
      <c r="D203" s="8" t="n"/>
      <c r="E203" s="15" t="n"/>
      <c r="F203" s="15" t="n"/>
      <c r="G203" s="11" t="str">
        <f>IF(OR(E203="",F203=""),"",IF(E203&lt;=F203,F203*2-E203,0))</f>
        <v/>
      </c>
      <c r="H203" s="16" t="n"/>
      <c r="I203" s="16" t="n"/>
      <c r="J203" s="13" t="str">
        <f>IF(OR(E203="",H203=""),"",E203*H203)</f>
        <v/>
      </c>
      <c r="K203" s="13" t="str">
        <f>IF(OR(E203="",I203=""),"",E203*I203)</f>
        <v/>
      </c>
      <c r="L203" s="14" t="str">
        <f>IF(OR(A203="",E203=""),"",IF(E203&lt;=0,"אזל",IF(E203&lt;=N(F203),"להזמין","תקין")))</f>
        <v/>
      </c>
    </row>
    <row r="204">
      <c r="A204" s="8" t="n"/>
      <c r="B204" s="9" t="n"/>
      <c r="C204" s="8" t="n"/>
      <c r="D204" s="8" t="n"/>
      <c r="E204" s="15" t="n"/>
      <c r="F204" s="15" t="n"/>
      <c r="G204" s="11" t="str">
        <f>IF(OR(E204="",F204=""),"",IF(E204&lt;=F204,F204*2-E204,0))</f>
        <v/>
      </c>
      <c r="H204" s="16" t="n"/>
      <c r="I204" s="16" t="n"/>
      <c r="J204" s="13" t="str">
        <f>IF(OR(E204="",H204=""),"",E204*H204)</f>
        <v/>
      </c>
      <c r="K204" s="13" t="str">
        <f>IF(OR(E204="",I204=""),"",E204*I204)</f>
        <v/>
      </c>
      <c r="L204" s="14" t="str">
        <f>IF(OR(A204="",E204=""),"",IF(E204&lt;=0,"אזל",IF(E204&lt;=N(F204),"להזמין","תקין")))</f>
        <v/>
      </c>
    </row>
    <row r="205">
      <c r="A205" s="8" t="n"/>
      <c r="B205" s="9" t="n"/>
      <c r="C205" s="8" t="n"/>
      <c r="D205" s="8" t="n"/>
      <c r="E205" s="15" t="n"/>
      <c r="F205" s="15" t="n"/>
      <c r="G205" s="11" t="str">
        <f>IF(OR(E205="",F205=""),"",IF(E205&lt;=F205,F205*2-E205,0))</f>
        <v/>
      </c>
      <c r="H205" s="16" t="n"/>
      <c r="I205" s="16" t="n"/>
      <c r="J205" s="13" t="str">
        <f>IF(OR(E205="",H205=""),"",E205*H205)</f>
        <v/>
      </c>
      <c r="K205" s="13" t="str">
        <f>IF(OR(E205="",I205=""),"",E205*I205)</f>
        <v/>
      </c>
      <c r="L205" s="14" t="str">
        <f>IF(OR(A205="",E205=""),"",IF(E205&lt;=0,"אזל",IF(E205&lt;=N(F205),"להזמין","תקין")))</f>
        <v/>
      </c>
    </row>
    <row r="206">
      <c r="A206" s="8" t="n"/>
      <c r="B206" s="9" t="n"/>
      <c r="C206" s="8" t="n"/>
      <c r="D206" s="8" t="n"/>
      <c r="E206" s="15" t="n"/>
      <c r="F206" s="15" t="n"/>
      <c r="G206" s="11" t="str">
        <f>IF(OR(E206="",F206=""),"",IF(E206&lt;=F206,F206*2-E206,0))</f>
        <v/>
      </c>
      <c r="H206" s="16" t="n"/>
      <c r="I206" s="16" t="n"/>
      <c r="J206" s="13" t="str">
        <f>IF(OR(E206="",H206=""),"",E206*H206)</f>
        <v/>
      </c>
      <c r="K206" s="13" t="str">
        <f>IF(OR(E206="",I206=""),"",E206*I206)</f>
        <v/>
      </c>
      <c r="L206" s="14" t="str">
        <f>IF(OR(A206="",E206=""),"",IF(E206&lt;=0,"אזל",IF(E206&lt;=N(F206),"להזמין","תקין")))</f>
        <v/>
      </c>
    </row>
    <row r="207">
      <c r="A207" s="8" t="n"/>
      <c r="B207" s="9" t="n"/>
      <c r="C207" s="8" t="n"/>
      <c r="D207" s="8" t="n"/>
      <c r="E207" s="15" t="n"/>
      <c r="F207" s="15" t="n"/>
      <c r="G207" s="11" t="str">
        <f>IF(OR(E207="",F207=""),"",IF(E207&lt;=F207,F207*2-E207,0))</f>
        <v/>
      </c>
      <c r="H207" s="16" t="n"/>
      <c r="I207" s="16" t="n"/>
      <c r="J207" s="13" t="str">
        <f>IF(OR(E207="",H207=""),"",E207*H207)</f>
        <v/>
      </c>
      <c r="K207" s="13" t="str">
        <f>IF(OR(E207="",I207=""),"",E207*I207)</f>
        <v/>
      </c>
      <c r="L207" s="14" t="str">
        <f>IF(OR(A207="",E207=""),"",IF(E207&lt;=0,"אזל",IF(E207&lt;=N(F207),"להזמין","תקין")))</f>
        <v/>
      </c>
    </row>
    <row r="208">
      <c r="A208" s="8" t="n"/>
      <c r="B208" s="9" t="n"/>
      <c r="C208" s="8" t="n"/>
      <c r="D208" s="8" t="n"/>
      <c r="E208" s="15" t="n"/>
      <c r="F208" s="15" t="n"/>
      <c r="G208" s="11" t="str">
        <f>IF(OR(E208="",F208=""),"",IF(E208&lt;=F208,F208*2-E208,0))</f>
        <v/>
      </c>
      <c r="H208" s="16" t="n"/>
      <c r="I208" s="16" t="n"/>
      <c r="J208" s="13" t="str">
        <f>IF(OR(E208="",H208=""),"",E208*H208)</f>
        <v/>
      </c>
      <c r="K208" s="13" t="str">
        <f>IF(OR(E208="",I208=""),"",E208*I208)</f>
        <v/>
      </c>
      <c r="L208" s="14" t="str">
        <f>IF(OR(A208="",E208=""),"",IF(E208&lt;=0,"אזל",IF(E208&lt;=N(F208),"להזמין","תקין")))</f>
        <v/>
      </c>
    </row>
    <row r="209">
      <c r="A209" s="8" t="n"/>
      <c r="B209" s="9" t="n"/>
      <c r="C209" s="8" t="n"/>
      <c r="D209" s="8" t="n"/>
      <c r="E209" s="15" t="n"/>
      <c r="F209" s="15" t="n"/>
      <c r="G209" s="11" t="str">
        <f>IF(OR(E209="",F209=""),"",IF(E209&lt;=F209,F209*2-E209,0))</f>
        <v/>
      </c>
      <c r="H209" s="16" t="n"/>
      <c r="I209" s="16" t="n"/>
      <c r="J209" s="13" t="str">
        <f>IF(OR(E209="",H209=""),"",E209*H209)</f>
        <v/>
      </c>
      <c r="K209" s="13" t="str">
        <f>IF(OR(E209="",I209=""),"",E209*I209)</f>
        <v/>
      </c>
      <c r="L209" s="14" t="str">
        <f>IF(OR(A209="",E209=""),"",IF(E209&lt;=0,"אזל",IF(E209&lt;=N(F209),"להזמין","תקין")))</f>
        <v/>
      </c>
    </row>
    <row r="210">
      <c r="A210" s="8" t="n"/>
      <c r="B210" s="9" t="n"/>
      <c r="C210" s="8" t="n"/>
      <c r="D210" s="8" t="n"/>
      <c r="E210" s="15" t="n"/>
      <c r="F210" s="15" t="n"/>
      <c r="G210" s="11" t="str">
        <f>IF(OR(E210="",F210=""),"",IF(E210&lt;=F210,F210*2-E210,0))</f>
        <v/>
      </c>
      <c r="H210" s="16" t="n"/>
      <c r="I210" s="16" t="n"/>
      <c r="J210" s="13" t="str">
        <f>IF(OR(E210="",H210=""),"",E210*H210)</f>
        <v/>
      </c>
      <c r="K210" s="13" t="str">
        <f>IF(OR(E210="",I210=""),"",E210*I210)</f>
        <v/>
      </c>
      <c r="L210" s="14" t="str">
        <f>IF(OR(A210="",E210=""),"",IF(E210&lt;=0,"אזל",IF(E210&lt;=N(F210),"להזמין","תקין")))</f>
        <v/>
      </c>
    </row>
    <row r="211">
      <c r="A211" s="8" t="n"/>
      <c r="B211" s="9" t="n"/>
      <c r="C211" s="8" t="n"/>
      <c r="D211" s="8" t="n"/>
      <c r="E211" s="15" t="n"/>
      <c r="F211" s="15" t="n"/>
      <c r="G211" s="11" t="str">
        <f>IF(OR(E211="",F211=""),"",IF(E211&lt;=F211,F211*2-E211,0))</f>
        <v/>
      </c>
      <c r="H211" s="16" t="n"/>
      <c r="I211" s="16" t="n"/>
      <c r="J211" s="13" t="str">
        <f>IF(OR(E211="",H211=""),"",E211*H211)</f>
        <v/>
      </c>
      <c r="K211" s="13" t="str">
        <f>IF(OR(E211="",I211=""),"",E211*I211)</f>
        <v/>
      </c>
      <c r="L211" s="14" t="str">
        <f>IF(OR(A211="",E211=""),"",IF(E211&lt;=0,"אזל",IF(E211&lt;=N(F211),"להזמין","תקין")))</f>
        <v/>
      </c>
    </row>
    <row r="212">
      <c r="A212" s="8" t="n"/>
      <c r="B212" s="9" t="n"/>
      <c r="C212" s="8" t="n"/>
      <c r="D212" s="8" t="n"/>
      <c r="E212" s="15" t="n"/>
      <c r="F212" s="15" t="n"/>
      <c r="G212" s="11" t="str">
        <f>IF(OR(E212="",F212=""),"",IF(E212&lt;=F212,F212*2-E212,0))</f>
        <v/>
      </c>
      <c r="H212" s="16" t="n"/>
      <c r="I212" s="16" t="n"/>
      <c r="J212" s="13" t="str">
        <f>IF(OR(E212="",H212=""),"",E212*H212)</f>
        <v/>
      </c>
      <c r="K212" s="13" t="str">
        <f>IF(OR(E212="",I212=""),"",E212*I212)</f>
        <v/>
      </c>
      <c r="L212" s="14" t="str">
        <f>IF(OR(A212="",E212=""),"",IF(E212&lt;=0,"אזל",IF(E212&lt;=N(F212),"להזמין","תקין")))</f>
        <v/>
      </c>
    </row>
    <row r="213">
      <c r="A213" s="8" t="n"/>
      <c r="B213" s="9" t="n"/>
      <c r="C213" s="8" t="n"/>
      <c r="D213" s="8" t="n"/>
      <c r="E213" s="15" t="n"/>
      <c r="F213" s="15" t="n"/>
      <c r="G213" s="11" t="str">
        <f>IF(OR(E213="",F213=""),"",IF(E213&lt;=F213,F213*2-E213,0))</f>
        <v/>
      </c>
      <c r="H213" s="16" t="n"/>
      <c r="I213" s="16" t="n"/>
      <c r="J213" s="13" t="str">
        <f>IF(OR(E213="",H213=""),"",E213*H213)</f>
        <v/>
      </c>
      <c r="K213" s="13" t="str">
        <f>IF(OR(E213="",I213=""),"",E213*I213)</f>
        <v/>
      </c>
      <c r="L213" s="14" t="str">
        <f>IF(OR(A213="",E213=""),"",IF(E213&lt;=0,"אזל",IF(E213&lt;=N(F213),"להזמין","תקין")))</f>
        <v/>
      </c>
    </row>
    <row r="214">
      <c r="A214" s="8" t="n"/>
      <c r="B214" s="9" t="n"/>
      <c r="C214" s="8" t="n"/>
      <c r="D214" s="8" t="n"/>
      <c r="E214" s="15" t="n"/>
      <c r="F214" s="15" t="n"/>
      <c r="G214" s="11" t="str">
        <f>IF(OR(E214="",F214=""),"",IF(E214&lt;=F214,F214*2-E214,0))</f>
        <v/>
      </c>
      <c r="H214" s="16" t="n"/>
      <c r="I214" s="16" t="n"/>
      <c r="J214" s="13" t="str">
        <f>IF(OR(E214="",H214=""),"",E214*H214)</f>
        <v/>
      </c>
      <c r="K214" s="13" t="str">
        <f>IF(OR(E214="",I214=""),"",E214*I214)</f>
        <v/>
      </c>
      <c r="L214" s="14" t="str">
        <f>IF(OR(A214="",E214=""),"",IF(E214&lt;=0,"אזל",IF(E214&lt;=N(F214),"להזמין","תקין")))</f>
        <v/>
      </c>
    </row>
    <row r="215">
      <c r="A215" s="8" t="n"/>
      <c r="B215" s="9" t="n"/>
      <c r="C215" s="8" t="n"/>
      <c r="D215" s="8" t="n"/>
      <c r="E215" s="15" t="n"/>
      <c r="F215" s="15" t="n"/>
      <c r="G215" s="11" t="str">
        <f>IF(OR(E215="",F215=""),"",IF(E215&lt;=F215,F215*2-E215,0))</f>
        <v/>
      </c>
      <c r="H215" s="16" t="n"/>
      <c r="I215" s="16" t="n"/>
      <c r="J215" s="13" t="str">
        <f>IF(OR(E215="",H215=""),"",E215*H215)</f>
        <v/>
      </c>
      <c r="K215" s="13" t="str">
        <f>IF(OR(E215="",I215=""),"",E215*I215)</f>
        <v/>
      </c>
      <c r="L215" s="14" t="str">
        <f>IF(OR(A215="",E215=""),"",IF(E215&lt;=0,"אזל",IF(E215&lt;=N(F215),"להזמין","תקין")))</f>
        <v/>
      </c>
    </row>
    <row r="216">
      <c r="A216" s="8" t="n"/>
      <c r="B216" s="9" t="n"/>
      <c r="C216" s="8" t="n"/>
      <c r="D216" s="8" t="n"/>
      <c r="E216" s="15" t="n"/>
      <c r="F216" s="15" t="n"/>
      <c r="G216" s="11" t="str">
        <f>IF(OR(E216="",F216=""),"",IF(E216&lt;=F216,F216*2-E216,0))</f>
        <v/>
      </c>
      <c r="H216" s="16" t="n"/>
      <c r="I216" s="16" t="n"/>
      <c r="J216" s="13" t="str">
        <f>IF(OR(E216="",H216=""),"",E216*H216)</f>
        <v/>
      </c>
      <c r="K216" s="13" t="str">
        <f>IF(OR(E216="",I216=""),"",E216*I216)</f>
        <v/>
      </c>
      <c r="L216" s="14" t="str">
        <f>IF(OR(A216="",E216=""),"",IF(E216&lt;=0,"אזל",IF(E216&lt;=N(F216),"להזמין","תקין")))</f>
        <v/>
      </c>
    </row>
    <row r="217">
      <c r="A217" s="8" t="n"/>
      <c r="B217" s="9" t="n"/>
      <c r="C217" s="8" t="n"/>
      <c r="D217" s="8" t="n"/>
      <c r="E217" s="15" t="n"/>
      <c r="F217" s="15" t="n"/>
      <c r="G217" s="11" t="str">
        <f>IF(OR(E217="",F217=""),"",IF(E217&lt;=F217,F217*2-E217,0))</f>
        <v/>
      </c>
      <c r="H217" s="16" t="n"/>
      <c r="I217" s="16" t="n"/>
      <c r="J217" s="13" t="str">
        <f>IF(OR(E217="",H217=""),"",E217*H217)</f>
        <v/>
      </c>
      <c r="K217" s="13" t="str">
        <f>IF(OR(E217="",I217=""),"",E217*I217)</f>
        <v/>
      </c>
      <c r="L217" s="14" t="str">
        <f>IF(OR(A217="",E217=""),"",IF(E217&lt;=0,"אזל",IF(E217&lt;=N(F217),"להזמין","תקין")))</f>
        <v/>
      </c>
    </row>
    <row r="218">
      <c r="A218" s="8" t="n"/>
      <c r="B218" s="9" t="n"/>
      <c r="C218" s="8" t="n"/>
      <c r="D218" s="8" t="n"/>
      <c r="E218" s="15" t="n"/>
      <c r="F218" s="15" t="n"/>
      <c r="G218" s="11" t="str">
        <f>IF(OR(E218="",F218=""),"",IF(E218&lt;=F218,F218*2-E218,0))</f>
        <v/>
      </c>
      <c r="H218" s="16" t="n"/>
      <c r="I218" s="16" t="n"/>
      <c r="J218" s="13" t="str">
        <f>IF(OR(E218="",H218=""),"",E218*H218)</f>
        <v/>
      </c>
      <c r="K218" s="13" t="str">
        <f>IF(OR(E218="",I218=""),"",E218*I218)</f>
        <v/>
      </c>
      <c r="L218" s="14" t="str">
        <f>IF(OR(A218="",E218=""),"",IF(E218&lt;=0,"אזל",IF(E218&lt;=N(F218),"להזמין","תקין")))</f>
        <v/>
      </c>
    </row>
    <row r="219">
      <c r="A219" s="8" t="n"/>
      <c r="B219" s="9" t="n"/>
      <c r="C219" s="8" t="n"/>
      <c r="D219" s="8" t="n"/>
      <c r="E219" s="15" t="n"/>
      <c r="F219" s="15" t="n"/>
      <c r="G219" s="11" t="str">
        <f>IF(OR(E219="",F219=""),"",IF(E219&lt;=F219,F219*2-E219,0))</f>
        <v/>
      </c>
      <c r="H219" s="16" t="n"/>
      <c r="I219" s="16" t="n"/>
      <c r="J219" s="13" t="str">
        <f>IF(OR(E219="",H219=""),"",E219*H219)</f>
        <v/>
      </c>
      <c r="K219" s="13" t="str">
        <f>IF(OR(E219="",I219=""),"",E219*I219)</f>
        <v/>
      </c>
      <c r="L219" s="14" t="str">
        <f>IF(OR(A219="",E219=""),"",IF(E219&lt;=0,"אזל",IF(E219&lt;=N(F219),"להזמין","תקין")))</f>
        <v/>
      </c>
    </row>
    <row r="220">
      <c r="A220" s="8" t="n"/>
      <c r="B220" s="9" t="n"/>
      <c r="C220" s="8" t="n"/>
      <c r="D220" s="8" t="n"/>
      <c r="E220" s="15" t="n"/>
      <c r="F220" s="15" t="n"/>
      <c r="G220" s="11" t="str">
        <f>IF(OR(E220="",F220=""),"",IF(E220&lt;=F220,F220*2-E220,0))</f>
        <v/>
      </c>
      <c r="H220" s="16" t="n"/>
      <c r="I220" s="16" t="n"/>
      <c r="J220" s="13" t="str">
        <f>IF(OR(E220="",H220=""),"",E220*H220)</f>
        <v/>
      </c>
      <c r="K220" s="13" t="str">
        <f>IF(OR(E220="",I220=""),"",E220*I220)</f>
        <v/>
      </c>
      <c r="L220" s="14" t="str">
        <f>IF(OR(A220="",E220=""),"",IF(E220&lt;=0,"אזל",IF(E220&lt;=N(F220),"להזמין","תקין")))</f>
        <v/>
      </c>
    </row>
    <row r="221">
      <c r="A221" s="8" t="n"/>
      <c r="B221" s="9" t="n"/>
      <c r="C221" s="8" t="n"/>
      <c r="D221" s="8" t="n"/>
      <c r="E221" s="15" t="n"/>
      <c r="F221" s="15" t="n"/>
      <c r="G221" s="11" t="str">
        <f>IF(OR(E221="",F221=""),"",IF(E221&lt;=F221,F221*2-E221,0))</f>
        <v/>
      </c>
      <c r="H221" s="16" t="n"/>
      <c r="I221" s="16" t="n"/>
      <c r="J221" s="13" t="str">
        <f>IF(OR(E221="",H221=""),"",E221*H221)</f>
        <v/>
      </c>
      <c r="K221" s="13" t="str">
        <f>IF(OR(E221="",I221=""),"",E221*I221)</f>
        <v/>
      </c>
      <c r="L221" s="14" t="str">
        <f>IF(OR(A221="",E221=""),"",IF(E221&lt;=0,"אזל",IF(E221&lt;=N(F221),"להזמין","תקין")))</f>
        <v/>
      </c>
    </row>
    <row r="222">
      <c r="A222" s="8" t="n"/>
      <c r="B222" s="9" t="n"/>
      <c r="C222" s="8" t="n"/>
      <c r="D222" s="8" t="n"/>
      <c r="E222" s="15" t="n"/>
      <c r="F222" s="15" t="n"/>
      <c r="G222" s="11" t="str">
        <f>IF(OR(E222="",F222=""),"",IF(E222&lt;=F222,F222*2-E222,0))</f>
        <v/>
      </c>
      <c r="H222" s="16" t="n"/>
      <c r="I222" s="16" t="n"/>
      <c r="J222" s="13" t="str">
        <f>IF(OR(E222="",H222=""),"",E222*H222)</f>
        <v/>
      </c>
      <c r="K222" s="13" t="str">
        <f>IF(OR(E222="",I222=""),"",E222*I222)</f>
        <v/>
      </c>
      <c r="L222" s="14" t="str">
        <f>IF(OR(A222="",E222=""),"",IF(E222&lt;=0,"אזל",IF(E222&lt;=N(F222),"להזמין","תקין")))</f>
        <v/>
      </c>
    </row>
    <row r="223">
      <c r="A223" s="8" t="n"/>
      <c r="B223" s="9" t="n"/>
      <c r="C223" s="8" t="n"/>
      <c r="D223" s="8" t="n"/>
      <c r="E223" s="15" t="n"/>
      <c r="F223" s="15" t="n"/>
      <c r="G223" s="11" t="str">
        <f>IF(OR(E223="",F223=""),"",IF(E223&lt;=F223,F223*2-E223,0))</f>
        <v/>
      </c>
      <c r="H223" s="16" t="n"/>
      <c r="I223" s="16" t="n"/>
      <c r="J223" s="13" t="str">
        <f>IF(OR(E223="",H223=""),"",E223*H223)</f>
        <v/>
      </c>
      <c r="K223" s="13" t="str">
        <f>IF(OR(E223="",I223=""),"",E223*I223)</f>
        <v/>
      </c>
      <c r="L223" s="14" t="str">
        <f>IF(OR(A223="",E223=""),"",IF(E223&lt;=0,"אזל",IF(E223&lt;=N(F223),"להזמין","תקין")))</f>
        <v/>
      </c>
    </row>
    <row r="224">
      <c r="A224" s="8" t="n"/>
      <c r="B224" s="9" t="n"/>
      <c r="C224" s="8" t="n"/>
      <c r="D224" s="8" t="n"/>
      <c r="E224" s="15" t="n"/>
      <c r="F224" s="15" t="n"/>
      <c r="G224" s="11" t="str">
        <f>IF(OR(E224="",F224=""),"",IF(E224&lt;=F224,F224*2-E224,0))</f>
        <v/>
      </c>
      <c r="H224" s="16" t="n"/>
      <c r="I224" s="16" t="n"/>
      <c r="J224" s="13" t="str">
        <f>IF(OR(E224="",H224=""),"",E224*H224)</f>
        <v/>
      </c>
      <c r="K224" s="13" t="str">
        <f>IF(OR(E224="",I224=""),"",E224*I224)</f>
        <v/>
      </c>
      <c r="L224" s="14" t="str">
        <f>IF(OR(A224="",E224=""),"",IF(E224&lt;=0,"אזל",IF(E224&lt;=N(F224),"להזמין","תקין")))</f>
        <v/>
      </c>
    </row>
    <row r="225">
      <c r="A225" s="8" t="n"/>
      <c r="B225" s="9" t="n"/>
      <c r="C225" s="8" t="n"/>
      <c r="D225" s="8" t="n"/>
      <c r="E225" s="15" t="n"/>
      <c r="F225" s="15" t="n"/>
      <c r="G225" s="11" t="str">
        <f>IF(OR(E225="",F225=""),"",IF(E225&lt;=F225,F225*2-E225,0))</f>
        <v/>
      </c>
      <c r="H225" s="16" t="n"/>
      <c r="I225" s="16" t="n"/>
      <c r="J225" s="13" t="str">
        <f>IF(OR(E225="",H225=""),"",E225*H225)</f>
        <v/>
      </c>
      <c r="K225" s="13" t="str">
        <f>IF(OR(E225="",I225=""),"",E225*I225)</f>
        <v/>
      </c>
      <c r="L225" s="14" t="str">
        <f>IF(OR(A225="",E225=""),"",IF(E225&lt;=0,"אזל",IF(E225&lt;=N(F225),"להזמין","תקין")))</f>
        <v/>
      </c>
    </row>
    <row r="226">
      <c r="A226" s="8" t="n"/>
      <c r="B226" s="9" t="n"/>
      <c r="C226" s="8" t="n"/>
      <c r="D226" s="8" t="n"/>
      <c r="E226" s="15" t="n"/>
      <c r="F226" s="15" t="n"/>
      <c r="G226" s="11" t="str">
        <f>IF(OR(E226="",F226=""),"",IF(E226&lt;=F226,F226*2-E226,0))</f>
        <v/>
      </c>
      <c r="H226" s="16" t="n"/>
      <c r="I226" s="16" t="n"/>
      <c r="J226" s="13" t="str">
        <f>IF(OR(E226="",H226=""),"",E226*H226)</f>
        <v/>
      </c>
      <c r="K226" s="13" t="str">
        <f>IF(OR(E226="",I226=""),"",E226*I226)</f>
        <v/>
      </c>
      <c r="L226" s="14" t="str">
        <f>IF(OR(A226="",E226=""),"",IF(E226&lt;=0,"אזל",IF(E226&lt;=N(F226),"להזמין","תקין")))</f>
        <v/>
      </c>
    </row>
    <row r="227">
      <c r="A227" s="8" t="n"/>
      <c r="B227" s="9" t="n"/>
      <c r="C227" s="8" t="n"/>
      <c r="D227" s="8" t="n"/>
      <c r="E227" s="15" t="n"/>
      <c r="F227" s="15" t="n"/>
      <c r="G227" s="11" t="str">
        <f>IF(OR(E227="",F227=""),"",IF(E227&lt;=F227,F227*2-E227,0))</f>
        <v/>
      </c>
      <c r="H227" s="16" t="n"/>
      <c r="I227" s="16" t="n"/>
      <c r="J227" s="13" t="str">
        <f>IF(OR(E227="",H227=""),"",E227*H227)</f>
        <v/>
      </c>
      <c r="K227" s="13" t="str">
        <f>IF(OR(E227="",I227=""),"",E227*I227)</f>
        <v/>
      </c>
      <c r="L227" s="14" t="str">
        <f>IF(OR(A227="",E227=""),"",IF(E227&lt;=0,"אזל",IF(E227&lt;=N(F227),"להזמין","תקין")))</f>
        <v/>
      </c>
    </row>
    <row r="228">
      <c r="A228" s="8" t="n"/>
      <c r="B228" s="9" t="n"/>
      <c r="C228" s="8" t="n"/>
      <c r="D228" s="8" t="n"/>
      <c r="E228" s="15" t="n"/>
      <c r="F228" s="15" t="n"/>
      <c r="G228" s="11" t="str">
        <f>IF(OR(E228="",F228=""),"",IF(E228&lt;=F228,F228*2-E228,0))</f>
        <v/>
      </c>
      <c r="H228" s="16" t="n"/>
      <c r="I228" s="16" t="n"/>
      <c r="J228" s="13" t="str">
        <f>IF(OR(E228="",H228=""),"",E228*H228)</f>
        <v/>
      </c>
      <c r="K228" s="13" t="str">
        <f>IF(OR(E228="",I228=""),"",E228*I228)</f>
        <v/>
      </c>
      <c r="L228" s="14" t="str">
        <f>IF(OR(A228="",E228=""),"",IF(E228&lt;=0,"אזל",IF(E228&lt;=N(F228),"להזמין","תקין")))</f>
        <v/>
      </c>
    </row>
    <row r="229">
      <c r="A229" s="8" t="n"/>
      <c r="B229" s="9" t="n"/>
      <c r="C229" s="8" t="n"/>
      <c r="D229" s="8" t="n"/>
      <c r="E229" s="15" t="n"/>
      <c r="F229" s="15" t="n"/>
      <c r="G229" s="11" t="str">
        <f>IF(OR(E229="",F229=""),"",IF(E229&lt;=F229,F229*2-E229,0))</f>
        <v/>
      </c>
      <c r="H229" s="16" t="n"/>
      <c r="I229" s="16" t="n"/>
      <c r="J229" s="13" t="str">
        <f>IF(OR(E229="",H229=""),"",E229*H229)</f>
        <v/>
      </c>
      <c r="K229" s="13" t="str">
        <f>IF(OR(E229="",I229=""),"",E229*I229)</f>
        <v/>
      </c>
      <c r="L229" s="14" t="str">
        <f>IF(OR(A229="",E229=""),"",IF(E229&lt;=0,"אזל",IF(E229&lt;=N(F229),"להזמין","תקין")))</f>
        <v/>
      </c>
    </row>
    <row r="230">
      <c r="A230" s="8" t="n"/>
      <c r="B230" s="9" t="n"/>
      <c r="C230" s="8" t="n"/>
      <c r="D230" s="8" t="n"/>
      <c r="E230" s="15" t="n"/>
      <c r="F230" s="15" t="n"/>
      <c r="G230" s="11" t="str">
        <f>IF(OR(E230="",F230=""),"",IF(E230&lt;=F230,F230*2-E230,0))</f>
        <v/>
      </c>
      <c r="H230" s="16" t="n"/>
      <c r="I230" s="16" t="n"/>
      <c r="J230" s="13" t="str">
        <f>IF(OR(E230="",H230=""),"",E230*H230)</f>
        <v/>
      </c>
      <c r="K230" s="13" t="str">
        <f>IF(OR(E230="",I230=""),"",E230*I230)</f>
        <v/>
      </c>
      <c r="L230" s="14" t="str">
        <f>IF(OR(A230="",E230=""),"",IF(E230&lt;=0,"אזל",IF(E230&lt;=N(F230),"להזמין","תקין")))</f>
        <v/>
      </c>
    </row>
    <row r="231">
      <c r="A231" s="8" t="n"/>
      <c r="B231" s="9" t="n"/>
      <c r="C231" s="8" t="n"/>
      <c r="D231" s="8" t="n"/>
      <c r="E231" s="15" t="n"/>
      <c r="F231" s="15" t="n"/>
      <c r="G231" s="11" t="str">
        <f>IF(OR(E231="",F231=""),"",IF(E231&lt;=F231,F231*2-E231,0))</f>
        <v/>
      </c>
      <c r="H231" s="16" t="n"/>
      <c r="I231" s="16" t="n"/>
      <c r="J231" s="13" t="str">
        <f>IF(OR(E231="",H231=""),"",E231*H231)</f>
        <v/>
      </c>
      <c r="K231" s="13" t="str">
        <f>IF(OR(E231="",I231=""),"",E231*I231)</f>
        <v/>
      </c>
      <c r="L231" s="14" t="str">
        <f>IF(OR(A231="",E231=""),"",IF(E231&lt;=0,"אזל",IF(E231&lt;=N(F231),"להזמין","תקין")))</f>
        <v/>
      </c>
    </row>
    <row r="232">
      <c r="A232" s="8" t="n"/>
      <c r="B232" s="9" t="n"/>
      <c r="C232" s="8" t="n"/>
      <c r="D232" s="8" t="n"/>
      <c r="E232" s="15" t="n"/>
      <c r="F232" s="15" t="n"/>
      <c r="G232" s="11" t="str">
        <f>IF(OR(E232="",F232=""),"",IF(E232&lt;=F232,F232*2-E232,0))</f>
        <v/>
      </c>
      <c r="H232" s="16" t="n"/>
      <c r="I232" s="16" t="n"/>
      <c r="J232" s="13" t="str">
        <f>IF(OR(E232="",H232=""),"",E232*H232)</f>
        <v/>
      </c>
      <c r="K232" s="13" t="str">
        <f>IF(OR(E232="",I232=""),"",E232*I232)</f>
        <v/>
      </c>
      <c r="L232" s="14" t="str">
        <f>IF(OR(A232="",E232=""),"",IF(E232&lt;=0,"אזל",IF(E232&lt;=N(F232),"להזמין","תקין")))</f>
        <v/>
      </c>
    </row>
    <row r="233">
      <c r="A233" s="8" t="n"/>
      <c r="B233" s="9" t="n"/>
      <c r="C233" s="8" t="n"/>
      <c r="D233" s="8" t="n"/>
      <c r="E233" s="15" t="n"/>
      <c r="F233" s="15" t="n"/>
      <c r="G233" s="11" t="str">
        <f>IF(OR(E233="",F233=""),"",IF(E233&lt;=F233,F233*2-E233,0))</f>
        <v/>
      </c>
      <c r="H233" s="16" t="n"/>
      <c r="I233" s="16" t="n"/>
      <c r="J233" s="13" t="str">
        <f>IF(OR(E233="",H233=""),"",E233*H233)</f>
        <v/>
      </c>
      <c r="K233" s="13" t="str">
        <f>IF(OR(E233="",I233=""),"",E233*I233)</f>
        <v/>
      </c>
      <c r="L233" s="14" t="str">
        <f>IF(OR(A233="",E233=""),"",IF(E233&lt;=0,"אזל",IF(E233&lt;=N(F233),"להזמין","תקין")))</f>
        <v/>
      </c>
    </row>
    <row r="234">
      <c r="A234" s="8" t="n"/>
      <c r="B234" s="9" t="n"/>
      <c r="C234" s="8" t="n"/>
      <c r="D234" s="8" t="n"/>
      <c r="E234" s="15" t="n"/>
      <c r="F234" s="15" t="n"/>
      <c r="G234" s="11" t="str">
        <f>IF(OR(E234="",F234=""),"",IF(E234&lt;=F234,F234*2-E234,0))</f>
        <v/>
      </c>
      <c r="H234" s="16" t="n"/>
      <c r="I234" s="16" t="n"/>
      <c r="J234" s="13" t="str">
        <f>IF(OR(E234="",H234=""),"",E234*H234)</f>
        <v/>
      </c>
      <c r="K234" s="13" t="str">
        <f>IF(OR(E234="",I234=""),"",E234*I234)</f>
        <v/>
      </c>
      <c r="L234" s="14" t="str">
        <f>IF(OR(A234="",E234=""),"",IF(E234&lt;=0,"אזל",IF(E234&lt;=N(F234),"להזמין","תקין")))</f>
        <v/>
      </c>
    </row>
    <row r="235">
      <c r="A235" s="8" t="n"/>
      <c r="B235" s="9" t="n"/>
      <c r="C235" s="8" t="n"/>
      <c r="D235" s="8" t="n"/>
      <c r="E235" s="15" t="n"/>
      <c r="F235" s="15" t="n"/>
      <c r="G235" s="11" t="str">
        <f>IF(OR(E235="",F235=""),"",IF(E235&lt;=F235,F235*2-E235,0))</f>
        <v/>
      </c>
      <c r="H235" s="16" t="n"/>
      <c r="I235" s="16" t="n"/>
      <c r="J235" s="13" t="str">
        <f>IF(OR(E235="",H235=""),"",E235*H235)</f>
        <v/>
      </c>
      <c r="K235" s="13" t="str">
        <f>IF(OR(E235="",I235=""),"",E235*I235)</f>
        <v/>
      </c>
      <c r="L235" s="14" t="str">
        <f>IF(OR(A235="",E235=""),"",IF(E235&lt;=0,"אזל",IF(E235&lt;=N(F235),"להזמין","תקין")))</f>
        <v/>
      </c>
    </row>
    <row r="236">
      <c r="A236" s="8" t="n"/>
      <c r="B236" s="9" t="n"/>
      <c r="C236" s="8" t="n"/>
      <c r="D236" s="8" t="n"/>
      <c r="E236" s="15" t="n"/>
      <c r="F236" s="15" t="n"/>
      <c r="G236" s="11" t="str">
        <f>IF(OR(E236="",F236=""),"",IF(E236&lt;=F236,F236*2-E236,0))</f>
        <v/>
      </c>
      <c r="H236" s="16" t="n"/>
      <c r="I236" s="16" t="n"/>
      <c r="J236" s="13" t="str">
        <f>IF(OR(E236="",H236=""),"",E236*H236)</f>
        <v/>
      </c>
      <c r="K236" s="13" t="str">
        <f>IF(OR(E236="",I236=""),"",E236*I236)</f>
        <v/>
      </c>
      <c r="L236" s="14" t="str">
        <f>IF(OR(A236="",E236=""),"",IF(E236&lt;=0,"אזל",IF(E236&lt;=N(F236),"להזמין","תקין")))</f>
        <v/>
      </c>
    </row>
    <row r="237">
      <c r="A237" s="8" t="n"/>
      <c r="B237" s="9" t="n"/>
      <c r="C237" s="8" t="n"/>
      <c r="D237" s="8" t="n"/>
      <c r="E237" s="15" t="n"/>
      <c r="F237" s="15" t="n"/>
      <c r="G237" s="11" t="str">
        <f>IF(OR(E237="",F237=""),"",IF(E237&lt;=F237,F237*2-E237,0))</f>
        <v/>
      </c>
      <c r="H237" s="16" t="n"/>
      <c r="I237" s="16" t="n"/>
      <c r="J237" s="13" t="str">
        <f>IF(OR(E237="",H237=""),"",E237*H237)</f>
        <v/>
      </c>
      <c r="K237" s="13" t="str">
        <f>IF(OR(E237="",I237=""),"",E237*I237)</f>
        <v/>
      </c>
      <c r="L237" s="14" t="str">
        <f>IF(OR(A237="",E237=""),"",IF(E237&lt;=0,"אזל",IF(E237&lt;=N(F237),"להזמין","תקין")))</f>
        <v/>
      </c>
    </row>
    <row r="238">
      <c r="A238" s="8" t="n"/>
      <c r="B238" s="9" t="n"/>
      <c r="C238" s="8" t="n"/>
      <c r="D238" s="8" t="n"/>
      <c r="E238" s="15" t="n"/>
      <c r="F238" s="15" t="n"/>
      <c r="G238" s="11" t="str">
        <f>IF(OR(E238="",F238=""),"",IF(E238&lt;=F238,F238*2-E238,0))</f>
        <v/>
      </c>
      <c r="H238" s="16" t="n"/>
      <c r="I238" s="16" t="n"/>
      <c r="J238" s="13" t="str">
        <f>IF(OR(E238="",H238=""),"",E238*H238)</f>
        <v/>
      </c>
      <c r="K238" s="13" t="str">
        <f>IF(OR(E238="",I238=""),"",E238*I238)</f>
        <v/>
      </c>
      <c r="L238" s="14" t="str">
        <f>IF(OR(A238="",E238=""),"",IF(E238&lt;=0,"אזל",IF(E238&lt;=N(F238),"להזמין","תקין")))</f>
        <v/>
      </c>
    </row>
    <row r="239">
      <c r="A239" s="8" t="n"/>
      <c r="B239" s="9" t="n"/>
      <c r="C239" s="8" t="n"/>
      <c r="D239" s="8" t="n"/>
      <c r="E239" s="15" t="n"/>
      <c r="F239" s="15" t="n"/>
      <c r="G239" s="11" t="str">
        <f>IF(OR(E239="",F239=""),"",IF(E239&lt;=F239,F239*2-E239,0))</f>
        <v/>
      </c>
      <c r="H239" s="16" t="n"/>
      <c r="I239" s="16" t="n"/>
      <c r="J239" s="13" t="str">
        <f>IF(OR(E239="",H239=""),"",E239*H239)</f>
        <v/>
      </c>
      <c r="K239" s="13" t="str">
        <f>IF(OR(E239="",I239=""),"",E239*I239)</f>
        <v/>
      </c>
      <c r="L239" s="14" t="str">
        <f>IF(OR(A239="",E239=""),"",IF(E239&lt;=0,"אזל",IF(E239&lt;=N(F239),"להזמין","תקין")))</f>
        <v/>
      </c>
    </row>
    <row r="240">
      <c r="A240" s="8" t="n"/>
      <c r="B240" s="9" t="n"/>
      <c r="C240" s="8" t="n"/>
      <c r="D240" s="8" t="n"/>
      <c r="E240" s="15" t="n"/>
      <c r="F240" s="15" t="n"/>
      <c r="G240" s="11" t="str">
        <f>IF(OR(E240="",F240=""),"",IF(E240&lt;=F240,F240*2-E240,0))</f>
        <v/>
      </c>
      <c r="H240" s="16" t="n"/>
      <c r="I240" s="16" t="n"/>
      <c r="J240" s="13" t="str">
        <f>IF(OR(E240="",H240=""),"",E240*H240)</f>
        <v/>
      </c>
      <c r="K240" s="13" t="str">
        <f>IF(OR(E240="",I240=""),"",E240*I240)</f>
        <v/>
      </c>
      <c r="L240" s="14" t="str">
        <f>IF(OR(A240="",E240=""),"",IF(E240&lt;=0,"אזל",IF(E240&lt;=N(F240),"להזמין","תקין")))</f>
        <v/>
      </c>
    </row>
    <row r="241">
      <c r="A241" s="8" t="n"/>
      <c r="B241" s="9" t="n"/>
      <c r="C241" s="8" t="n"/>
      <c r="D241" s="8" t="n"/>
      <c r="E241" s="15" t="n"/>
      <c r="F241" s="15" t="n"/>
      <c r="G241" s="11" t="str">
        <f>IF(OR(E241="",F241=""),"",IF(E241&lt;=F241,F241*2-E241,0))</f>
        <v/>
      </c>
      <c r="H241" s="16" t="n"/>
      <c r="I241" s="16" t="n"/>
      <c r="J241" s="13" t="str">
        <f>IF(OR(E241="",H241=""),"",E241*H241)</f>
        <v/>
      </c>
      <c r="K241" s="13" t="str">
        <f>IF(OR(E241="",I241=""),"",E241*I241)</f>
        <v/>
      </c>
      <c r="L241" s="14" t="str">
        <f>IF(OR(A241="",E241=""),"",IF(E241&lt;=0,"אזל",IF(E241&lt;=N(F241),"להזמין","תקין")))</f>
        <v/>
      </c>
    </row>
    <row r="242">
      <c r="A242" s="8" t="n"/>
      <c r="B242" s="9" t="n"/>
      <c r="C242" s="8" t="n"/>
      <c r="D242" s="8" t="n"/>
      <c r="E242" s="15" t="n"/>
      <c r="F242" s="15" t="n"/>
      <c r="G242" s="11" t="str">
        <f>IF(OR(E242="",F242=""),"",IF(E242&lt;=F242,F242*2-E242,0))</f>
        <v/>
      </c>
      <c r="H242" s="16" t="n"/>
      <c r="I242" s="16" t="n"/>
      <c r="J242" s="13" t="str">
        <f>IF(OR(E242="",H242=""),"",E242*H242)</f>
        <v/>
      </c>
      <c r="K242" s="13" t="str">
        <f>IF(OR(E242="",I242=""),"",E242*I242)</f>
        <v/>
      </c>
      <c r="L242" s="14" t="str">
        <f>IF(OR(A242="",E242=""),"",IF(E242&lt;=0,"אזל",IF(E242&lt;=N(F242),"להזמין","תקין")))</f>
        <v/>
      </c>
    </row>
    <row r="243">
      <c r="A243" s="8" t="n"/>
      <c r="B243" s="9" t="n"/>
      <c r="C243" s="8" t="n"/>
      <c r="D243" s="8" t="n"/>
      <c r="E243" s="15" t="n"/>
      <c r="F243" s="15" t="n"/>
      <c r="G243" s="11" t="str">
        <f>IF(OR(E243="",F243=""),"",IF(E243&lt;=F243,F243*2-E243,0))</f>
        <v/>
      </c>
      <c r="H243" s="16" t="n"/>
      <c r="I243" s="16" t="n"/>
      <c r="J243" s="13" t="str">
        <f>IF(OR(E243="",H243=""),"",E243*H243)</f>
        <v/>
      </c>
      <c r="K243" s="13" t="str">
        <f>IF(OR(E243="",I243=""),"",E243*I243)</f>
        <v/>
      </c>
      <c r="L243" s="14" t="str">
        <f>IF(OR(A243="",E243=""),"",IF(E243&lt;=0,"אזל",IF(E243&lt;=N(F243),"להזמין","תקין")))</f>
        <v/>
      </c>
    </row>
    <row r="244">
      <c r="A244" s="8" t="n"/>
      <c r="B244" s="9" t="n"/>
      <c r="C244" s="8" t="n"/>
      <c r="D244" s="8" t="n"/>
      <c r="E244" s="15" t="n"/>
      <c r="F244" s="15" t="n"/>
      <c r="G244" s="11" t="str">
        <f>IF(OR(E244="",F244=""),"",IF(E244&lt;=F244,F244*2-E244,0))</f>
        <v/>
      </c>
      <c r="H244" s="16" t="n"/>
      <c r="I244" s="16" t="n"/>
      <c r="J244" s="13" t="str">
        <f>IF(OR(E244="",H244=""),"",E244*H244)</f>
        <v/>
      </c>
      <c r="K244" s="13" t="str">
        <f>IF(OR(E244="",I244=""),"",E244*I244)</f>
        <v/>
      </c>
      <c r="L244" s="14" t="str">
        <f>IF(OR(A244="",E244=""),"",IF(E244&lt;=0,"אזל",IF(E244&lt;=N(F244),"להזמין","תקין")))</f>
        <v/>
      </c>
    </row>
    <row r="245">
      <c r="A245" s="8" t="n"/>
      <c r="B245" s="9" t="n"/>
      <c r="C245" s="8" t="n"/>
      <c r="D245" s="8" t="n"/>
      <c r="E245" s="15" t="n"/>
      <c r="F245" s="15" t="n"/>
      <c r="G245" s="11" t="str">
        <f>IF(OR(E245="",F245=""),"",IF(E245&lt;=F245,F245*2-E245,0))</f>
        <v/>
      </c>
      <c r="H245" s="16" t="n"/>
      <c r="I245" s="16" t="n"/>
      <c r="J245" s="13" t="str">
        <f>IF(OR(E245="",H245=""),"",E245*H245)</f>
        <v/>
      </c>
      <c r="K245" s="13" t="str">
        <f>IF(OR(E245="",I245=""),"",E245*I245)</f>
        <v/>
      </c>
      <c r="L245" s="14" t="str">
        <f>IF(OR(A245="",E245=""),"",IF(E245&lt;=0,"אזל",IF(E245&lt;=N(F245),"להזמין","תקין")))</f>
        <v/>
      </c>
    </row>
    <row r="246">
      <c r="A246" s="8" t="n"/>
      <c r="B246" s="9" t="n"/>
      <c r="C246" s="8" t="n"/>
      <c r="D246" s="8" t="n"/>
      <c r="E246" s="15" t="n"/>
      <c r="F246" s="15" t="n"/>
      <c r="G246" s="11" t="str">
        <f>IF(OR(E246="",F246=""),"",IF(E246&lt;=F246,F246*2-E246,0))</f>
        <v/>
      </c>
      <c r="H246" s="16" t="n"/>
      <c r="I246" s="16" t="n"/>
      <c r="J246" s="13" t="str">
        <f>IF(OR(E246="",H246=""),"",E246*H246)</f>
        <v/>
      </c>
      <c r="K246" s="13" t="str">
        <f>IF(OR(E246="",I246=""),"",E246*I246)</f>
        <v/>
      </c>
      <c r="L246" s="14" t="str">
        <f>IF(OR(A246="",E246=""),"",IF(E246&lt;=0,"אזל",IF(E246&lt;=N(F246),"להזמין","תקין")))</f>
        <v/>
      </c>
    </row>
    <row r="247">
      <c r="A247" s="8" t="n"/>
      <c r="B247" s="9" t="n"/>
      <c r="C247" s="8" t="n"/>
      <c r="D247" s="8" t="n"/>
      <c r="E247" s="15" t="n"/>
      <c r="F247" s="15" t="n"/>
      <c r="G247" s="11" t="str">
        <f>IF(OR(E247="",F247=""),"",IF(E247&lt;=F247,F247*2-E247,0))</f>
        <v/>
      </c>
      <c r="H247" s="16" t="n"/>
      <c r="I247" s="16" t="n"/>
      <c r="J247" s="13" t="str">
        <f>IF(OR(E247="",H247=""),"",E247*H247)</f>
        <v/>
      </c>
      <c r="K247" s="13" t="str">
        <f>IF(OR(E247="",I247=""),"",E247*I247)</f>
        <v/>
      </c>
      <c r="L247" s="14" t="str">
        <f>IF(OR(A247="",E247=""),"",IF(E247&lt;=0,"אזל",IF(E247&lt;=N(F247),"להזמין","תקין")))</f>
        <v/>
      </c>
    </row>
    <row r="248">
      <c r="A248" s="8" t="n"/>
      <c r="B248" s="9" t="n"/>
      <c r="C248" s="8" t="n"/>
      <c r="D248" s="8" t="n"/>
      <c r="E248" s="15" t="n"/>
      <c r="F248" s="15" t="n"/>
      <c r="G248" s="11" t="str">
        <f>IF(OR(E248="",F248=""),"",IF(E248&lt;=F248,F248*2-E248,0))</f>
        <v/>
      </c>
      <c r="H248" s="16" t="n"/>
      <c r="I248" s="16" t="n"/>
      <c r="J248" s="13" t="str">
        <f>IF(OR(E248="",H248=""),"",E248*H248)</f>
        <v/>
      </c>
      <c r="K248" s="13" t="str">
        <f>IF(OR(E248="",I248=""),"",E248*I248)</f>
        <v/>
      </c>
      <c r="L248" s="14" t="str">
        <f>IF(OR(A248="",E248=""),"",IF(E248&lt;=0,"אזל",IF(E248&lt;=N(F248),"להזמין","תקין")))</f>
        <v/>
      </c>
    </row>
    <row r="249">
      <c r="A249" s="8" t="n"/>
      <c r="B249" s="9" t="n"/>
      <c r="C249" s="8" t="n"/>
      <c r="D249" s="8" t="n"/>
      <c r="E249" s="15" t="n"/>
      <c r="F249" s="15" t="n"/>
      <c r="G249" s="11" t="str">
        <f>IF(OR(E249="",F249=""),"",IF(E249&lt;=F249,F249*2-E249,0))</f>
        <v/>
      </c>
      <c r="H249" s="16" t="n"/>
      <c r="I249" s="16" t="n"/>
      <c r="J249" s="13" t="str">
        <f>IF(OR(E249="",H249=""),"",E249*H249)</f>
        <v/>
      </c>
      <c r="K249" s="13" t="str">
        <f>IF(OR(E249="",I249=""),"",E249*I249)</f>
        <v/>
      </c>
      <c r="L249" s="14" t="str">
        <f>IF(OR(A249="",E249=""),"",IF(E249&lt;=0,"אזל",IF(E249&lt;=N(F249),"להזמין","תקין")))</f>
        <v/>
      </c>
    </row>
    <row r="250">
      <c r="A250" s="8" t="n"/>
      <c r="B250" s="9" t="n"/>
      <c r="C250" s="8" t="n"/>
      <c r="D250" s="8" t="n"/>
      <c r="E250" s="15" t="n"/>
      <c r="F250" s="15" t="n"/>
      <c r="G250" s="11" t="str">
        <f>IF(OR(E250="",F250=""),"",IF(E250&lt;=F250,F250*2-E250,0))</f>
        <v/>
      </c>
      <c r="H250" s="16" t="n"/>
      <c r="I250" s="16" t="n"/>
      <c r="J250" s="13" t="str">
        <f>IF(OR(E250="",H250=""),"",E250*H250)</f>
        <v/>
      </c>
      <c r="K250" s="13" t="str">
        <f>IF(OR(E250="",I250=""),"",E250*I250)</f>
        <v/>
      </c>
      <c r="L250" s="14" t="str">
        <f>IF(OR(A250="",E250=""),"",IF(E250&lt;=0,"אזל",IF(E250&lt;=N(F250),"להזמין","תקין")))</f>
        <v/>
      </c>
    </row>
    <row r="251">
      <c r="A251" s="8" t="n"/>
      <c r="B251" s="9" t="n"/>
      <c r="C251" s="8" t="n"/>
      <c r="D251" s="8" t="n"/>
      <c r="E251" s="15" t="n"/>
      <c r="F251" s="15" t="n"/>
      <c r="G251" s="11" t="str">
        <f>IF(OR(E251="",F251=""),"",IF(E251&lt;=F251,F251*2-E251,0))</f>
        <v/>
      </c>
      <c r="H251" s="16" t="n"/>
      <c r="I251" s="16" t="n"/>
      <c r="J251" s="13" t="str">
        <f>IF(OR(E251="",H251=""),"",E251*H251)</f>
        <v/>
      </c>
      <c r="K251" s="13" t="str">
        <f>IF(OR(E251="",I251=""),"",E251*I251)</f>
        <v/>
      </c>
      <c r="L251" s="14" t="str">
        <f>IF(OR(A251="",E251=""),"",IF(E251&lt;=0,"אזל",IF(E251&lt;=N(F251),"להזמין","תקין")))</f>
        <v/>
      </c>
    </row>
    <row r="252">
      <c r="A252" s="8" t="n"/>
      <c r="B252" s="9" t="n"/>
      <c r="C252" s="8" t="n"/>
      <c r="D252" s="8" t="n"/>
      <c r="E252" s="15" t="n"/>
      <c r="F252" s="15" t="n"/>
      <c r="G252" s="11" t="str">
        <f>IF(OR(E252="",F252=""),"",IF(E252&lt;=F252,F252*2-E252,0))</f>
        <v/>
      </c>
      <c r="H252" s="16" t="n"/>
      <c r="I252" s="16" t="n"/>
      <c r="J252" s="13" t="str">
        <f>IF(OR(E252="",H252=""),"",E252*H252)</f>
        <v/>
      </c>
      <c r="K252" s="13" t="str">
        <f>IF(OR(E252="",I252=""),"",E252*I252)</f>
        <v/>
      </c>
      <c r="L252" s="14" t="str">
        <f>IF(OR(A252="",E252=""),"",IF(E252&lt;=0,"אזל",IF(E252&lt;=N(F252),"להזמין","תקין")))</f>
        <v/>
      </c>
    </row>
    <row r="253">
      <c r="A253" s="8" t="n"/>
      <c r="B253" s="9" t="n"/>
      <c r="C253" s="8" t="n"/>
      <c r="D253" s="8" t="n"/>
      <c r="E253" s="15" t="n"/>
      <c r="F253" s="15" t="n"/>
      <c r="G253" s="11" t="str">
        <f>IF(OR(E253="",F253=""),"",IF(E253&lt;=F253,F253*2-E253,0))</f>
        <v/>
      </c>
      <c r="H253" s="16" t="n"/>
      <c r="I253" s="16" t="n"/>
      <c r="J253" s="13" t="str">
        <f>IF(OR(E253="",H253=""),"",E253*H253)</f>
        <v/>
      </c>
      <c r="K253" s="13" t="str">
        <f>IF(OR(E253="",I253=""),"",E253*I253)</f>
        <v/>
      </c>
      <c r="L253" s="14" t="str">
        <f>IF(OR(A253="",E253=""),"",IF(E253&lt;=0,"אזל",IF(E253&lt;=N(F253),"להזמין","תקין")))</f>
        <v/>
      </c>
    </row>
    <row r="254">
      <c r="A254" s="8" t="n"/>
      <c r="B254" s="9" t="n"/>
      <c r="C254" s="8" t="n"/>
      <c r="D254" s="8" t="n"/>
      <c r="E254" s="15" t="n"/>
      <c r="F254" s="15" t="n"/>
      <c r="G254" s="11" t="str">
        <f>IF(OR(E254="",F254=""),"",IF(E254&lt;=F254,F254*2-E254,0))</f>
        <v/>
      </c>
      <c r="H254" s="16" t="n"/>
      <c r="I254" s="16" t="n"/>
      <c r="J254" s="13" t="str">
        <f>IF(OR(E254="",H254=""),"",E254*H254)</f>
        <v/>
      </c>
      <c r="K254" s="13" t="str">
        <f>IF(OR(E254="",I254=""),"",E254*I254)</f>
        <v/>
      </c>
      <c r="L254" s="14" t="str">
        <f>IF(OR(A254="",E254=""),"",IF(E254&lt;=0,"אזל",IF(E254&lt;=N(F254),"להזמין","תקין")))</f>
        <v/>
      </c>
    </row>
    <row r="255">
      <c r="A255" s="8" t="n"/>
      <c r="B255" s="9" t="n"/>
      <c r="C255" s="8" t="n"/>
      <c r="D255" s="8" t="n"/>
      <c r="E255" s="15" t="n"/>
      <c r="F255" s="15" t="n"/>
      <c r="G255" s="11" t="str">
        <f>IF(OR(E255="",F255=""),"",IF(E255&lt;=F255,F255*2-E255,0))</f>
        <v/>
      </c>
      <c r="H255" s="16" t="n"/>
      <c r="I255" s="16" t="n"/>
      <c r="J255" s="13" t="str">
        <f>IF(OR(E255="",H255=""),"",E255*H255)</f>
        <v/>
      </c>
      <c r="K255" s="13" t="str">
        <f>IF(OR(E255="",I255=""),"",E255*I255)</f>
        <v/>
      </c>
      <c r="L255" s="14" t="str">
        <f>IF(OR(A255="",E255=""),"",IF(E255&lt;=0,"אזל",IF(E255&lt;=N(F255),"להזמין","תקין")))</f>
        <v/>
      </c>
    </row>
    <row r="256">
      <c r="A256" s="8" t="n"/>
      <c r="B256" s="9" t="n"/>
      <c r="C256" s="8" t="n"/>
      <c r="D256" s="8" t="n"/>
      <c r="E256" s="15" t="n"/>
      <c r="F256" s="15" t="n"/>
      <c r="G256" s="11" t="str">
        <f>IF(OR(E256="",F256=""),"",IF(E256&lt;=F256,F256*2-E256,0))</f>
        <v/>
      </c>
      <c r="H256" s="16" t="n"/>
      <c r="I256" s="16" t="n"/>
      <c r="J256" s="13" t="str">
        <f>IF(OR(E256="",H256=""),"",E256*H256)</f>
        <v/>
      </c>
      <c r="K256" s="13" t="str">
        <f>IF(OR(E256="",I256=""),"",E256*I256)</f>
        <v/>
      </c>
      <c r="L256" s="14" t="str">
        <f>IF(OR(A256="",E256=""),"",IF(E256&lt;=0,"אזל",IF(E256&lt;=N(F256),"להזמין","תקין")))</f>
        <v/>
      </c>
    </row>
    <row r="257">
      <c r="A257" s="8" t="n"/>
      <c r="B257" s="9" t="n"/>
      <c r="C257" s="8" t="n"/>
      <c r="D257" s="8" t="n"/>
      <c r="E257" s="15" t="n"/>
      <c r="F257" s="15" t="n"/>
      <c r="G257" s="11" t="str">
        <f>IF(OR(E257="",F257=""),"",IF(E257&lt;=F257,F257*2-E257,0))</f>
        <v/>
      </c>
      <c r="H257" s="16" t="n"/>
      <c r="I257" s="16" t="n"/>
      <c r="J257" s="13" t="str">
        <f>IF(OR(E257="",H257=""),"",E257*H257)</f>
        <v/>
      </c>
      <c r="K257" s="13" t="str">
        <f>IF(OR(E257="",I257=""),"",E257*I257)</f>
        <v/>
      </c>
      <c r="L257" s="14" t="str">
        <f>IF(OR(A257="",E257=""),"",IF(E257&lt;=0,"אזל",IF(E257&lt;=N(F257),"להזמין","תקין")))</f>
        <v/>
      </c>
    </row>
    <row r="258">
      <c r="A258" s="8" t="n"/>
      <c r="B258" s="9" t="n"/>
      <c r="C258" s="8" t="n"/>
      <c r="D258" s="8" t="n"/>
      <c r="E258" s="15" t="n"/>
      <c r="F258" s="15" t="n"/>
      <c r="G258" s="11" t="str">
        <f>IF(OR(E258="",F258=""),"",IF(E258&lt;=F258,F258*2-E258,0))</f>
        <v/>
      </c>
      <c r="H258" s="16" t="n"/>
      <c r="I258" s="16" t="n"/>
      <c r="J258" s="13" t="str">
        <f>IF(OR(E258="",H258=""),"",E258*H258)</f>
        <v/>
      </c>
      <c r="K258" s="13" t="str">
        <f>IF(OR(E258="",I258=""),"",E258*I258)</f>
        <v/>
      </c>
      <c r="L258" s="14" t="str">
        <f>IF(OR(A258="",E258=""),"",IF(E258&lt;=0,"אזל",IF(E258&lt;=N(F258),"להזמין","תקין")))</f>
        <v/>
      </c>
    </row>
    <row r="259">
      <c r="A259" s="8" t="n"/>
      <c r="B259" s="9" t="n"/>
      <c r="C259" s="8" t="n"/>
      <c r="D259" s="8" t="n"/>
      <c r="E259" s="15" t="n"/>
      <c r="F259" s="15" t="n"/>
      <c r="G259" s="11" t="str">
        <f>IF(OR(E259="",F259=""),"",IF(E259&lt;=F259,F259*2-E259,0))</f>
        <v/>
      </c>
      <c r="H259" s="16" t="n"/>
      <c r="I259" s="16" t="n"/>
      <c r="J259" s="13" t="str">
        <f>IF(OR(E259="",H259=""),"",E259*H259)</f>
        <v/>
      </c>
      <c r="K259" s="13" t="str">
        <f>IF(OR(E259="",I259=""),"",E259*I259)</f>
        <v/>
      </c>
      <c r="L259" s="14" t="str">
        <f>IF(OR(A259="",E259=""),"",IF(E259&lt;=0,"אזל",IF(E259&lt;=N(F259),"להזמין","תקין")))</f>
        <v/>
      </c>
    </row>
    <row r="260">
      <c r="A260" s="8" t="n"/>
      <c r="B260" s="9" t="n"/>
      <c r="C260" s="8" t="n"/>
      <c r="D260" s="8" t="n"/>
      <c r="E260" s="15" t="n"/>
      <c r="F260" s="15" t="n"/>
      <c r="G260" s="11" t="str">
        <f>IF(OR(E260="",F260=""),"",IF(E260&lt;=F260,F260*2-E260,0))</f>
        <v/>
      </c>
      <c r="H260" s="16" t="n"/>
      <c r="I260" s="16" t="n"/>
      <c r="J260" s="13" t="str">
        <f>IF(OR(E260="",H260=""),"",E260*H260)</f>
        <v/>
      </c>
      <c r="K260" s="13" t="str">
        <f>IF(OR(E260="",I260=""),"",E260*I260)</f>
        <v/>
      </c>
      <c r="L260" s="14" t="str">
        <f>IF(OR(A260="",E260=""),"",IF(E260&lt;=0,"אזל",IF(E260&lt;=N(F260),"להזמין","תקין")))</f>
        <v/>
      </c>
    </row>
    <row r="261">
      <c r="A261" s="8" t="n"/>
      <c r="B261" s="9" t="n"/>
      <c r="C261" s="8" t="n"/>
      <c r="D261" s="8" t="n"/>
      <c r="E261" s="15" t="n"/>
      <c r="F261" s="15" t="n"/>
      <c r="G261" s="11" t="str">
        <f>IF(OR(E261="",F261=""),"",IF(E261&lt;=F261,F261*2-E261,0))</f>
        <v/>
      </c>
      <c r="H261" s="16" t="n"/>
      <c r="I261" s="16" t="n"/>
      <c r="J261" s="13" t="str">
        <f>IF(OR(E261="",H261=""),"",E261*H261)</f>
        <v/>
      </c>
      <c r="K261" s="13" t="str">
        <f>IF(OR(E261="",I261=""),"",E261*I261)</f>
        <v/>
      </c>
      <c r="L261" s="14" t="str">
        <f>IF(OR(A261="",E261=""),"",IF(E261&lt;=0,"אזל",IF(E261&lt;=N(F261),"להזמין","תקין")))</f>
        <v/>
      </c>
    </row>
    <row r="262">
      <c r="A262" s="8" t="n"/>
      <c r="B262" s="9" t="n"/>
      <c r="C262" s="8" t="n"/>
      <c r="D262" s="8" t="n"/>
      <c r="E262" s="15" t="n"/>
      <c r="F262" s="15" t="n"/>
      <c r="G262" s="11" t="str">
        <f>IF(OR(E262="",F262=""),"",IF(E262&lt;=F262,F262*2-E262,0))</f>
        <v/>
      </c>
      <c r="H262" s="16" t="n"/>
      <c r="I262" s="16" t="n"/>
      <c r="J262" s="13" t="str">
        <f>IF(OR(E262="",H262=""),"",E262*H262)</f>
        <v/>
      </c>
      <c r="K262" s="13" t="str">
        <f>IF(OR(E262="",I262=""),"",E262*I262)</f>
        <v/>
      </c>
      <c r="L262" s="14" t="str">
        <f>IF(OR(A262="",E262=""),"",IF(E262&lt;=0,"אזל",IF(E262&lt;=N(F262),"להזמין","תקין")))</f>
        <v/>
      </c>
    </row>
    <row r="263">
      <c r="A263" s="8" t="n"/>
      <c r="B263" s="9" t="n"/>
      <c r="C263" s="8" t="n"/>
      <c r="D263" s="8" t="n"/>
      <c r="E263" s="15" t="n"/>
      <c r="F263" s="15" t="n"/>
      <c r="G263" s="11" t="str">
        <f>IF(OR(E263="",F263=""),"",IF(E263&lt;=F263,F263*2-E263,0))</f>
        <v/>
      </c>
      <c r="H263" s="16" t="n"/>
      <c r="I263" s="16" t="n"/>
      <c r="J263" s="13" t="str">
        <f>IF(OR(E263="",H263=""),"",E263*H263)</f>
        <v/>
      </c>
      <c r="K263" s="13" t="str">
        <f>IF(OR(E263="",I263=""),"",E263*I263)</f>
        <v/>
      </c>
      <c r="L263" s="14" t="str">
        <f>IF(OR(A263="",E263=""),"",IF(E263&lt;=0,"אזל",IF(E263&lt;=N(F263),"להזמין","תקין")))</f>
        <v/>
      </c>
    </row>
    <row r="264">
      <c r="A264" s="8" t="n"/>
      <c r="B264" s="9" t="n"/>
      <c r="C264" s="8" t="n"/>
      <c r="D264" s="8" t="n"/>
      <c r="E264" s="15" t="n"/>
      <c r="F264" s="15" t="n"/>
      <c r="G264" s="11" t="str">
        <f>IF(OR(E264="",F264=""),"",IF(E264&lt;=F264,F264*2-E264,0))</f>
        <v/>
      </c>
      <c r="H264" s="16" t="n"/>
      <c r="I264" s="16" t="n"/>
      <c r="J264" s="13" t="str">
        <f>IF(OR(E264="",H264=""),"",E264*H264)</f>
        <v/>
      </c>
      <c r="K264" s="13" t="str">
        <f>IF(OR(E264="",I264=""),"",E264*I264)</f>
        <v/>
      </c>
      <c r="L264" s="14" t="str">
        <f>IF(OR(A264="",E264=""),"",IF(E264&lt;=0,"אזל",IF(E264&lt;=N(F264),"להזמין","תקין")))</f>
        <v/>
      </c>
    </row>
    <row r="265">
      <c r="A265" s="8" t="n"/>
      <c r="B265" s="9" t="n"/>
      <c r="C265" s="8" t="n"/>
      <c r="D265" s="8" t="n"/>
      <c r="E265" s="15" t="n"/>
      <c r="F265" s="15" t="n"/>
      <c r="G265" s="11" t="str">
        <f>IF(OR(E265="",F265=""),"",IF(E265&lt;=F265,F265*2-E265,0))</f>
        <v/>
      </c>
      <c r="H265" s="16" t="n"/>
      <c r="I265" s="16" t="n"/>
      <c r="J265" s="13" t="str">
        <f>IF(OR(E265="",H265=""),"",E265*H265)</f>
        <v/>
      </c>
      <c r="K265" s="13" t="str">
        <f>IF(OR(E265="",I265=""),"",E265*I265)</f>
        <v/>
      </c>
      <c r="L265" s="14" t="str">
        <f>IF(OR(A265="",E265=""),"",IF(E265&lt;=0,"אזל",IF(E265&lt;=N(F265),"להזמין","תקין")))</f>
        <v/>
      </c>
    </row>
    <row r="266">
      <c r="A266" s="8" t="n"/>
      <c r="B266" s="9" t="n"/>
      <c r="C266" s="8" t="n"/>
      <c r="D266" s="8" t="n"/>
      <c r="E266" s="15" t="n"/>
      <c r="F266" s="15" t="n"/>
      <c r="G266" s="11" t="str">
        <f>IF(OR(E266="",F266=""),"",IF(E266&lt;=F266,F266*2-E266,0))</f>
        <v/>
      </c>
      <c r="H266" s="16" t="n"/>
      <c r="I266" s="16" t="n"/>
      <c r="J266" s="13" t="str">
        <f>IF(OR(E266="",H266=""),"",E266*H266)</f>
        <v/>
      </c>
      <c r="K266" s="13" t="str">
        <f>IF(OR(E266="",I266=""),"",E266*I266)</f>
        <v/>
      </c>
      <c r="L266" s="14" t="str">
        <f>IF(OR(A266="",E266=""),"",IF(E266&lt;=0,"אזל",IF(E266&lt;=N(F266),"להזמין","תקין")))</f>
        <v/>
      </c>
    </row>
    <row r="267">
      <c r="A267" s="8" t="n"/>
      <c r="B267" s="9" t="n"/>
      <c r="C267" s="8" t="n"/>
      <c r="D267" s="8" t="n"/>
      <c r="E267" s="15" t="n"/>
      <c r="F267" s="15" t="n"/>
      <c r="G267" s="11" t="str">
        <f>IF(OR(E267="",F267=""),"",IF(E267&lt;=F267,F267*2-E267,0))</f>
        <v/>
      </c>
      <c r="H267" s="16" t="n"/>
      <c r="I267" s="16" t="n"/>
      <c r="J267" s="13" t="str">
        <f>IF(OR(E267="",H267=""),"",E267*H267)</f>
        <v/>
      </c>
      <c r="K267" s="13" t="str">
        <f>IF(OR(E267="",I267=""),"",E267*I267)</f>
        <v/>
      </c>
      <c r="L267" s="14" t="str">
        <f>IF(OR(A267="",E267=""),"",IF(E267&lt;=0,"אזל",IF(E267&lt;=N(F267),"להזמין","תקין")))</f>
        <v/>
      </c>
    </row>
    <row r="268">
      <c r="A268" s="8" t="n"/>
      <c r="B268" s="9" t="n"/>
      <c r="C268" s="8" t="n"/>
      <c r="D268" s="8" t="n"/>
      <c r="E268" s="15" t="n"/>
      <c r="F268" s="15" t="n"/>
      <c r="G268" s="11" t="str">
        <f>IF(OR(E268="",F268=""),"",IF(E268&lt;=F268,F268*2-E268,0))</f>
        <v/>
      </c>
      <c r="H268" s="16" t="n"/>
      <c r="I268" s="16" t="n"/>
      <c r="J268" s="13" t="str">
        <f>IF(OR(E268="",H268=""),"",E268*H268)</f>
        <v/>
      </c>
      <c r="K268" s="13" t="str">
        <f>IF(OR(E268="",I268=""),"",E268*I268)</f>
        <v/>
      </c>
      <c r="L268" s="14" t="str">
        <f>IF(OR(A268="",E268=""),"",IF(E268&lt;=0,"אזל",IF(E268&lt;=N(F268),"להזמין","תקין")))</f>
        <v/>
      </c>
    </row>
    <row r="269">
      <c r="A269" s="8" t="n"/>
      <c r="B269" s="9" t="n"/>
      <c r="C269" s="8" t="n"/>
      <c r="D269" s="8" t="n"/>
      <c r="E269" s="15" t="n"/>
      <c r="F269" s="15" t="n"/>
      <c r="G269" s="11" t="str">
        <f>IF(OR(E269="",F269=""),"",IF(E269&lt;=F269,F269*2-E269,0))</f>
        <v/>
      </c>
      <c r="H269" s="16" t="n"/>
      <c r="I269" s="16" t="n"/>
      <c r="J269" s="13" t="str">
        <f>IF(OR(E269="",H269=""),"",E269*H269)</f>
        <v/>
      </c>
      <c r="K269" s="13" t="str">
        <f>IF(OR(E269="",I269=""),"",E269*I269)</f>
        <v/>
      </c>
      <c r="L269" s="14" t="str">
        <f>IF(OR(A269="",E269=""),"",IF(E269&lt;=0,"אזל",IF(E269&lt;=N(F269),"להזמין","תקין")))</f>
        <v/>
      </c>
    </row>
    <row r="270">
      <c r="A270" s="8" t="n"/>
      <c r="B270" s="9" t="n"/>
      <c r="C270" s="8" t="n"/>
      <c r="D270" s="8" t="n"/>
      <c r="E270" s="15" t="n"/>
      <c r="F270" s="15" t="n"/>
      <c r="G270" s="11" t="str">
        <f>IF(OR(E270="",F270=""),"",IF(E270&lt;=F270,F270*2-E270,0))</f>
        <v/>
      </c>
      <c r="H270" s="16" t="n"/>
      <c r="I270" s="16" t="n"/>
      <c r="J270" s="13" t="str">
        <f>IF(OR(E270="",H270=""),"",E270*H270)</f>
        <v/>
      </c>
      <c r="K270" s="13" t="str">
        <f>IF(OR(E270="",I270=""),"",E270*I270)</f>
        <v/>
      </c>
      <c r="L270" s="14" t="str">
        <f>IF(OR(A270="",E270=""),"",IF(E270&lt;=0,"אזל",IF(E270&lt;=N(F270),"להזמין","תקין")))</f>
        <v/>
      </c>
    </row>
    <row r="271">
      <c r="A271" s="8" t="n"/>
      <c r="B271" s="9" t="n"/>
      <c r="C271" s="8" t="n"/>
      <c r="D271" s="8" t="n"/>
      <c r="E271" s="15" t="n"/>
      <c r="F271" s="15" t="n"/>
      <c r="G271" s="11" t="str">
        <f>IF(OR(E271="",F271=""),"",IF(E271&lt;=F271,F271*2-E271,0))</f>
        <v/>
      </c>
      <c r="H271" s="16" t="n"/>
      <c r="I271" s="16" t="n"/>
      <c r="J271" s="13" t="str">
        <f>IF(OR(E271="",H271=""),"",E271*H271)</f>
        <v/>
      </c>
      <c r="K271" s="13" t="str">
        <f>IF(OR(E271="",I271=""),"",E271*I271)</f>
        <v/>
      </c>
      <c r="L271" s="14" t="str">
        <f>IF(OR(A271="",E271=""),"",IF(E271&lt;=0,"אזל",IF(E271&lt;=N(F271),"להזמין","תקין")))</f>
        <v/>
      </c>
    </row>
    <row r="272">
      <c r="A272" s="8" t="n"/>
      <c r="B272" s="9" t="n"/>
      <c r="C272" s="8" t="n"/>
      <c r="D272" s="8" t="n"/>
      <c r="E272" s="15" t="n"/>
      <c r="F272" s="15" t="n"/>
      <c r="G272" s="11" t="str">
        <f>IF(OR(E272="",F272=""),"",IF(E272&lt;=F272,F272*2-E272,0))</f>
        <v/>
      </c>
      <c r="H272" s="16" t="n"/>
      <c r="I272" s="16" t="n"/>
      <c r="J272" s="13" t="str">
        <f>IF(OR(E272="",H272=""),"",E272*H272)</f>
        <v/>
      </c>
      <c r="K272" s="13" t="str">
        <f>IF(OR(E272="",I272=""),"",E272*I272)</f>
        <v/>
      </c>
      <c r="L272" s="14" t="str">
        <f>IF(OR(A272="",E272=""),"",IF(E272&lt;=0,"אזל",IF(E272&lt;=N(F272),"להזמין","תקין")))</f>
        <v/>
      </c>
    </row>
    <row r="273">
      <c r="A273" s="8" t="n"/>
      <c r="B273" s="9" t="n"/>
      <c r="C273" s="8" t="n"/>
      <c r="D273" s="8" t="n"/>
      <c r="E273" s="15" t="n"/>
      <c r="F273" s="15" t="n"/>
      <c r="G273" s="11" t="str">
        <f>IF(OR(E273="",F273=""),"",IF(E273&lt;=F273,F273*2-E273,0))</f>
        <v/>
      </c>
      <c r="H273" s="16" t="n"/>
      <c r="I273" s="16" t="n"/>
      <c r="J273" s="13" t="str">
        <f>IF(OR(E273="",H273=""),"",E273*H273)</f>
        <v/>
      </c>
      <c r="K273" s="13" t="str">
        <f>IF(OR(E273="",I273=""),"",E273*I273)</f>
        <v/>
      </c>
      <c r="L273" s="14" t="str">
        <f>IF(OR(A273="",E273=""),"",IF(E273&lt;=0,"אזל",IF(E273&lt;=N(F273),"להזמין","תקין")))</f>
        <v/>
      </c>
    </row>
    <row r="274">
      <c r="A274" s="8" t="n"/>
      <c r="B274" s="9" t="n"/>
      <c r="C274" s="8" t="n"/>
      <c r="D274" s="8" t="n"/>
      <c r="E274" s="15" t="n"/>
      <c r="F274" s="15" t="n"/>
      <c r="G274" s="11" t="str">
        <f>IF(OR(E274="",F274=""),"",IF(E274&lt;=F274,F274*2-E274,0))</f>
        <v/>
      </c>
      <c r="H274" s="16" t="n"/>
      <c r="I274" s="16" t="n"/>
      <c r="J274" s="13" t="str">
        <f>IF(OR(E274="",H274=""),"",E274*H274)</f>
        <v/>
      </c>
      <c r="K274" s="13" t="str">
        <f>IF(OR(E274="",I274=""),"",E274*I274)</f>
        <v/>
      </c>
      <c r="L274" s="14" t="str">
        <f>IF(OR(A274="",E274=""),"",IF(E274&lt;=0,"אזל",IF(E274&lt;=N(F274),"להזמין","תקין")))</f>
        <v/>
      </c>
    </row>
    <row r="275">
      <c r="A275" s="8" t="n"/>
      <c r="B275" s="9" t="n"/>
      <c r="C275" s="8" t="n"/>
      <c r="D275" s="8" t="n"/>
      <c r="E275" s="15" t="n"/>
      <c r="F275" s="15" t="n"/>
      <c r="G275" s="11" t="str">
        <f>IF(OR(E275="",F275=""),"",IF(E275&lt;=F275,F275*2-E275,0))</f>
        <v/>
      </c>
      <c r="H275" s="16" t="n"/>
      <c r="I275" s="16" t="n"/>
      <c r="J275" s="13" t="str">
        <f>IF(OR(E275="",H275=""),"",E275*H275)</f>
        <v/>
      </c>
      <c r="K275" s="13" t="str">
        <f>IF(OR(E275="",I275=""),"",E275*I275)</f>
        <v/>
      </c>
      <c r="L275" s="14" t="str">
        <f>IF(OR(A275="",E275=""),"",IF(E275&lt;=0,"אזל",IF(E275&lt;=N(F275),"להזמין","תקין")))</f>
        <v/>
      </c>
    </row>
    <row r="276">
      <c r="A276" s="8" t="n"/>
      <c r="B276" s="9" t="n"/>
      <c r="C276" s="8" t="n"/>
      <c r="D276" s="8" t="n"/>
      <c r="E276" s="15" t="n"/>
      <c r="F276" s="15" t="n"/>
      <c r="G276" s="11" t="str">
        <f>IF(OR(E276="",F276=""),"",IF(E276&lt;=F276,F276*2-E276,0))</f>
        <v/>
      </c>
      <c r="H276" s="16" t="n"/>
      <c r="I276" s="16" t="n"/>
      <c r="J276" s="13" t="str">
        <f>IF(OR(E276="",H276=""),"",E276*H276)</f>
        <v/>
      </c>
      <c r="K276" s="13" t="str">
        <f>IF(OR(E276="",I276=""),"",E276*I276)</f>
        <v/>
      </c>
      <c r="L276" s="14" t="str">
        <f>IF(OR(A276="",E276=""),"",IF(E276&lt;=0,"אזל",IF(E276&lt;=N(F276),"להזמין","תקין")))</f>
        <v/>
      </c>
    </row>
    <row r="277">
      <c r="A277" s="8" t="n"/>
      <c r="B277" s="9" t="n"/>
      <c r="C277" s="8" t="n"/>
      <c r="D277" s="8" t="n"/>
      <c r="E277" s="15" t="n"/>
      <c r="F277" s="15" t="n"/>
      <c r="G277" s="11" t="str">
        <f>IF(OR(E277="",F277=""),"",IF(E277&lt;=F277,F277*2-E277,0))</f>
        <v/>
      </c>
      <c r="H277" s="16" t="n"/>
      <c r="I277" s="16" t="n"/>
      <c r="J277" s="13" t="str">
        <f>IF(OR(E277="",H277=""),"",E277*H277)</f>
        <v/>
      </c>
      <c r="K277" s="13" t="str">
        <f>IF(OR(E277="",I277=""),"",E277*I277)</f>
        <v/>
      </c>
      <c r="L277" s="14" t="str">
        <f>IF(OR(A277="",E277=""),"",IF(E277&lt;=0,"אזל",IF(E277&lt;=N(F277),"להזמין","תקין")))</f>
        <v/>
      </c>
    </row>
    <row r="278">
      <c r="A278" s="8" t="n"/>
      <c r="B278" s="9" t="n"/>
      <c r="C278" s="8" t="n"/>
      <c r="D278" s="8" t="n"/>
      <c r="E278" s="15" t="n"/>
      <c r="F278" s="15" t="n"/>
      <c r="G278" s="11" t="str">
        <f>IF(OR(E278="",F278=""),"",IF(E278&lt;=F278,F278*2-E278,0))</f>
        <v/>
      </c>
      <c r="H278" s="16" t="n"/>
      <c r="I278" s="16" t="n"/>
      <c r="J278" s="13" t="str">
        <f>IF(OR(E278="",H278=""),"",E278*H278)</f>
        <v/>
      </c>
      <c r="K278" s="13" t="str">
        <f>IF(OR(E278="",I278=""),"",E278*I278)</f>
        <v/>
      </c>
      <c r="L278" s="14" t="str">
        <f>IF(OR(A278="",E278=""),"",IF(E278&lt;=0,"אזל",IF(E278&lt;=N(F278),"להזמין","תקין")))</f>
        <v/>
      </c>
    </row>
    <row r="279">
      <c r="A279" s="8" t="n"/>
      <c r="B279" s="9" t="n"/>
      <c r="C279" s="8" t="n"/>
      <c r="D279" s="8" t="n"/>
      <c r="E279" s="15" t="n"/>
      <c r="F279" s="15" t="n"/>
      <c r="G279" s="11" t="str">
        <f>IF(OR(E279="",F279=""),"",IF(E279&lt;=F279,F279*2-E279,0))</f>
        <v/>
      </c>
      <c r="H279" s="16" t="n"/>
      <c r="I279" s="16" t="n"/>
      <c r="J279" s="13" t="str">
        <f>IF(OR(E279="",H279=""),"",E279*H279)</f>
        <v/>
      </c>
      <c r="K279" s="13" t="str">
        <f>IF(OR(E279="",I279=""),"",E279*I279)</f>
        <v/>
      </c>
      <c r="L279" s="14" t="str">
        <f>IF(OR(A279="",E279=""),"",IF(E279&lt;=0,"אזל",IF(E279&lt;=N(F279),"להזמין","תקין")))</f>
        <v/>
      </c>
    </row>
    <row r="280">
      <c r="A280" s="8" t="n"/>
      <c r="B280" s="9" t="n"/>
      <c r="C280" s="8" t="n"/>
      <c r="D280" s="8" t="n"/>
      <c r="E280" s="15" t="n"/>
      <c r="F280" s="15" t="n"/>
      <c r="G280" s="11" t="str">
        <f>IF(OR(E280="",F280=""),"",IF(E280&lt;=F280,F280*2-E280,0))</f>
        <v/>
      </c>
      <c r="H280" s="16" t="n"/>
      <c r="I280" s="16" t="n"/>
      <c r="J280" s="13" t="str">
        <f>IF(OR(E280="",H280=""),"",E280*H280)</f>
        <v/>
      </c>
      <c r="K280" s="13" t="str">
        <f>IF(OR(E280="",I280=""),"",E280*I280)</f>
        <v/>
      </c>
      <c r="L280" s="14" t="str">
        <f>IF(OR(A280="",E280=""),"",IF(E280&lt;=0,"אזל",IF(E280&lt;=N(F280),"להזמין","תקין")))</f>
        <v/>
      </c>
    </row>
    <row r="281">
      <c r="A281" s="8" t="n"/>
      <c r="B281" s="9" t="n"/>
      <c r="C281" s="8" t="n"/>
      <c r="D281" s="8" t="n"/>
      <c r="E281" s="15" t="n"/>
      <c r="F281" s="15" t="n"/>
      <c r="G281" s="11" t="str">
        <f>IF(OR(E281="",F281=""),"",IF(E281&lt;=F281,F281*2-E281,0))</f>
        <v/>
      </c>
      <c r="H281" s="16" t="n"/>
      <c r="I281" s="16" t="n"/>
      <c r="J281" s="13" t="str">
        <f>IF(OR(E281="",H281=""),"",E281*H281)</f>
        <v/>
      </c>
      <c r="K281" s="13" t="str">
        <f>IF(OR(E281="",I281=""),"",E281*I281)</f>
        <v/>
      </c>
      <c r="L281" s="14" t="str">
        <f>IF(OR(A281="",E281=""),"",IF(E281&lt;=0,"אזל",IF(E281&lt;=N(F281),"להזמין","תקין")))</f>
        <v/>
      </c>
    </row>
    <row r="282">
      <c r="A282" s="8" t="n"/>
      <c r="B282" s="9" t="n"/>
      <c r="C282" s="8" t="n"/>
      <c r="D282" s="8" t="n"/>
      <c r="E282" s="15" t="n"/>
      <c r="F282" s="15" t="n"/>
      <c r="G282" s="11" t="str">
        <f>IF(OR(E282="",F282=""),"",IF(E282&lt;=F282,F282*2-E282,0))</f>
        <v/>
      </c>
      <c r="H282" s="16" t="n"/>
      <c r="I282" s="16" t="n"/>
      <c r="J282" s="13" t="str">
        <f>IF(OR(E282="",H282=""),"",E282*H282)</f>
        <v/>
      </c>
      <c r="K282" s="13" t="str">
        <f>IF(OR(E282="",I282=""),"",E282*I282)</f>
        <v/>
      </c>
      <c r="L282" s="14" t="str">
        <f>IF(OR(A282="",E282=""),"",IF(E282&lt;=0,"אזל",IF(E282&lt;=N(F282),"להזמין","תקין")))</f>
        <v/>
      </c>
    </row>
    <row r="283">
      <c r="A283" s="8" t="n"/>
      <c r="B283" s="9" t="n"/>
      <c r="C283" s="8" t="n"/>
      <c r="D283" s="8" t="n"/>
      <c r="E283" s="15" t="n"/>
      <c r="F283" s="15" t="n"/>
      <c r="G283" s="11" t="str">
        <f>IF(OR(E283="",F283=""),"",IF(E283&lt;=F283,F283*2-E283,0))</f>
        <v/>
      </c>
      <c r="H283" s="16" t="n"/>
      <c r="I283" s="16" t="n"/>
      <c r="J283" s="13" t="str">
        <f>IF(OR(E283="",H283=""),"",E283*H283)</f>
        <v/>
      </c>
      <c r="K283" s="13" t="str">
        <f>IF(OR(E283="",I283=""),"",E283*I283)</f>
        <v/>
      </c>
      <c r="L283" s="14" t="str">
        <f>IF(OR(A283="",E283=""),"",IF(E283&lt;=0,"אזל",IF(E283&lt;=N(F283),"להזמין","תקין")))</f>
        <v/>
      </c>
    </row>
    <row r="284">
      <c r="A284" s="8" t="n"/>
      <c r="B284" s="9" t="n"/>
      <c r="C284" s="8" t="n"/>
      <c r="D284" s="8" t="n"/>
      <c r="E284" s="15" t="n"/>
      <c r="F284" s="15" t="n"/>
      <c r="G284" s="11" t="str">
        <f>IF(OR(E284="",F284=""),"",IF(E284&lt;=F284,F284*2-E284,0))</f>
        <v/>
      </c>
      <c r="H284" s="16" t="n"/>
      <c r="I284" s="16" t="n"/>
      <c r="J284" s="13" t="str">
        <f>IF(OR(E284="",H284=""),"",E284*H284)</f>
        <v/>
      </c>
      <c r="K284" s="13" t="str">
        <f>IF(OR(E284="",I284=""),"",E284*I284)</f>
        <v/>
      </c>
      <c r="L284" s="14" t="str">
        <f>IF(OR(A284="",E284=""),"",IF(E284&lt;=0,"אזל",IF(E284&lt;=N(F284),"להזמין","תקין")))</f>
        <v/>
      </c>
    </row>
    <row r="285">
      <c r="A285" s="8" t="n"/>
      <c r="B285" s="9" t="n"/>
      <c r="C285" s="8" t="n"/>
      <c r="D285" s="8" t="n"/>
      <c r="E285" s="15" t="n"/>
      <c r="F285" s="15" t="n"/>
      <c r="G285" s="11" t="str">
        <f>IF(OR(E285="",F285=""),"",IF(E285&lt;=F285,F285*2-E285,0))</f>
        <v/>
      </c>
      <c r="H285" s="16" t="n"/>
      <c r="I285" s="16" t="n"/>
      <c r="J285" s="13" t="str">
        <f>IF(OR(E285="",H285=""),"",E285*H285)</f>
        <v/>
      </c>
      <c r="K285" s="13" t="str">
        <f>IF(OR(E285="",I285=""),"",E285*I285)</f>
        <v/>
      </c>
      <c r="L285" s="14" t="str">
        <f>IF(OR(A285="",E285=""),"",IF(E285&lt;=0,"אזל",IF(E285&lt;=N(F285),"להזמין","תקין")))</f>
        <v/>
      </c>
    </row>
    <row r="286">
      <c r="A286" s="8" t="n"/>
      <c r="B286" s="9" t="n"/>
      <c r="C286" s="8" t="n"/>
      <c r="D286" s="8" t="n"/>
      <c r="E286" s="15" t="n"/>
      <c r="F286" s="15" t="n"/>
      <c r="G286" s="11" t="str">
        <f>IF(OR(E286="",F286=""),"",IF(E286&lt;=F286,F286*2-E286,0))</f>
        <v/>
      </c>
      <c r="H286" s="16" t="n"/>
      <c r="I286" s="16" t="n"/>
      <c r="J286" s="13" t="str">
        <f>IF(OR(E286="",H286=""),"",E286*H286)</f>
        <v/>
      </c>
      <c r="K286" s="13" t="str">
        <f>IF(OR(E286="",I286=""),"",E286*I286)</f>
        <v/>
      </c>
      <c r="L286" s="14" t="str">
        <f>IF(OR(A286="",E286=""),"",IF(E286&lt;=0,"אזל",IF(E286&lt;=N(F286),"להזמין","תקין")))</f>
        <v/>
      </c>
    </row>
    <row r="287">
      <c r="A287" s="8" t="n"/>
      <c r="B287" s="9" t="n"/>
      <c r="C287" s="8" t="n"/>
      <c r="D287" s="8" t="n"/>
      <c r="E287" s="15" t="n"/>
      <c r="F287" s="15" t="n"/>
      <c r="G287" s="11" t="str">
        <f>IF(OR(E287="",F287=""),"",IF(E287&lt;=F287,F287*2-E287,0))</f>
        <v/>
      </c>
      <c r="H287" s="16" t="n"/>
      <c r="I287" s="16" t="n"/>
      <c r="J287" s="13" t="str">
        <f>IF(OR(E287="",H287=""),"",E287*H287)</f>
        <v/>
      </c>
      <c r="K287" s="13" t="str">
        <f>IF(OR(E287="",I287=""),"",E287*I287)</f>
        <v/>
      </c>
      <c r="L287" s="14" t="str">
        <f>IF(OR(A287="",E287=""),"",IF(E287&lt;=0,"אזל",IF(E287&lt;=N(F287),"להזמין","תקין")))</f>
        <v/>
      </c>
    </row>
    <row r="288">
      <c r="A288" s="8" t="n"/>
      <c r="B288" s="9" t="n"/>
      <c r="C288" s="8" t="n"/>
      <c r="D288" s="8" t="n"/>
      <c r="E288" s="15" t="n"/>
      <c r="F288" s="15" t="n"/>
      <c r="G288" s="11" t="str">
        <f>IF(OR(E288="",F288=""),"",IF(E288&lt;=F288,F288*2-E288,0))</f>
        <v/>
      </c>
      <c r="H288" s="16" t="n"/>
      <c r="I288" s="16" t="n"/>
      <c r="J288" s="13" t="str">
        <f>IF(OR(E288="",H288=""),"",E288*H288)</f>
        <v/>
      </c>
      <c r="K288" s="13" t="str">
        <f>IF(OR(E288="",I288=""),"",E288*I288)</f>
        <v/>
      </c>
      <c r="L288" s="14" t="str">
        <f>IF(OR(A288="",E288=""),"",IF(E288&lt;=0,"אזל",IF(E288&lt;=N(F288),"להזמין","תקין")))</f>
        <v/>
      </c>
    </row>
    <row r="289">
      <c r="A289" s="8" t="n"/>
      <c r="B289" s="9" t="n"/>
      <c r="C289" s="8" t="n"/>
      <c r="D289" s="8" t="n"/>
      <c r="E289" s="15" t="n"/>
      <c r="F289" s="15" t="n"/>
      <c r="G289" s="11" t="str">
        <f>IF(OR(E289="",F289=""),"",IF(E289&lt;=F289,F289*2-E289,0))</f>
        <v/>
      </c>
      <c r="H289" s="16" t="n"/>
      <c r="I289" s="16" t="n"/>
      <c r="J289" s="13" t="str">
        <f>IF(OR(E289="",H289=""),"",E289*H289)</f>
        <v/>
      </c>
      <c r="K289" s="13" t="str">
        <f>IF(OR(E289="",I289=""),"",E289*I289)</f>
        <v/>
      </c>
      <c r="L289" s="14" t="str">
        <f>IF(OR(A289="",E289=""),"",IF(E289&lt;=0,"אזל",IF(E289&lt;=N(F289),"להזמין","תקין")))</f>
        <v/>
      </c>
    </row>
    <row r="290">
      <c r="A290" s="8" t="n"/>
      <c r="B290" s="9" t="n"/>
      <c r="C290" s="8" t="n"/>
      <c r="D290" s="8" t="n"/>
      <c r="E290" s="15" t="n"/>
      <c r="F290" s="15" t="n"/>
      <c r="G290" s="11" t="str">
        <f>IF(OR(E290="",F290=""),"",IF(E290&lt;=F290,F290*2-E290,0))</f>
        <v/>
      </c>
      <c r="H290" s="16" t="n"/>
      <c r="I290" s="16" t="n"/>
      <c r="J290" s="13" t="str">
        <f>IF(OR(E290="",H290=""),"",E290*H290)</f>
        <v/>
      </c>
      <c r="K290" s="13" t="str">
        <f>IF(OR(E290="",I290=""),"",E290*I290)</f>
        <v/>
      </c>
      <c r="L290" s="14" t="str">
        <f>IF(OR(A290="",E290=""),"",IF(E290&lt;=0,"אזל",IF(E290&lt;=N(F290),"להזמין","תקין")))</f>
        <v/>
      </c>
    </row>
    <row r="291">
      <c r="A291" s="8" t="n"/>
      <c r="B291" s="9" t="n"/>
      <c r="C291" s="8" t="n"/>
      <c r="D291" s="8" t="n"/>
      <c r="E291" s="15" t="n"/>
      <c r="F291" s="15" t="n"/>
      <c r="G291" s="11" t="str">
        <f>IF(OR(E291="",F291=""),"",IF(E291&lt;=F291,F291*2-E291,0))</f>
        <v/>
      </c>
      <c r="H291" s="16" t="n"/>
      <c r="I291" s="16" t="n"/>
      <c r="J291" s="13" t="str">
        <f>IF(OR(E291="",H291=""),"",E291*H291)</f>
        <v/>
      </c>
      <c r="K291" s="13" t="str">
        <f>IF(OR(E291="",I291=""),"",E291*I291)</f>
        <v/>
      </c>
      <c r="L291" s="14" t="str">
        <f>IF(OR(A291="",E291=""),"",IF(E291&lt;=0,"אזל",IF(E291&lt;=N(F291),"להזמין","תקין")))</f>
        <v/>
      </c>
    </row>
    <row r="292">
      <c r="A292" s="8" t="n"/>
      <c r="B292" s="9" t="n"/>
      <c r="C292" s="8" t="n"/>
      <c r="D292" s="8" t="n"/>
      <c r="E292" s="15" t="n"/>
      <c r="F292" s="15" t="n"/>
      <c r="G292" s="11" t="str">
        <f>IF(OR(E292="",F292=""),"",IF(E292&lt;=F292,F292*2-E292,0))</f>
        <v/>
      </c>
      <c r="H292" s="16" t="n"/>
      <c r="I292" s="16" t="n"/>
      <c r="J292" s="13" t="str">
        <f>IF(OR(E292="",H292=""),"",E292*H292)</f>
        <v/>
      </c>
      <c r="K292" s="13" t="str">
        <f>IF(OR(E292="",I292=""),"",E292*I292)</f>
        <v/>
      </c>
      <c r="L292" s="14" t="str">
        <f>IF(OR(A292="",E292=""),"",IF(E292&lt;=0,"אזל",IF(E292&lt;=N(F292),"להזמין","תקין")))</f>
        <v/>
      </c>
    </row>
    <row r="293">
      <c r="A293" s="8" t="n"/>
      <c r="B293" s="9" t="n"/>
      <c r="C293" s="8" t="n"/>
      <c r="D293" s="8" t="n"/>
      <c r="E293" s="15" t="n"/>
      <c r="F293" s="15" t="n"/>
      <c r="G293" s="11" t="str">
        <f>IF(OR(E293="",F293=""),"",IF(E293&lt;=F293,F293*2-E293,0))</f>
        <v/>
      </c>
      <c r="H293" s="16" t="n"/>
      <c r="I293" s="16" t="n"/>
      <c r="J293" s="13" t="str">
        <f>IF(OR(E293="",H293=""),"",E293*H293)</f>
        <v/>
      </c>
      <c r="K293" s="13" t="str">
        <f>IF(OR(E293="",I293=""),"",E293*I293)</f>
        <v/>
      </c>
      <c r="L293" s="14" t="str">
        <f>IF(OR(A293="",E293=""),"",IF(E293&lt;=0,"אזל",IF(E293&lt;=N(F293),"להזמין","תקין")))</f>
        <v/>
      </c>
    </row>
    <row r="294">
      <c r="A294" s="8" t="n"/>
      <c r="B294" s="9" t="n"/>
      <c r="C294" s="8" t="n"/>
      <c r="D294" s="8" t="n"/>
      <c r="E294" s="15" t="n"/>
      <c r="F294" s="15" t="n"/>
      <c r="G294" s="11" t="str">
        <f>IF(OR(E294="",F294=""),"",IF(E294&lt;=F294,F294*2-E294,0))</f>
        <v/>
      </c>
      <c r="H294" s="16" t="n"/>
      <c r="I294" s="16" t="n"/>
      <c r="J294" s="13" t="str">
        <f>IF(OR(E294="",H294=""),"",E294*H294)</f>
        <v/>
      </c>
      <c r="K294" s="13" t="str">
        <f>IF(OR(E294="",I294=""),"",E294*I294)</f>
        <v/>
      </c>
      <c r="L294" s="14" t="str">
        <f>IF(OR(A294="",E294=""),"",IF(E294&lt;=0,"אזל",IF(E294&lt;=N(F294),"להזמין","תקין")))</f>
        <v/>
      </c>
    </row>
    <row r="295">
      <c r="A295" s="8" t="n"/>
      <c r="B295" s="9" t="n"/>
      <c r="C295" s="8" t="n"/>
      <c r="D295" s="8" t="n"/>
      <c r="E295" s="15" t="n"/>
      <c r="F295" s="15" t="n"/>
      <c r="G295" s="11" t="str">
        <f>IF(OR(E295="",F295=""),"",IF(E295&lt;=F295,F295*2-E295,0))</f>
        <v/>
      </c>
      <c r="H295" s="16" t="n"/>
      <c r="I295" s="16" t="n"/>
      <c r="J295" s="13" t="str">
        <f>IF(OR(E295="",H295=""),"",E295*H295)</f>
        <v/>
      </c>
      <c r="K295" s="13" t="str">
        <f>IF(OR(E295="",I295=""),"",E295*I295)</f>
        <v/>
      </c>
      <c r="L295" s="14" t="str">
        <f>IF(OR(A295="",E295=""),"",IF(E295&lt;=0,"אזל",IF(E295&lt;=N(F295),"להזמין","תקין")))</f>
        <v/>
      </c>
    </row>
    <row r="296">
      <c r="A296" s="8" t="n"/>
      <c r="B296" s="9" t="n"/>
      <c r="C296" s="8" t="n"/>
      <c r="D296" s="8" t="n"/>
      <c r="E296" s="15" t="n"/>
      <c r="F296" s="15" t="n"/>
      <c r="G296" s="11" t="str">
        <f>IF(OR(E296="",F296=""),"",IF(E296&lt;=F296,F296*2-E296,0))</f>
        <v/>
      </c>
      <c r="H296" s="16" t="n"/>
      <c r="I296" s="16" t="n"/>
      <c r="J296" s="13" t="str">
        <f>IF(OR(E296="",H296=""),"",E296*H296)</f>
        <v/>
      </c>
      <c r="K296" s="13" t="str">
        <f>IF(OR(E296="",I296=""),"",E296*I296)</f>
        <v/>
      </c>
      <c r="L296" s="14" t="str">
        <f>IF(OR(A296="",E296=""),"",IF(E296&lt;=0,"אזל",IF(E296&lt;=N(F296),"להזמין","תקין")))</f>
        <v/>
      </c>
    </row>
    <row r="297">
      <c r="A297" s="8" t="n"/>
      <c r="B297" s="9" t="n"/>
      <c r="C297" s="8" t="n"/>
      <c r="D297" s="8" t="n"/>
      <c r="E297" s="15" t="n"/>
      <c r="F297" s="15" t="n"/>
      <c r="G297" s="11" t="str">
        <f>IF(OR(E297="",F297=""),"",IF(E297&lt;=F297,F297*2-E297,0))</f>
        <v/>
      </c>
      <c r="H297" s="16" t="n"/>
      <c r="I297" s="16" t="n"/>
      <c r="J297" s="13" t="str">
        <f>IF(OR(E297="",H297=""),"",E297*H297)</f>
        <v/>
      </c>
      <c r="K297" s="13" t="str">
        <f>IF(OR(E297="",I297=""),"",E297*I297)</f>
        <v/>
      </c>
      <c r="L297" s="14" t="str">
        <f>IF(OR(A297="",E297=""),"",IF(E297&lt;=0,"אזל",IF(E297&lt;=N(F297),"להזמין","תקין")))</f>
        <v/>
      </c>
    </row>
    <row r="298">
      <c r="A298" s="8" t="n"/>
      <c r="B298" s="9" t="n"/>
      <c r="C298" s="8" t="n"/>
      <c r="D298" s="8" t="n"/>
      <c r="E298" s="15" t="n"/>
      <c r="F298" s="15" t="n"/>
      <c r="G298" s="11" t="str">
        <f>IF(OR(E298="",F298=""),"",IF(E298&lt;=F298,F298*2-E298,0))</f>
        <v/>
      </c>
      <c r="H298" s="16" t="n"/>
      <c r="I298" s="16" t="n"/>
      <c r="J298" s="13" t="str">
        <f>IF(OR(E298="",H298=""),"",E298*H298)</f>
        <v/>
      </c>
      <c r="K298" s="13" t="str">
        <f>IF(OR(E298="",I298=""),"",E298*I298)</f>
        <v/>
      </c>
      <c r="L298" s="14" t="str">
        <f>IF(OR(A298="",E298=""),"",IF(E298&lt;=0,"אזל",IF(E298&lt;=N(F298),"להזמין","תקין")))</f>
        <v/>
      </c>
    </row>
    <row r="299">
      <c r="A299" s="8" t="n"/>
      <c r="B299" s="9" t="n"/>
      <c r="C299" s="8" t="n"/>
      <c r="D299" s="8" t="n"/>
      <c r="E299" s="15" t="n"/>
      <c r="F299" s="15" t="n"/>
      <c r="G299" s="11" t="str">
        <f>IF(OR(E299="",F299=""),"",IF(E299&lt;=F299,F299*2-E299,0))</f>
        <v/>
      </c>
      <c r="H299" s="16" t="n"/>
      <c r="I299" s="16" t="n"/>
      <c r="J299" s="13" t="str">
        <f>IF(OR(E299="",H299=""),"",E299*H299)</f>
        <v/>
      </c>
      <c r="K299" s="13" t="str">
        <f>IF(OR(E299="",I299=""),"",E299*I299)</f>
        <v/>
      </c>
      <c r="L299" s="14" t="str">
        <f>IF(OR(A299="",E299=""),"",IF(E299&lt;=0,"אזל",IF(E299&lt;=N(F299),"להזמין","תקין")))</f>
        <v/>
      </c>
    </row>
    <row r="300">
      <c r="A300" s="8" t="n"/>
      <c r="B300" s="9" t="n"/>
      <c r="C300" s="8" t="n"/>
      <c r="D300" s="8" t="n"/>
      <c r="E300" s="15" t="n"/>
      <c r="F300" s="15" t="n"/>
      <c r="G300" s="11" t="str">
        <f>IF(OR(E300="",F300=""),"",IF(E300&lt;=F300,F300*2-E300,0))</f>
        <v/>
      </c>
      <c r="H300" s="16" t="n"/>
      <c r="I300" s="16" t="n"/>
      <c r="J300" s="13" t="str">
        <f>IF(OR(E300="",H300=""),"",E300*H300)</f>
        <v/>
      </c>
      <c r="K300" s="13" t="str">
        <f>IF(OR(E300="",I300=""),"",E300*I300)</f>
        <v/>
      </c>
      <c r="L300" s="14" t="str">
        <f>IF(OR(A300="",E300=""),"",IF(E300&lt;=0,"אזל",IF(E300&lt;=N(F300),"להזמין","תקין")))</f>
        <v/>
      </c>
    </row>
    <row r="301">
      <c r="A301" s="8" t="n"/>
      <c r="B301" s="9" t="n"/>
      <c r="C301" s="8" t="n"/>
      <c r="D301" s="8" t="n"/>
      <c r="E301" s="15" t="n"/>
      <c r="F301" s="15" t="n"/>
      <c r="G301" s="11" t="str">
        <f>IF(OR(E301="",F301=""),"",IF(E301&lt;=F301,F301*2-E301,0))</f>
        <v/>
      </c>
      <c r="H301" s="16" t="n"/>
      <c r="I301" s="16" t="n"/>
      <c r="J301" s="13" t="str">
        <f>IF(OR(E301="",H301=""),"",E301*H301)</f>
        <v/>
      </c>
      <c r="K301" s="13" t="str">
        <f>IF(OR(E301="",I301=""),"",E301*I301)</f>
        <v/>
      </c>
      <c r="L301" s="14" t="str">
        <f>IF(OR(A301="",E301=""),"",IF(E301&lt;=0,"אזל",IF(E301&lt;=N(F301),"להזמין","תקין")))</f>
        <v/>
      </c>
    </row>
    <row r="302">
      <c r="A302" s="8" t="n"/>
      <c r="B302" s="9" t="n"/>
      <c r="C302" s="8" t="n"/>
      <c r="D302" s="8" t="n"/>
      <c r="E302" s="15" t="n"/>
      <c r="F302" s="15" t="n"/>
      <c r="G302" s="11" t="str">
        <f>IF(OR(E302="",F302=""),"",IF(E302&lt;=F302,F302*2-E302,0))</f>
        <v/>
      </c>
      <c r="H302" s="16" t="n"/>
      <c r="I302" s="16" t="n"/>
      <c r="J302" s="13" t="str">
        <f>IF(OR(E302="",H302=""),"",E302*H302)</f>
        <v/>
      </c>
      <c r="K302" s="13" t="str">
        <f>IF(OR(E302="",I302=""),"",E302*I302)</f>
        <v/>
      </c>
      <c r="L302" s="14" t="str">
        <f>IF(OR(A302="",E302=""),"",IF(E302&lt;=0,"אזל",IF(E302&lt;=N(F302),"להזמין","תקין")))</f>
        <v/>
      </c>
    </row>
    <row r="303">
      <c r="A303" s="8" t="n"/>
      <c r="B303" s="9" t="n"/>
      <c r="C303" s="8" t="n"/>
      <c r="D303" s="8" t="n"/>
      <c r="E303" s="15" t="n"/>
      <c r="F303" s="15" t="n"/>
      <c r="G303" s="11" t="str">
        <f>IF(OR(E303="",F303=""),"",IF(E303&lt;=F303,F303*2-E303,0))</f>
        <v/>
      </c>
      <c r="H303" s="16" t="n"/>
      <c r="I303" s="16" t="n"/>
      <c r="J303" s="13" t="str">
        <f>IF(OR(E303="",H303=""),"",E303*H303)</f>
        <v/>
      </c>
      <c r="K303" s="13" t="str">
        <f>IF(OR(E303="",I303=""),"",E303*I303)</f>
        <v/>
      </c>
      <c r="L303" s="14" t="str">
        <f>IF(OR(A303="",E303=""),"",IF(E303&lt;=0,"אזל",IF(E303&lt;=N(F303),"להזמין","תקין")))</f>
        <v/>
      </c>
    </row>
    <row r="304">
      <c r="A304" s="8" t="n"/>
      <c r="B304" s="9" t="n"/>
      <c r="C304" s="8" t="n"/>
      <c r="D304" s="8" t="n"/>
      <c r="E304" s="15" t="n"/>
      <c r="F304" s="15" t="n"/>
      <c r="G304" s="11" t="str">
        <f>IF(OR(E304="",F304=""),"",IF(E304&lt;=F304,F304*2-E304,0))</f>
        <v/>
      </c>
      <c r="H304" s="16" t="n"/>
      <c r="I304" s="16" t="n"/>
      <c r="J304" s="13" t="str">
        <f>IF(OR(E304="",H304=""),"",E304*H304)</f>
        <v/>
      </c>
      <c r="K304" s="13" t="str">
        <f>IF(OR(E304="",I304=""),"",E304*I304)</f>
        <v/>
      </c>
      <c r="L304" s="14" t="str">
        <f>IF(OR(A304="",E304=""),"",IF(E304&lt;=0,"אזל",IF(E304&lt;=N(F304),"להזמין","תקין")))</f>
        <v/>
      </c>
    </row>
    <row r="305">
      <c r="A305" s="8" t="n"/>
      <c r="B305" s="9" t="n"/>
      <c r="C305" s="8" t="n"/>
      <c r="D305" s="8" t="n"/>
      <c r="E305" s="15" t="n"/>
      <c r="F305" s="15" t="n"/>
      <c r="G305" s="11" t="str">
        <f>IF(OR(E305="",F305=""),"",IF(E305&lt;=F305,F305*2-E305,0))</f>
        <v/>
      </c>
      <c r="H305" s="16" t="n"/>
      <c r="I305" s="16" t="n"/>
      <c r="J305" s="13" t="str">
        <f>IF(OR(E305="",H305=""),"",E305*H305)</f>
        <v/>
      </c>
      <c r="K305" s="13" t="str">
        <f>IF(OR(E305="",I305=""),"",E305*I305)</f>
        <v/>
      </c>
      <c r="L305" s="14" t="str">
        <f>IF(OR(A305="",E305=""),"",IF(E305&lt;=0,"אזל",IF(E305&lt;=N(F305),"להזמין","תקין")))</f>
        <v/>
      </c>
    </row>
    <row r="306">
      <c r="A306" s="8" t="n"/>
      <c r="B306" s="9" t="n"/>
      <c r="C306" s="8" t="n"/>
      <c r="D306" s="8" t="n"/>
      <c r="E306" s="15" t="n"/>
      <c r="F306" s="15" t="n"/>
      <c r="G306" s="11" t="str">
        <f>IF(OR(E306="",F306=""),"",IF(E306&lt;=F306,F306*2-E306,0))</f>
        <v/>
      </c>
      <c r="H306" s="16" t="n"/>
      <c r="I306" s="16" t="n"/>
      <c r="J306" s="13" t="str">
        <f>IF(OR(E306="",H306=""),"",E306*H306)</f>
        <v/>
      </c>
      <c r="K306" s="13" t="str">
        <f>IF(OR(E306="",I306=""),"",E306*I306)</f>
        <v/>
      </c>
      <c r="L306" s="14" t="str">
        <f>IF(OR(A306="",E306=""),"",IF(E306&lt;=0,"אזל",IF(E306&lt;=N(F306),"להזמין","תקין")))</f>
        <v/>
      </c>
    </row>
    <row r="307">
      <c r="A307" s="8" t="n"/>
      <c r="B307" s="9" t="n"/>
      <c r="C307" s="8" t="n"/>
      <c r="D307" s="8" t="n"/>
      <c r="E307" s="15" t="n"/>
      <c r="F307" s="15" t="n"/>
      <c r="G307" s="11" t="str">
        <f>IF(OR(E307="",F307=""),"",IF(E307&lt;=F307,F307*2-E307,0))</f>
        <v/>
      </c>
      <c r="H307" s="16" t="n"/>
      <c r="I307" s="16" t="n"/>
      <c r="J307" s="13" t="str">
        <f>IF(OR(E307="",H307=""),"",E307*H307)</f>
        <v/>
      </c>
      <c r="K307" s="13" t="str">
        <f>IF(OR(E307="",I307=""),"",E307*I307)</f>
        <v/>
      </c>
      <c r="L307" s="14" t="str">
        <f>IF(OR(A307="",E307=""),"",IF(E307&lt;=0,"אזל",IF(E307&lt;=N(F307),"להזמין","תקין")))</f>
        <v/>
      </c>
    </row>
    <row r="308">
      <c r="A308" s="8" t="n"/>
      <c r="B308" s="9" t="n"/>
      <c r="C308" s="8" t="n"/>
      <c r="D308" s="8" t="n"/>
      <c r="E308" s="15" t="n"/>
      <c r="F308" s="15" t="n"/>
      <c r="G308" s="11" t="str">
        <f>IF(OR(E308="",F308=""),"",IF(E308&lt;=F308,F308*2-E308,0))</f>
        <v/>
      </c>
      <c r="H308" s="16" t="n"/>
      <c r="I308" s="16" t="n"/>
      <c r="J308" s="13" t="str">
        <f>IF(OR(E308="",H308=""),"",E308*H308)</f>
        <v/>
      </c>
      <c r="K308" s="13" t="str">
        <f>IF(OR(E308="",I308=""),"",E308*I308)</f>
        <v/>
      </c>
      <c r="L308" s="14" t="str">
        <f>IF(OR(A308="",E308=""),"",IF(E308&lt;=0,"אזל",IF(E308&lt;=N(F308),"להזמין","תקין")))</f>
        <v/>
      </c>
    </row>
    <row r="309">
      <c r="A309" s="8" t="n"/>
      <c r="B309" s="9" t="n"/>
      <c r="C309" s="8" t="n"/>
      <c r="D309" s="8" t="n"/>
      <c r="E309" s="15" t="n"/>
      <c r="F309" s="15" t="n"/>
      <c r="G309" s="11" t="str">
        <f>IF(OR(E309="",F309=""),"",IF(E309&lt;=F309,F309*2-E309,0))</f>
        <v/>
      </c>
      <c r="H309" s="16" t="n"/>
      <c r="I309" s="16" t="n"/>
      <c r="J309" s="13" t="str">
        <f>IF(OR(E309="",H309=""),"",E309*H309)</f>
        <v/>
      </c>
      <c r="K309" s="13" t="str">
        <f>IF(OR(E309="",I309=""),"",E309*I309)</f>
        <v/>
      </c>
      <c r="L309" s="14" t="str">
        <f>IF(OR(A309="",E309=""),"",IF(E309&lt;=0,"אזל",IF(E309&lt;=N(F309),"להזמין","תקין")))</f>
        <v/>
      </c>
    </row>
    <row r="310">
      <c r="A310" s="8" t="n"/>
      <c r="B310" s="9" t="n"/>
      <c r="C310" s="8" t="n"/>
      <c r="D310" s="8" t="n"/>
      <c r="E310" s="15" t="n"/>
      <c r="F310" s="15" t="n"/>
      <c r="G310" s="11" t="str">
        <f>IF(OR(E310="",F310=""),"",IF(E310&lt;=F310,F310*2-E310,0))</f>
        <v/>
      </c>
      <c r="H310" s="16" t="n"/>
      <c r="I310" s="16" t="n"/>
      <c r="J310" s="13" t="str">
        <f>IF(OR(E310="",H310=""),"",E310*H310)</f>
        <v/>
      </c>
      <c r="K310" s="13" t="str">
        <f>IF(OR(E310="",I310=""),"",E310*I310)</f>
        <v/>
      </c>
      <c r="L310" s="14" t="str">
        <f>IF(OR(A310="",E310=""),"",IF(E310&lt;=0,"אזל",IF(E310&lt;=N(F310),"להזמין","תקין")))</f>
        <v/>
      </c>
    </row>
    <row r="311">
      <c r="A311" s="8" t="n"/>
      <c r="B311" s="9" t="n"/>
      <c r="C311" s="8" t="n"/>
      <c r="D311" s="8" t="n"/>
      <c r="E311" s="15" t="n"/>
      <c r="F311" s="15" t="n"/>
      <c r="G311" s="11" t="str">
        <f>IF(OR(E311="",F311=""),"",IF(E311&lt;=F311,F311*2-E311,0))</f>
        <v/>
      </c>
      <c r="H311" s="16" t="n"/>
      <c r="I311" s="16" t="n"/>
      <c r="J311" s="13" t="str">
        <f>IF(OR(E311="",H311=""),"",E311*H311)</f>
        <v/>
      </c>
      <c r="K311" s="13" t="str">
        <f>IF(OR(E311="",I311=""),"",E311*I311)</f>
        <v/>
      </c>
      <c r="L311" s="14" t="str">
        <f>IF(OR(A311="",E311=""),"",IF(E311&lt;=0,"אזל",IF(E311&lt;=N(F311),"להזמין","תקין")))</f>
        <v/>
      </c>
    </row>
    <row r="312">
      <c r="A312" s="8" t="n"/>
      <c r="B312" s="9" t="n"/>
      <c r="C312" s="8" t="n"/>
      <c r="D312" s="8" t="n"/>
      <c r="E312" s="15" t="n"/>
      <c r="F312" s="15" t="n"/>
      <c r="G312" s="11" t="str">
        <f>IF(OR(E312="",F312=""),"",IF(E312&lt;=F312,F312*2-E312,0))</f>
        <v/>
      </c>
      <c r="H312" s="16" t="n"/>
      <c r="I312" s="16" t="n"/>
      <c r="J312" s="13" t="str">
        <f>IF(OR(E312="",H312=""),"",E312*H312)</f>
        <v/>
      </c>
      <c r="K312" s="13" t="str">
        <f>IF(OR(E312="",I312=""),"",E312*I312)</f>
        <v/>
      </c>
      <c r="L312" s="14" t="str">
        <f>IF(OR(A312="",E312=""),"",IF(E312&lt;=0,"אזל",IF(E312&lt;=N(F312),"להזמין","תקין")))</f>
        <v/>
      </c>
    </row>
    <row r="313">
      <c r="A313" s="8" t="n"/>
      <c r="B313" s="9" t="n"/>
      <c r="C313" s="8" t="n"/>
      <c r="D313" s="8" t="n"/>
      <c r="E313" s="15" t="n"/>
      <c r="F313" s="15" t="n"/>
      <c r="G313" s="11" t="str">
        <f>IF(OR(E313="",F313=""),"",IF(E313&lt;=F313,F313*2-E313,0))</f>
        <v/>
      </c>
      <c r="H313" s="16" t="n"/>
      <c r="I313" s="16" t="n"/>
      <c r="J313" s="13" t="str">
        <f>IF(OR(E313="",H313=""),"",E313*H313)</f>
        <v/>
      </c>
      <c r="K313" s="13" t="str">
        <f>IF(OR(E313="",I313=""),"",E313*I313)</f>
        <v/>
      </c>
      <c r="L313" s="14" t="str">
        <f>IF(OR(A313="",E313=""),"",IF(E313&lt;=0,"אזל",IF(E313&lt;=N(F313),"להזמין","תקין")))</f>
        <v/>
      </c>
    </row>
    <row r="314">
      <c r="A314" s="8" t="n"/>
      <c r="B314" s="9" t="n"/>
      <c r="C314" s="8" t="n"/>
      <c r="D314" s="8" t="n"/>
      <c r="E314" s="15" t="n"/>
      <c r="F314" s="15" t="n"/>
      <c r="G314" s="11" t="str">
        <f>IF(OR(E314="",F314=""),"",IF(E314&lt;=F314,F314*2-E314,0))</f>
        <v/>
      </c>
      <c r="H314" s="16" t="n"/>
      <c r="I314" s="16" t="n"/>
      <c r="J314" s="13" t="str">
        <f>IF(OR(E314="",H314=""),"",E314*H314)</f>
        <v/>
      </c>
      <c r="K314" s="13" t="str">
        <f>IF(OR(E314="",I314=""),"",E314*I314)</f>
        <v/>
      </c>
      <c r="L314" s="14" t="str">
        <f>IF(OR(A314="",E314=""),"",IF(E314&lt;=0,"אזל",IF(E314&lt;=N(F314),"להזמין","תקין")))</f>
        <v/>
      </c>
    </row>
    <row r="315">
      <c r="A315" s="8" t="n"/>
      <c r="B315" s="9" t="n"/>
      <c r="C315" s="8" t="n"/>
      <c r="D315" s="8" t="n"/>
      <c r="E315" s="15" t="n"/>
      <c r="F315" s="15" t="n"/>
      <c r="G315" s="11" t="str">
        <f>IF(OR(E315="",F315=""),"",IF(E315&lt;=F315,F315*2-E315,0))</f>
        <v/>
      </c>
      <c r="H315" s="16" t="n"/>
      <c r="I315" s="16" t="n"/>
      <c r="J315" s="13" t="str">
        <f>IF(OR(E315="",H315=""),"",E315*H315)</f>
        <v/>
      </c>
      <c r="K315" s="13" t="str">
        <f>IF(OR(E315="",I315=""),"",E315*I315)</f>
        <v/>
      </c>
      <c r="L315" s="14" t="str">
        <f>IF(OR(A315="",E315=""),"",IF(E315&lt;=0,"אזל",IF(E315&lt;=N(F315),"להזמין","תקין")))</f>
        <v/>
      </c>
    </row>
    <row r="316">
      <c r="A316" s="8" t="n"/>
      <c r="B316" s="9" t="n"/>
      <c r="C316" s="8" t="n"/>
      <c r="D316" s="8" t="n"/>
      <c r="E316" s="15" t="n"/>
      <c r="F316" s="15" t="n"/>
      <c r="G316" s="11" t="str">
        <f>IF(OR(E316="",F316=""),"",IF(E316&lt;=F316,F316*2-E316,0))</f>
        <v/>
      </c>
      <c r="H316" s="16" t="n"/>
      <c r="I316" s="16" t="n"/>
      <c r="J316" s="13" t="str">
        <f>IF(OR(E316="",H316=""),"",E316*H316)</f>
        <v/>
      </c>
      <c r="K316" s="13" t="str">
        <f>IF(OR(E316="",I316=""),"",E316*I316)</f>
        <v/>
      </c>
      <c r="L316" s="14" t="str">
        <f>IF(OR(A316="",E316=""),"",IF(E316&lt;=0,"אזל",IF(E316&lt;=N(F316),"להזמין","תקין")))</f>
        <v/>
      </c>
    </row>
    <row r="317">
      <c r="A317" s="8" t="n"/>
      <c r="B317" s="9" t="n"/>
      <c r="C317" s="8" t="n"/>
      <c r="D317" s="8" t="n"/>
      <c r="E317" s="15" t="n"/>
      <c r="F317" s="15" t="n"/>
      <c r="G317" s="11" t="str">
        <f>IF(OR(E317="",F317=""),"",IF(E317&lt;=F317,F317*2-E317,0))</f>
        <v/>
      </c>
      <c r="H317" s="16" t="n"/>
      <c r="I317" s="16" t="n"/>
      <c r="J317" s="13" t="str">
        <f>IF(OR(E317="",H317=""),"",E317*H317)</f>
        <v/>
      </c>
      <c r="K317" s="13" t="str">
        <f>IF(OR(E317="",I317=""),"",E317*I317)</f>
        <v/>
      </c>
      <c r="L317" s="14" t="str">
        <f>IF(OR(A317="",E317=""),"",IF(E317&lt;=0,"אזל",IF(E317&lt;=N(F317),"להזמין","תקין")))</f>
        <v/>
      </c>
    </row>
    <row r="318">
      <c r="A318" s="8" t="n"/>
      <c r="B318" s="9" t="n"/>
      <c r="C318" s="8" t="n"/>
      <c r="D318" s="8" t="n"/>
      <c r="E318" s="15" t="n"/>
      <c r="F318" s="15" t="n"/>
      <c r="G318" s="11" t="str">
        <f>IF(OR(E318="",F318=""),"",IF(E318&lt;=F318,F318*2-E318,0))</f>
        <v/>
      </c>
      <c r="H318" s="16" t="n"/>
      <c r="I318" s="16" t="n"/>
      <c r="J318" s="13" t="str">
        <f>IF(OR(E318="",H318=""),"",E318*H318)</f>
        <v/>
      </c>
      <c r="K318" s="13" t="str">
        <f>IF(OR(E318="",I318=""),"",E318*I318)</f>
        <v/>
      </c>
      <c r="L318" s="14" t="str">
        <f>IF(OR(A318="",E318=""),"",IF(E318&lt;=0,"אזל",IF(E318&lt;=N(F318),"להזמין","תקין")))</f>
        <v/>
      </c>
    </row>
    <row r="319">
      <c r="A319" s="8" t="n"/>
      <c r="B319" s="9" t="n"/>
      <c r="C319" s="8" t="n"/>
      <c r="D319" s="8" t="n"/>
      <c r="E319" s="15" t="n"/>
      <c r="F319" s="15" t="n"/>
      <c r="G319" s="11" t="str">
        <f>IF(OR(E319="",F319=""),"",IF(E319&lt;=F319,F319*2-E319,0))</f>
        <v/>
      </c>
      <c r="H319" s="16" t="n"/>
      <c r="I319" s="16" t="n"/>
      <c r="J319" s="13" t="str">
        <f>IF(OR(E319="",H319=""),"",E319*H319)</f>
        <v/>
      </c>
      <c r="K319" s="13" t="str">
        <f>IF(OR(E319="",I319=""),"",E319*I319)</f>
        <v/>
      </c>
      <c r="L319" s="14" t="str">
        <f>IF(OR(A319="",E319=""),"",IF(E319&lt;=0,"אזל",IF(E319&lt;=N(F319),"להזמין","תקין")))</f>
        <v/>
      </c>
    </row>
    <row r="320">
      <c r="A320" s="8" t="n"/>
      <c r="B320" s="9" t="n"/>
      <c r="C320" s="8" t="n"/>
      <c r="D320" s="8" t="n"/>
      <c r="E320" s="15" t="n"/>
      <c r="F320" s="15" t="n"/>
      <c r="G320" s="11" t="str">
        <f>IF(OR(E320="",F320=""),"",IF(E320&lt;=F320,F320*2-E320,0))</f>
        <v/>
      </c>
      <c r="H320" s="16" t="n"/>
      <c r="I320" s="16" t="n"/>
      <c r="J320" s="13" t="str">
        <f>IF(OR(E320="",H320=""),"",E320*H320)</f>
        <v/>
      </c>
      <c r="K320" s="13" t="str">
        <f>IF(OR(E320="",I320=""),"",E320*I320)</f>
        <v/>
      </c>
      <c r="L320" s="14" t="str">
        <f>IF(OR(A320="",E320=""),"",IF(E320&lt;=0,"אזל",IF(E320&lt;=N(F320),"להזמין","תקין")))</f>
        <v/>
      </c>
    </row>
    <row r="321">
      <c r="A321" s="8" t="n"/>
      <c r="B321" s="9" t="n"/>
      <c r="C321" s="8" t="n"/>
      <c r="D321" s="8" t="n"/>
      <c r="E321" s="15" t="n"/>
      <c r="F321" s="15" t="n"/>
      <c r="G321" s="11" t="str">
        <f>IF(OR(E321="",F321=""),"",IF(E321&lt;=F321,F321*2-E321,0))</f>
        <v/>
      </c>
      <c r="H321" s="16" t="n"/>
      <c r="I321" s="16" t="n"/>
      <c r="J321" s="13" t="str">
        <f>IF(OR(E321="",H321=""),"",E321*H321)</f>
        <v/>
      </c>
      <c r="K321" s="13" t="str">
        <f>IF(OR(E321="",I321=""),"",E321*I321)</f>
        <v/>
      </c>
      <c r="L321" s="14" t="str">
        <f>IF(OR(A321="",E321=""),"",IF(E321&lt;=0,"אזל",IF(E321&lt;=N(F321),"להזמין","תקין")))</f>
        <v/>
      </c>
    </row>
    <row r="322">
      <c r="A322" s="8" t="n"/>
      <c r="B322" s="9" t="n"/>
      <c r="C322" s="8" t="n"/>
      <c r="D322" s="8" t="n"/>
      <c r="E322" s="15" t="n"/>
      <c r="F322" s="15" t="n"/>
      <c r="G322" s="11" t="str">
        <f>IF(OR(E322="",F322=""),"",IF(E322&lt;=F322,F322*2-E322,0))</f>
        <v/>
      </c>
      <c r="H322" s="16" t="n"/>
      <c r="I322" s="16" t="n"/>
      <c r="J322" s="13" t="str">
        <f>IF(OR(E322="",H322=""),"",E322*H322)</f>
        <v/>
      </c>
      <c r="K322" s="13" t="str">
        <f>IF(OR(E322="",I322=""),"",E322*I322)</f>
        <v/>
      </c>
      <c r="L322" s="14" t="str">
        <f>IF(OR(A322="",E322=""),"",IF(E322&lt;=0,"אזל",IF(E322&lt;=N(F322),"להזמין","תקין")))</f>
        <v/>
      </c>
    </row>
    <row r="323">
      <c r="A323" s="8" t="n"/>
      <c r="B323" s="9" t="n"/>
      <c r="C323" s="8" t="n"/>
      <c r="D323" s="8" t="n"/>
      <c r="E323" s="15" t="n"/>
      <c r="F323" s="15" t="n"/>
      <c r="G323" s="11" t="str">
        <f>IF(OR(E323="",F323=""),"",IF(E323&lt;=F323,F323*2-E323,0))</f>
        <v/>
      </c>
      <c r="H323" s="16" t="n"/>
      <c r="I323" s="16" t="n"/>
      <c r="J323" s="13" t="str">
        <f>IF(OR(E323="",H323=""),"",E323*H323)</f>
        <v/>
      </c>
      <c r="K323" s="13" t="str">
        <f>IF(OR(E323="",I323=""),"",E323*I323)</f>
        <v/>
      </c>
      <c r="L323" s="14" t="str">
        <f>IF(OR(A323="",E323=""),"",IF(E323&lt;=0,"אזל",IF(E323&lt;=N(F323),"להזמין","תקין")))</f>
        <v/>
      </c>
    </row>
    <row r="324">
      <c r="A324" s="8" t="n"/>
      <c r="B324" s="9" t="n"/>
      <c r="C324" s="8" t="n"/>
      <c r="D324" s="8" t="n"/>
      <c r="E324" s="15" t="n"/>
      <c r="F324" s="15" t="n"/>
      <c r="G324" s="11" t="str">
        <f>IF(OR(E324="",F324=""),"",IF(E324&lt;=F324,F324*2-E324,0))</f>
        <v/>
      </c>
      <c r="H324" s="16" t="n"/>
      <c r="I324" s="16" t="n"/>
      <c r="J324" s="13" t="str">
        <f>IF(OR(E324="",H324=""),"",E324*H324)</f>
        <v/>
      </c>
      <c r="K324" s="13" t="str">
        <f>IF(OR(E324="",I324=""),"",E324*I324)</f>
        <v/>
      </c>
      <c r="L324" s="14" t="str">
        <f>IF(OR(A324="",E324=""),"",IF(E324&lt;=0,"אזל",IF(E324&lt;=N(F324),"להזמין","תקין")))</f>
        <v/>
      </c>
    </row>
    <row r="325">
      <c r="A325" s="8" t="n"/>
      <c r="B325" s="9" t="n"/>
      <c r="C325" s="8" t="n"/>
      <c r="D325" s="8" t="n"/>
      <c r="E325" s="15" t="n"/>
      <c r="F325" s="15" t="n"/>
      <c r="G325" s="11" t="str">
        <f>IF(OR(E325="",F325=""),"",IF(E325&lt;=F325,F325*2-E325,0))</f>
        <v/>
      </c>
      <c r="H325" s="16" t="n"/>
      <c r="I325" s="16" t="n"/>
      <c r="J325" s="13" t="str">
        <f>IF(OR(E325="",H325=""),"",E325*H325)</f>
        <v/>
      </c>
      <c r="K325" s="13" t="str">
        <f>IF(OR(E325="",I325=""),"",E325*I325)</f>
        <v/>
      </c>
      <c r="L325" s="14" t="str">
        <f>IF(OR(A325="",E325=""),"",IF(E325&lt;=0,"אזל",IF(E325&lt;=N(F325),"להזמין","תקין")))</f>
        <v/>
      </c>
    </row>
    <row r="326">
      <c r="A326" s="8" t="n"/>
      <c r="B326" s="9" t="n"/>
      <c r="C326" s="8" t="n"/>
      <c r="D326" s="8" t="n"/>
      <c r="E326" s="15" t="n"/>
      <c r="F326" s="15" t="n"/>
      <c r="G326" s="11" t="str">
        <f>IF(OR(E326="",F326=""),"",IF(E326&lt;=F326,F326*2-E326,0))</f>
        <v/>
      </c>
      <c r="H326" s="16" t="n"/>
      <c r="I326" s="16" t="n"/>
      <c r="J326" s="13" t="str">
        <f>IF(OR(E326="",H326=""),"",E326*H326)</f>
        <v/>
      </c>
      <c r="K326" s="13" t="str">
        <f>IF(OR(E326="",I326=""),"",E326*I326)</f>
        <v/>
      </c>
      <c r="L326" s="14" t="str">
        <f>IF(OR(A326="",E326=""),"",IF(E326&lt;=0,"אזל",IF(E326&lt;=N(F326),"להזמין","תקין")))</f>
        <v/>
      </c>
    </row>
    <row r="327">
      <c r="A327" s="8" t="n"/>
      <c r="B327" s="9" t="n"/>
      <c r="C327" s="8" t="n"/>
      <c r="D327" s="8" t="n"/>
      <c r="E327" s="15" t="n"/>
      <c r="F327" s="15" t="n"/>
      <c r="G327" s="11" t="str">
        <f>IF(OR(E327="",F327=""),"",IF(E327&lt;=F327,F327*2-E327,0))</f>
        <v/>
      </c>
      <c r="H327" s="16" t="n"/>
      <c r="I327" s="16" t="n"/>
      <c r="J327" s="13" t="str">
        <f>IF(OR(E327="",H327=""),"",E327*H327)</f>
        <v/>
      </c>
      <c r="K327" s="13" t="str">
        <f>IF(OR(E327="",I327=""),"",E327*I327)</f>
        <v/>
      </c>
      <c r="L327" s="14" t="str">
        <f>IF(OR(A327="",E327=""),"",IF(E327&lt;=0,"אזל",IF(E327&lt;=N(F327),"להזמין","תקין")))</f>
        <v/>
      </c>
    </row>
    <row r="328">
      <c r="A328" s="8" t="n"/>
      <c r="B328" s="9" t="n"/>
      <c r="C328" s="8" t="n"/>
      <c r="D328" s="8" t="n"/>
      <c r="E328" s="15" t="n"/>
      <c r="F328" s="15" t="n"/>
      <c r="G328" s="11" t="str">
        <f>IF(OR(E328="",F328=""),"",IF(E328&lt;=F328,F328*2-E328,0))</f>
        <v/>
      </c>
      <c r="H328" s="16" t="n"/>
      <c r="I328" s="16" t="n"/>
      <c r="J328" s="13" t="str">
        <f>IF(OR(E328="",H328=""),"",E328*H328)</f>
        <v/>
      </c>
      <c r="K328" s="13" t="str">
        <f>IF(OR(E328="",I328=""),"",E328*I328)</f>
        <v/>
      </c>
      <c r="L328" s="14" t="str">
        <f>IF(OR(A328="",E328=""),"",IF(E328&lt;=0,"אזל",IF(E328&lt;=N(F328),"להזמין","תקין")))</f>
        <v/>
      </c>
    </row>
    <row r="329">
      <c r="A329" s="8" t="n"/>
      <c r="B329" s="9" t="n"/>
      <c r="C329" s="8" t="n"/>
      <c r="D329" s="8" t="n"/>
      <c r="E329" s="15" t="n"/>
      <c r="F329" s="15" t="n"/>
      <c r="G329" s="11" t="str">
        <f>IF(OR(E329="",F329=""),"",IF(E329&lt;=F329,F329*2-E329,0))</f>
        <v/>
      </c>
      <c r="H329" s="16" t="n"/>
      <c r="I329" s="16" t="n"/>
      <c r="J329" s="13" t="str">
        <f>IF(OR(E329="",H329=""),"",E329*H329)</f>
        <v/>
      </c>
      <c r="K329" s="13" t="str">
        <f>IF(OR(E329="",I329=""),"",E329*I329)</f>
        <v/>
      </c>
      <c r="L329" s="14" t="str">
        <f>IF(OR(A329="",E329=""),"",IF(E329&lt;=0,"אזל",IF(E329&lt;=N(F329),"להזמין","תקין")))</f>
        <v/>
      </c>
    </row>
    <row r="330">
      <c r="A330" s="8" t="n"/>
      <c r="B330" s="9" t="n"/>
      <c r="C330" s="8" t="n"/>
      <c r="D330" s="8" t="n"/>
      <c r="E330" s="15" t="n"/>
      <c r="F330" s="15" t="n"/>
      <c r="G330" s="11" t="str">
        <f>IF(OR(E330="",F330=""),"",IF(E330&lt;=F330,F330*2-E330,0))</f>
        <v/>
      </c>
      <c r="H330" s="16" t="n"/>
      <c r="I330" s="16" t="n"/>
      <c r="J330" s="13" t="str">
        <f>IF(OR(E330="",H330=""),"",E330*H330)</f>
        <v/>
      </c>
      <c r="K330" s="13" t="str">
        <f>IF(OR(E330="",I330=""),"",E330*I330)</f>
        <v/>
      </c>
      <c r="L330" s="14" t="str">
        <f>IF(OR(A330="",E330=""),"",IF(E330&lt;=0,"אזל",IF(E330&lt;=N(F330),"להזמין","תקין")))</f>
        <v/>
      </c>
    </row>
    <row r="331">
      <c r="A331" s="8" t="n"/>
      <c r="B331" s="9" t="n"/>
      <c r="C331" s="8" t="n"/>
      <c r="D331" s="8" t="n"/>
      <c r="E331" s="15" t="n"/>
      <c r="F331" s="15" t="n"/>
      <c r="G331" s="11" t="str">
        <f>IF(OR(E331="",F331=""),"",IF(E331&lt;=F331,F331*2-E331,0))</f>
        <v/>
      </c>
      <c r="H331" s="16" t="n"/>
      <c r="I331" s="16" t="n"/>
      <c r="J331" s="13" t="str">
        <f>IF(OR(E331="",H331=""),"",E331*H331)</f>
        <v/>
      </c>
      <c r="K331" s="13" t="str">
        <f>IF(OR(E331="",I331=""),"",E331*I331)</f>
        <v/>
      </c>
      <c r="L331" s="14" t="str">
        <f>IF(OR(A331="",E331=""),"",IF(E331&lt;=0,"אזל",IF(E331&lt;=N(F331),"להזמין","תקין")))</f>
        <v/>
      </c>
    </row>
    <row r="332">
      <c r="A332" s="8" t="n"/>
      <c r="B332" s="9" t="n"/>
      <c r="C332" s="8" t="n"/>
      <c r="D332" s="8" t="n"/>
      <c r="E332" s="15" t="n"/>
      <c r="F332" s="15" t="n"/>
      <c r="G332" s="11" t="str">
        <f>IF(OR(E332="",F332=""),"",IF(E332&lt;=F332,F332*2-E332,0))</f>
        <v/>
      </c>
      <c r="H332" s="16" t="n"/>
      <c r="I332" s="16" t="n"/>
      <c r="J332" s="13" t="str">
        <f>IF(OR(E332="",H332=""),"",E332*H332)</f>
        <v/>
      </c>
      <c r="K332" s="13" t="str">
        <f>IF(OR(E332="",I332=""),"",E332*I332)</f>
        <v/>
      </c>
      <c r="L332" s="14" t="str">
        <f>IF(OR(A332="",E332=""),"",IF(E332&lt;=0,"אזל",IF(E332&lt;=N(F332),"להזמין","תקין")))</f>
        <v/>
      </c>
    </row>
    <row r="333">
      <c r="A333" s="8" t="n"/>
      <c r="B333" s="9" t="n"/>
      <c r="C333" s="8" t="n"/>
      <c r="D333" s="8" t="n"/>
      <c r="E333" s="15" t="n"/>
      <c r="F333" s="15" t="n"/>
      <c r="G333" s="11" t="str">
        <f>IF(OR(E333="",F333=""),"",IF(E333&lt;=F333,F333*2-E333,0))</f>
        <v/>
      </c>
      <c r="H333" s="16" t="n"/>
      <c r="I333" s="16" t="n"/>
      <c r="J333" s="13" t="str">
        <f>IF(OR(E333="",H333=""),"",E333*H333)</f>
        <v/>
      </c>
      <c r="K333" s="13" t="str">
        <f>IF(OR(E333="",I333=""),"",E333*I333)</f>
        <v/>
      </c>
      <c r="L333" s="14" t="str">
        <f>IF(OR(A333="",E333=""),"",IF(E333&lt;=0,"אזל",IF(E333&lt;=N(F333),"להזמין","תקין")))</f>
        <v/>
      </c>
    </row>
    <row r="334">
      <c r="A334" s="8" t="n"/>
      <c r="B334" s="9" t="n"/>
      <c r="C334" s="8" t="n"/>
      <c r="D334" s="8" t="n"/>
      <c r="E334" s="15" t="n"/>
      <c r="F334" s="15" t="n"/>
      <c r="G334" s="11" t="str">
        <f>IF(OR(E334="",F334=""),"",IF(E334&lt;=F334,F334*2-E334,0))</f>
        <v/>
      </c>
      <c r="H334" s="16" t="n"/>
      <c r="I334" s="16" t="n"/>
      <c r="J334" s="13" t="str">
        <f>IF(OR(E334="",H334=""),"",E334*H334)</f>
        <v/>
      </c>
      <c r="K334" s="13" t="str">
        <f>IF(OR(E334="",I334=""),"",E334*I334)</f>
        <v/>
      </c>
      <c r="L334" s="14" t="str">
        <f>IF(OR(A334="",E334=""),"",IF(E334&lt;=0,"אזל",IF(E334&lt;=N(F334),"להזמין","תקין")))</f>
        <v/>
      </c>
    </row>
    <row r="335">
      <c r="A335" s="8" t="n"/>
      <c r="B335" s="9" t="n"/>
      <c r="C335" s="8" t="n"/>
      <c r="D335" s="8" t="n"/>
      <c r="E335" s="15" t="n"/>
      <c r="F335" s="15" t="n"/>
      <c r="G335" s="11" t="str">
        <f>IF(OR(E335="",F335=""),"",IF(E335&lt;=F335,F335*2-E335,0))</f>
        <v/>
      </c>
      <c r="H335" s="16" t="n"/>
      <c r="I335" s="16" t="n"/>
      <c r="J335" s="13" t="str">
        <f>IF(OR(E335="",H335=""),"",E335*H335)</f>
        <v/>
      </c>
      <c r="K335" s="13" t="str">
        <f>IF(OR(E335="",I335=""),"",E335*I335)</f>
        <v/>
      </c>
      <c r="L335" s="14" t="str">
        <f>IF(OR(A335="",E335=""),"",IF(E335&lt;=0,"אזל",IF(E335&lt;=N(F335),"להזמין","תקין")))</f>
        <v/>
      </c>
    </row>
    <row r="336">
      <c r="A336" s="8" t="n"/>
      <c r="B336" s="9" t="n"/>
      <c r="C336" s="8" t="n"/>
      <c r="D336" s="8" t="n"/>
      <c r="E336" s="15" t="n"/>
      <c r="F336" s="15" t="n"/>
      <c r="G336" s="11" t="str">
        <f>IF(OR(E336="",F336=""),"",IF(E336&lt;=F336,F336*2-E336,0))</f>
        <v/>
      </c>
      <c r="H336" s="16" t="n"/>
      <c r="I336" s="16" t="n"/>
      <c r="J336" s="13" t="str">
        <f>IF(OR(E336="",H336=""),"",E336*H336)</f>
        <v/>
      </c>
      <c r="K336" s="13" t="str">
        <f>IF(OR(E336="",I336=""),"",E336*I336)</f>
        <v/>
      </c>
      <c r="L336" s="14" t="str">
        <f>IF(OR(A336="",E336=""),"",IF(E336&lt;=0,"אזל",IF(E336&lt;=N(F336),"להזמין","תקין")))</f>
        <v/>
      </c>
    </row>
    <row r="337">
      <c r="A337" s="8" t="n"/>
      <c r="B337" s="9" t="n"/>
      <c r="C337" s="8" t="n"/>
      <c r="D337" s="8" t="n"/>
      <c r="E337" s="15" t="n"/>
      <c r="F337" s="15" t="n"/>
      <c r="G337" s="11" t="str">
        <f>IF(OR(E337="",F337=""),"",IF(E337&lt;=F337,F337*2-E337,0))</f>
        <v/>
      </c>
      <c r="H337" s="16" t="n"/>
      <c r="I337" s="16" t="n"/>
      <c r="J337" s="13" t="str">
        <f>IF(OR(E337="",H337=""),"",E337*H337)</f>
        <v/>
      </c>
      <c r="K337" s="13" t="str">
        <f>IF(OR(E337="",I337=""),"",E337*I337)</f>
        <v/>
      </c>
      <c r="L337" s="14" t="str">
        <f>IF(OR(A337="",E337=""),"",IF(E337&lt;=0,"אזל",IF(E337&lt;=N(F337),"להזמין","תקין")))</f>
        <v/>
      </c>
    </row>
    <row r="338">
      <c r="A338" s="8" t="n"/>
      <c r="B338" s="9" t="n"/>
      <c r="C338" s="8" t="n"/>
      <c r="D338" s="8" t="n"/>
      <c r="E338" s="15" t="n"/>
      <c r="F338" s="15" t="n"/>
      <c r="G338" s="11" t="str">
        <f>IF(OR(E338="",F338=""),"",IF(E338&lt;=F338,F338*2-E338,0))</f>
        <v/>
      </c>
      <c r="H338" s="16" t="n"/>
      <c r="I338" s="16" t="n"/>
      <c r="J338" s="13" t="str">
        <f>IF(OR(E338="",H338=""),"",E338*H338)</f>
        <v/>
      </c>
      <c r="K338" s="13" t="str">
        <f>IF(OR(E338="",I338=""),"",E338*I338)</f>
        <v/>
      </c>
      <c r="L338" s="14" t="str">
        <f>IF(OR(A338="",E338=""),"",IF(E338&lt;=0,"אזל",IF(E338&lt;=N(F338),"להזמין","תקין")))</f>
        <v/>
      </c>
    </row>
    <row r="339">
      <c r="A339" s="8" t="n"/>
      <c r="B339" s="9" t="n"/>
      <c r="C339" s="8" t="n"/>
      <c r="D339" s="8" t="n"/>
      <c r="E339" s="15" t="n"/>
      <c r="F339" s="15" t="n"/>
      <c r="G339" s="11" t="str">
        <f>IF(OR(E339="",F339=""),"",IF(E339&lt;=F339,F339*2-E339,0))</f>
        <v/>
      </c>
      <c r="H339" s="16" t="n"/>
      <c r="I339" s="16" t="n"/>
      <c r="J339" s="13" t="str">
        <f>IF(OR(E339="",H339=""),"",E339*H339)</f>
        <v/>
      </c>
      <c r="K339" s="13" t="str">
        <f>IF(OR(E339="",I339=""),"",E339*I339)</f>
        <v/>
      </c>
      <c r="L339" s="14" t="str">
        <f>IF(OR(A339="",E339=""),"",IF(E339&lt;=0,"אזל",IF(E339&lt;=N(F339),"להזמין","תקין")))</f>
        <v/>
      </c>
    </row>
    <row r="340">
      <c r="A340" s="8" t="n"/>
      <c r="B340" s="9" t="n"/>
      <c r="C340" s="8" t="n"/>
      <c r="D340" s="8" t="n"/>
      <c r="E340" s="15" t="n"/>
      <c r="F340" s="15" t="n"/>
      <c r="G340" s="11" t="str">
        <f>IF(OR(E340="",F340=""),"",IF(E340&lt;=F340,F340*2-E340,0))</f>
        <v/>
      </c>
      <c r="H340" s="16" t="n"/>
      <c r="I340" s="16" t="n"/>
      <c r="J340" s="13" t="str">
        <f>IF(OR(E340="",H340=""),"",E340*H340)</f>
        <v/>
      </c>
      <c r="K340" s="13" t="str">
        <f>IF(OR(E340="",I340=""),"",E340*I340)</f>
        <v/>
      </c>
      <c r="L340" s="14" t="str">
        <f>IF(OR(A340="",E340=""),"",IF(E340&lt;=0,"אזל",IF(E340&lt;=N(F340),"להזמין","תקין")))</f>
        <v/>
      </c>
    </row>
    <row r="341">
      <c r="A341" s="8" t="n"/>
      <c r="B341" s="9" t="n"/>
      <c r="C341" s="8" t="n"/>
      <c r="D341" s="8" t="n"/>
      <c r="E341" s="15" t="n"/>
      <c r="F341" s="15" t="n"/>
      <c r="G341" s="11" t="str">
        <f>IF(OR(E341="",F341=""),"",IF(E341&lt;=F341,F341*2-E341,0))</f>
        <v/>
      </c>
      <c r="H341" s="16" t="n"/>
      <c r="I341" s="16" t="n"/>
      <c r="J341" s="13" t="str">
        <f>IF(OR(E341="",H341=""),"",E341*H341)</f>
        <v/>
      </c>
      <c r="K341" s="13" t="str">
        <f>IF(OR(E341="",I341=""),"",E341*I341)</f>
        <v/>
      </c>
      <c r="L341" s="14" t="str">
        <f>IF(OR(A341="",E341=""),"",IF(E341&lt;=0,"אזל",IF(E341&lt;=N(F341),"להזמין","תקין")))</f>
        <v/>
      </c>
    </row>
    <row r="342">
      <c r="A342" s="8" t="n"/>
      <c r="B342" s="9" t="n"/>
      <c r="C342" s="8" t="n"/>
      <c r="D342" s="8" t="n"/>
      <c r="E342" s="15" t="n"/>
      <c r="F342" s="15" t="n"/>
      <c r="G342" s="11" t="str">
        <f>IF(OR(E342="",F342=""),"",IF(E342&lt;=F342,F342*2-E342,0))</f>
        <v/>
      </c>
      <c r="H342" s="16" t="n"/>
      <c r="I342" s="16" t="n"/>
      <c r="J342" s="13" t="str">
        <f>IF(OR(E342="",H342=""),"",E342*H342)</f>
        <v/>
      </c>
      <c r="K342" s="13" t="str">
        <f>IF(OR(E342="",I342=""),"",E342*I342)</f>
        <v/>
      </c>
      <c r="L342" s="14" t="str">
        <f>IF(OR(A342="",E342=""),"",IF(E342&lt;=0,"אזל",IF(E342&lt;=N(F342),"להזמין","תקין")))</f>
        <v/>
      </c>
    </row>
    <row r="343">
      <c r="A343" s="8" t="n"/>
      <c r="B343" s="9" t="n"/>
      <c r="C343" s="8" t="n"/>
      <c r="D343" s="8" t="n"/>
      <c r="E343" s="15" t="n"/>
      <c r="F343" s="15" t="n"/>
      <c r="G343" s="11" t="str">
        <f>IF(OR(E343="",F343=""),"",IF(E343&lt;=F343,F343*2-E343,0))</f>
        <v/>
      </c>
      <c r="H343" s="16" t="n"/>
      <c r="I343" s="16" t="n"/>
      <c r="J343" s="13" t="str">
        <f>IF(OR(E343="",H343=""),"",E343*H343)</f>
        <v/>
      </c>
      <c r="K343" s="13" t="str">
        <f>IF(OR(E343="",I343=""),"",E343*I343)</f>
        <v/>
      </c>
      <c r="L343" s="14" t="str">
        <f>IF(OR(A343="",E343=""),"",IF(E343&lt;=0,"אזל",IF(E343&lt;=N(F343),"להזמין","תקין")))</f>
        <v/>
      </c>
    </row>
    <row r="344">
      <c r="A344" s="8" t="n"/>
      <c r="B344" s="9" t="n"/>
      <c r="C344" s="8" t="n"/>
      <c r="D344" s="8" t="n"/>
      <c r="E344" s="15" t="n"/>
      <c r="F344" s="15" t="n"/>
      <c r="G344" s="11" t="str">
        <f>IF(OR(E344="",F344=""),"",IF(E344&lt;=F344,F344*2-E344,0))</f>
        <v/>
      </c>
      <c r="H344" s="16" t="n"/>
      <c r="I344" s="16" t="n"/>
      <c r="J344" s="13" t="str">
        <f>IF(OR(E344="",H344=""),"",E344*H344)</f>
        <v/>
      </c>
      <c r="K344" s="13" t="str">
        <f>IF(OR(E344="",I344=""),"",E344*I344)</f>
        <v/>
      </c>
      <c r="L344" s="14" t="str">
        <f>IF(OR(A344="",E344=""),"",IF(E344&lt;=0,"אזל",IF(E344&lt;=N(F344),"להזמין","תקין")))</f>
        <v/>
      </c>
    </row>
    <row r="345">
      <c r="A345" s="8" t="n"/>
      <c r="B345" s="9" t="n"/>
      <c r="C345" s="8" t="n"/>
      <c r="D345" s="8" t="n"/>
      <c r="E345" s="15" t="n"/>
      <c r="F345" s="15" t="n"/>
      <c r="G345" s="11" t="str">
        <f>IF(OR(E345="",F345=""),"",IF(E345&lt;=F345,F345*2-E345,0))</f>
        <v/>
      </c>
      <c r="H345" s="16" t="n"/>
      <c r="I345" s="16" t="n"/>
      <c r="J345" s="13" t="str">
        <f>IF(OR(E345="",H345=""),"",E345*H345)</f>
        <v/>
      </c>
      <c r="K345" s="13" t="str">
        <f>IF(OR(E345="",I345=""),"",E345*I345)</f>
        <v/>
      </c>
      <c r="L345" s="14" t="str">
        <f>IF(OR(A345="",E345=""),"",IF(E345&lt;=0,"אזל",IF(E345&lt;=N(F345),"להזמין","תקין")))</f>
        <v/>
      </c>
    </row>
    <row r="346">
      <c r="A346" s="8" t="n"/>
      <c r="B346" s="9" t="n"/>
      <c r="C346" s="8" t="n"/>
      <c r="D346" s="8" t="n"/>
      <c r="E346" s="15" t="n"/>
      <c r="F346" s="15" t="n"/>
      <c r="G346" s="11" t="str">
        <f>IF(OR(E346="",F346=""),"",IF(E346&lt;=F346,F346*2-E346,0))</f>
        <v/>
      </c>
      <c r="H346" s="16" t="n"/>
      <c r="I346" s="16" t="n"/>
      <c r="J346" s="13" t="str">
        <f>IF(OR(E346="",H346=""),"",E346*H346)</f>
        <v/>
      </c>
      <c r="K346" s="13" t="str">
        <f>IF(OR(E346="",I346=""),"",E346*I346)</f>
        <v/>
      </c>
      <c r="L346" s="14" t="str">
        <f>IF(OR(A346="",E346=""),"",IF(E346&lt;=0,"אזל",IF(E346&lt;=N(F346),"להזמין","תקין")))</f>
        <v/>
      </c>
    </row>
    <row r="347">
      <c r="A347" s="8" t="n"/>
      <c r="B347" s="9" t="n"/>
      <c r="C347" s="8" t="n"/>
      <c r="D347" s="8" t="n"/>
      <c r="E347" s="15" t="n"/>
      <c r="F347" s="15" t="n"/>
      <c r="G347" s="11" t="str">
        <f>IF(OR(E347="",F347=""),"",IF(E347&lt;=F347,F347*2-E347,0))</f>
        <v/>
      </c>
      <c r="H347" s="16" t="n"/>
      <c r="I347" s="16" t="n"/>
      <c r="J347" s="13" t="str">
        <f>IF(OR(E347="",H347=""),"",E347*H347)</f>
        <v/>
      </c>
      <c r="K347" s="13" t="str">
        <f>IF(OR(E347="",I347=""),"",E347*I347)</f>
        <v/>
      </c>
      <c r="L347" s="14" t="str">
        <f>IF(OR(A347="",E347=""),"",IF(E347&lt;=0,"אזל",IF(E347&lt;=N(F347),"להזמין","תקין")))</f>
        <v/>
      </c>
    </row>
    <row r="348">
      <c r="A348" s="8" t="n"/>
      <c r="B348" s="9" t="n"/>
      <c r="C348" s="8" t="n"/>
      <c r="D348" s="8" t="n"/>
      <c r="E348" s="15" t="n"/>
      <c r="F348" s="15" t="n"/>
      <c r="G348" s="11" t="str">
        <f>IF(OR(E348="",F348=""),"",IF(E348&lt;=F348,F348*2-E348,0))</f>
        <v/>
      </c>
      <c r="H348" s="16" t="n"/>
      <c r="I348" s="16" t="n"/>
      <c r="J348" s="13" t="str">
        <f>IF(OR(E348="",H348=""),"",E348*H348)</f>
        <v/>
      </c>
      <c r="K348" s="13" t="str">
        <f>IF(OR(E348="",I348=""),"",E348*I348)</f>
        <v/>
      </c>
      <c r="L348" s="14" t="str">
        <f>IF(OR(A348="",E348=""),"",IF(E348&lt;=0,"אזל",IF(E348&lt;=N(F348),"להזמין","תקין")))</f>
        <v/>
      </c>
    </row>
    <row r="349">
      <c r="A349" s="8" t="n"/>
      <c r="B349" s="9" t="n"/>
      <c r="C349" s="8" t="n"/>
      <c r="D349" s="8" t="n"/>
      <c r="E349" s="15" t="n"/>
      <c r="F349" s="15" t="n"/>
      <c r="G349" s="11" t="str">
        <f>IF(OR(E349="",F349=""),"",IF(E349&lt;=F349,F349*2-E349,0))</f>
        <v/>
      </c>
      <c r="H349" s="16" t="n"/>
      <c r="I349" s="16" t="n"/>
      <c r="J349" s="13" t="str">
        <f>IF(OR(E349="",H349=""),"",E349*H349)</f>
        <v/>
      </c>
      <c r="K349" s="13" t="str">
        <f>IF(OR(E349="",I349=""),"",E349*I349)</f>
        <v/>
      </c>
      <c r="L349" s="14" t="str">
        <f>IF(OR(A349="",E349=""),"",IF(E349&lt;=0,"אזל",IF(E349&lt;=N(F349),"להזמין","תקין")))</f>
        <v/>
      </c>
    </row>
    <row r="350">
      <c r="A350" s="8" t="n"/>
      <c r="B350" s="9" t="n"/>
      <c r="C350" s="8" t="n"/>
      <c r="D350" s="8" t="n"/>
      <c r="E350" s="15" t="n"/>
      <c r="F350" s="15" t="n"/>
      <c r="G350" s="11" t="str">
        <f>IF(OR(E350="",F350=""),"",IF(E350&lt;=F350,F350*2-E350,0))</f>
        <v/>
      </c>
      <c r="H350" s="16" t="n"/>
      <c r="I350" s="16" t="n"/>
      <c r="J350" s="13" t="str">
        <f>IF(OR(E350="",H350=""),"",E350*H350)</f>
        <v/>
      </c>
      <c r="K350" s="13" t="str">
        <f>IF(OR(E350="",I350=""),"",E350*I350)</f>
        <v/>
      </c>
      <c r="L350" s="14" t="str">
        <f>IF(OR(A350="",E350=""),"",IF(E350&lt;=0,"אזל",IF(E350&lt;=N(F350),"להזמין","תקין")))</f>
        <v/>
      </c>
    </row>
    <row r="351">
      <c r="A351" s="8" t="n"/>
      <c r="B351" s="9" t="n"/>
      <c r="C351" s="8" t="n"/>
      <c r="D351" s="8" t="n"/>
      <c r="E351" s="15" t="n"/>
      <c r="F351" s="15" t="n"/>
      <c r="G351" s="11" t="str">
        <f>IF(OR(E351="",F351=""),"",IF(E351&lt;=F351,F351*2-E351,0))</f>
        <v/>
      </c>
      <c r="H351" s="16" t="n"/>
      <c r="I351" s="16" t="n"/>
      <c r="J351" s="13" t="str">
        <f>IF(OR(E351="",H351=""),"",E351*H351)</f>
        <v/>
      </c>
      <c r="K351" s="13" t="str">
        <f>IF(OR(E351="",I351=""),"",E351*I351)</f>
        <v/>
      </c>
      <c r="L351" s="14" t="str">
        <f>IF(OR(A351="",E351=""),"",IF(E351&lt;=0,"אזל",IF(E351&lt;=N(F351),"להזמין","תקין")))</f>
        <v/>
      </c>
    </row>
    <row r="352">
      <c r="A352" s="8" t="n"/>
      <c r="B352" s="9" t="n"/>
      <c r="C352" s="8" t="n"/>
      <c r="D352" s="8" t="n"/>
      <c r="E352" s="15" t="n"/>
      <c r="F352" s="15" t="n"/>
      <c r="G352" s="11" t="str">
        <f>IF(OR(E352="",F352=""),"",IF(E352&lt;=F352,F352*2-E352,0))</f>
        <v/>
      </c>
      <c r="H352" s="16" t="n"/>
      <c r="I352" s="16" t="n"/>
      <c r="J352" s="13" t="str">
        <f>IF(OR(E352="",H352=""),"",E352*H352)</f>
        <v/>
      </c>
      <c r="K352" s="13" t="str">
        <f>IF(OR(E352="",I352=""),"",E352*I352)</f>
        <v/>
      </c>
      <c r="L352" s="14" t="str">
        <f>IF(OR(A352="",E352=""),"",IF(E352&lt;=0,"אזל",IF(E352&lt;=N(F352),"להזמין","תקין")))</f>
        <v/>
      </c>
    </row>
    <row r="353">
      <c r="A353" s="8" t="n"/>
      <c r="B353" s="9" t="n"/>
      <c r="C353" s="8" t="n"/>
      <c r="D353" s="8" t="n"/>
      <c r="E353" s="15" t="n"/>
      <c r="F353" s="15" t="n"/>
      <c r="G353" s="11" t="str">
        <f>IF(OR(E353="",F353=""),"",IF(E353&lt;=F353,F353*2-E353,0))</f>
        <v/>
      </c>
      <c r="H353" s="16" t="n"/>
      <c r="I353" s="16" t="n"/>
      <c r="J353" s="13" t="str">
        <f>IF(OR(E353="",H353=""),"",E353*H353)</f>
        <v/>
      </c>
      <c r="K353" s="13" t="str">
        <f>IF(OR(E353="",I353=""),"",E353*I353)</f>
        <v/>
      </c>
      <c r="L353" s="14" t="str">
        <f>IF(OR(A353="",E353=""),"",IF(E353&lt;=0,"אזל",IF(E353&lt;=N(F353),"להזמין","תקין")))</f>
        <v/>
      </c>
    </row>
    <row r="354">
      <c r="A354" s="8" t="n"/>
      <c r="B354" s="9" t="n"/>
      <c r="C354" s="8" t="n"/>
      <c r="D354" s="8" t="n"/>
      <c r="E354" s="15" t="n"/>
      <c r="F354" s="15" t="n"/>
      <c r="G354" s="11" t="str">
        <f>IF(OR(E354="",F354=""),"",IF(E354&lt;=F354,F354*2-E354,0))</f>
        <v/>
      </c>
      <c r="H354" s="16" t="n"/>
      <c r="I354" s="16" t="n"/>
      <c r="J354" s="13" t="str">
        <f>IF(OR(E354="",H354=""),"",E354*H354)</f>
        <v/>
      </c>
      <c r="K354" s="13" t="str">
        <f>IF(OR(E354="",I354=""),"",E354*I354)</f>
        <v/>
      </c>
      <c r="L354" s="14" t="str">
        <f>IF(OR(A354="",E354=""),"",IF(E354&lt;=0,"אזל",IF(E354&lt;=N(F354),"להזמין","תקין")))</f>
        <v/>
      </c>
    </row>
    <row r="355">
      <c r="A355" s="8" t="n"/>
      <c r="B355" s="9" t="n"/>
      <c r="C355" s="8" t="n"/>
      <c r="D355" s="8" t="n"/>
      <c r="E355" s="15" t="n"/>
      <c r="F355" s="15" t="n"/>
      <c r="G355" s="11" t="str">
        <f>IF(OR(E355="",F355=""),"",IF(E355&lt;=F355,F355*2-E355,0))</f>
        <v/>
      </c>
      <c r="H355" s="16" t="n"/>
      <c r="I355" s="16" t="n"/>
      <c r="J355" s="13" t="str">
        <f>IF(OR(E355="",H355=""),"",E355*H355)</f>
        <v/>
      </c>
      <c r="K355" s="13" t="str">
        <f>IF(OR(E355="",I355=""),"",E355*I355)</f>
        <v/>
      </c>
      <c r="L355" s="14" t="str">
        <f>IF(OR(A355="",E355=""),"",IF(E355&lt;=0,"אזל",IF(E355&lt;=N(F355),"להזמין","תקין")))</f>
        <v/>
      </c>
    </row>
    <row r="356">
      <c r="A356" s="8" t="n"/>
      <c r="B356" s="9" t="n"/>
      <c r="C356" s="8" t="n"/>
      <c r="D356" s="8" t="n"/>
      <c r="E356" s="15" t="n"/>
      <c r="F356" s="15" t="n"/>
      <c r="G356" s="11" t="str">
        <f>IF(OR(E356="",F356=""),"",IF(E356&lt;=F356,F356*2-E356,0))</f>
        <v/>
      </c>
      <c r="H356" s="16" t="n"/>
      <c r="I356" s="16" t="n"/>
      <c r="J356" s="13" t="str">
        <f>IF(OR(E356="",H356=""),"",E356*H356)</f>
        <v/>
      </c>
      <c r="K356" s="13" t="str">
        <f>IF(OR(E356="",I356=""),"",E356*I356)</f>
        <v/>
      </c>
      <c r="L356" s="14" t="str">
        <f>IF(OR(A356="",E356=""),"",IF(E356&lt;=0,"אזל",IF(E356&lt;=N(F356),"להזמין","תקין")))</f>
        <v/>
      </c>
    </row>
    <row r="357">
      <c r="A357" s="8" t="n"/>
      <c r="B357" s="9" t="n"/>
      <c r="C357" s="8" t="n"/>
      <c r="D357" s="8" t="n"/>
      <c r="E357" s="15" t="n"/>
      <c r="F357" s="15" t="n"/>
      <c r="G357" s="11" t="str">
        <f>IF(OR(E357="",F357=""),"",IF(E357&lt;=F357,F357*2-E357,0))</f>
        <v/>
      </c>
      <c r="H357" s="16" t="n"/>
      <c r="I357" s="16" t="n"/>
      <c r="J357" s="13" t="str">
        <f>IF(OR(E357="",H357=""),"",E357*H357)</f>
        <v/>
      </c>
      <c r="K357" s="13" t="str">
        <f>IF(OR(E357="",I357=""),"",E357*I357)</f>
        <v/>
      </c>
      <c r="L357" s="14" t="str">
        <f>IF(OR(A357="",E357=""),"",IF(E357&lt;=0,"אזל",IF(E357&lt;=N(F357),"להזמין","תקין")))</f>
        <v/>
      </c>
    </row>
    <row r="358">
      <c r="A358" s="8" t="n"/>
      <c r="B358" s="9" t="n"/>
      <c r="C358" s="8" t="n"/>
      <c r="D358" s="8" t="n"/>
      <c r="E358" s="15" t="n"/>
      <c r="F358" s="15" t="n"/>
      <c r="G358" s="11" t="str">
        <f>IF(OR(E358="",F358=""),"",IF(E358&lt;=F358,F358*2-E358,0))</f>
        <v/>
      </c>
      <c r="H358" s="16" t="n"/>
      <c r="I358" s="16" t="n"/>
      <c r="J358" s="13" t="str">
        <f>IF(OR(E358="",H358=""),"",E358*H358)</f>
        <v/>
      </c>
      <c r="K358" s="13" t="str">
        <f>IF(OR(E358="",I358=""),"",E358*I358)</f>
        <v/>
      </c>
      <c r="L358" s="14" t="str">
        <f>IF(OR(A358="",E358=""),"",IF(E358&lt;=0,"אזל",IF(E358&lt;=N(F358),"להזמין","תקין")))</f>
        <v/>
      </c>
    </row>
    <row r="359">
      <c r="A359" s="8" t="n"/>
      <c r="B359" s="9" t="n"/>
      <c r="C359" s="8" t="n"/>
      <c r="D359" s="8" t="n"/>
      <c r="E359" s="15" t="n"/>
      <c r="F359" s="15" t="n"/>
      <c r="G359" s="11" t="str">
        <f>IF(OR(E359="",F359=""),"",IF(E359&lt;=F359,F359*2-E359,0))</f>
        <v/>
      </c>
      <c r="H359" s="16" t="n"/>
      <c r="I359" s="16" t="n"/>
      <c r="J359" s="13" t="str">
        <f>IF(OR(E359="",H359=""),"",E359*H359)</f>
        <v/>
      </c>
      <c r="K359" s="13" t="str">
        <f>IF(OR(E359="",I359=""),"",E359*I359)</f>
        <v/>
      </c>
      <c r="L359" s="14" t="str">
        <f>IF(OR(A359="",E359=""),"",IF(E359&lt;=0,"אזל",IF(E359&lt;=N(F359),"להזמין","תקין")))</f>
        <v/>
      </c>
    </row>
    <row r="360">
      <c r="A360" s="8" t="n"/>
      <c r="B360" s="9" t="n"/>
      <c r="C360" s="8" t="n"/>
      <c r="D360" s="8" t="n"/>
      <c r="E360" s="15" t="n"/>
      <c r="F360" s="15" t="n"/>
      <c r="G360" s="11" t="str">
        <f>IF(OR(E360="",F360=""),"",IF(E360&lt;=F360,F360*2-E360,0))</f>
        <v/>
      </c>
      <c r="H360" s="16" t="n"/>
      <c r="I360" s="16" t="n"/>
      <c r="J360" s="13" t="str">
        <f>IF(OR(E360="",H360=""),"",E360*H360)</f>
        <v/>
      </c>
      <c r="K360" s="13" t="str">
        <f>IF(OR(E360="",I360=""),"",E360*I360)</f>
        <v/>
      </c>
      <c r="L360" s="14" t="str">
        <f>IF(OR(A360="",E360=""),"",IF(E360&lt;=0,"אזל",IF(E360&lt;=N(F360),"להזמין","תקין")))</f>
        <v/>
      </c>
    </row>
    <row r="361">
      <c r="A361" s="8" t="n"/>
      <c r="B361" s="9" t="n"/>
      <c r="C361" s="8" t="n"/>
      <c r="D361" s="8" t="n"/>
      <c r="E361" s="15" t="n"/>
      <c r="F361" s="15" t="n"/>
      <c r="G361" s="11" t="str">
        <f>IF(OR(E361="",F361=""),"",IF(E361&lt;=F361,F361*2-E361,0))</f>
        <v/>
      </c>
      <c r="H361" s="16" t="n"/>
      <c r="I361" s="16" t="n"/>
      <c r="J361" s="13" t="str">
        <f>IF(OR(E361="",H361=""),"",E361*H361)</f>
        <v/>
      </c>
      <c r="K361" s="13" t="str">
        <f>IF(OR(E361="",I361=""),"",E361*I361)</f>
        <v/>
      </c>
      <c r="L361" s="14" t="str">
        <f>IF(OR(A361="",E361=""),"",IF(E361&lt;=0,"אזל",IF(E361&lt;=N(F361),"להזמין","תקין")))</f>
        <v/>
      </c>
    </row>
    <row r="362">
      <c r="A362" s="8" t="n"/>
      <c r="B362" s="9" t="n"/>
      <c r="C362" s="8" t="n"/>
      <c r="D362" s="8" t="n"/>
      <c r="E362" s="15" t="n"/>
      <c r="F362" s="15" t="n"/>
      <c r="G362" s="11" t="str">
        <f>IF(OR(E362="",F362=""),"",IF(E362&lt;=F362,F362*2-E362,0))</f>
        <v/>
      </c>
      <c r="H362" s="16" t="n"/>
      <c r="I362" s="16" t="n"/>
      <c r="J362" s="13" t="str">
        <f>IF(OR(E362="",H362=""),"",E362*H362)</f>
        <v/>
      </c>
      <c r="K362" s="13" t="str">
        <f>IF(OR(E362="",I362=""),"",E362*I362)</f>
        <v/>
      </c>
      <c r="L362" s="14" t="str">
        <f>IF(OR(A362="",E362=""),"",IF(E362&lt;=0,"אזל",IF(E362&lt;=N(F362),"להזמין","תקין")))</f>
        <v/>
      </c>
    </row>
    <row r="363">
      <c r="A363" s="8" t="n"/>
      <c r="B363" s="9" t="n"/>
      <c r="C363" s="8" t="n"/>
      <c r="D363" s="8" t="n"/>
      <c r="E363" s="15" t="n"/>
      <c r="F363" s="15" t="n"/>
      <c r="G363" s="11" t="str">
        <f>IF(OR(E363="",F363=""),"",IF(E363&lt;=F363,F363*2-E363,0))</f>
        <v/>
      </c>
      <c r="H363" s="16" t="n"/>
      <c r="I363" s="16" t="n"/>
      <c r="J363" s="13" t="str">
        <f>IF(OR(E363="",H363=""),"",E363*H363)</f>
        <v/>
      </c>
      <c r="K363" s="13" t="str">
        <f>IF(OR(E363="",I363=""),"",E363*I363)</f>
        <v/>
      </c>
      <c r="L363" s="14" t="str">
        <f>IF(OR(A363="",E363=""),"",IF(E363&lt;=0,"אזל",IF(E363&lt;=N(F363),"להזמין","תקין")))</f>
        <v/>
      </c>
    </row>
    <row r="364">
      <c r="A364" s="8" t="n"/>
      <c r="B364" s="9" t="n"/>
      <c r="C364" s="8" t="n"/>
      <c r="D364" s="8" t="n"/>
      <c r="E364" s="15" t="n"/>
      <c r="F364" s="15" t="n"/>
      <c r="G364" s="11" t="str">
        <f>IF(OR(E364="",F364=""),"",IF(E364&lt;=F364,F364*2-E364,0))</f>
        <v/>
      </c>
      <c r="H364" s="16" t="n"/>
      <c r="I364" s="16" t="n"/>
      <c r="J364" s="13" t="str">
        <f>IF(OR(E364="",H364=""),"",E364*H364)</f>
        <v/>
      </c>
      <c r="K364" s="13" t="str">
        <f>IF(OR(E364="",I364=""),"",E364*I364)</f>
        <v/>
      </c>
      <c r="L364" s="14" t="str">
        <f>IF(OR(A364="",E364=""),"",IF(E364&lt;=0,"אזל",IF(E364&lt;=N(F364),"להזמין","תקין")))</f>
        <v/>
      </c>
    </row>
    <row r="365">
      <c r="A365" s="8" t="n"/>
      <c r="B365" s="9" t="n"/>
      <c r="C365" s="8" t="n"/>
      <c r="D365" s="8" t="n"/>
      <c r="E365" s="15" t="n"/>
      <c r="F365" s="15" t="n"/>
      <c r="G365" s="11" t="str">
        <f>IF(OR(E365="",F365=""),"",IF(E365&lt;=F365,F365*2-E365,0))</f>
        <v/>
      </c>
      <c r="H365" s="16" t="n"/>
      <c r="I365" s="16" t="n"/>
      <c r="J365" s="13" t="str">
        <f>IF(OR(E365="",H365=""),"",E365*H365)</f>
        <v/>
      </c>
      <c r="K365" s="13" t="str">
        <f>IF(OR(E365="",I365=""),"",E365*I365)</f>
        <v/>
      </c>
      <c r="L365" s="14" t="str">
        <f>IF(OR(A365="",E365=""),"",IF(E365&lt;=0,"אזל",IF(E365&lt;=N(F365),"להזמין","תקין")))</f>
        <v/>
      </c>
    </row>
    <row r="366">
      <c r="A366" s="8" t="n"/>
      <c r="B366" s="9" t="n"/>
      <c r="C366" s="8" t="n"/>
      <c r="D366" s="8" t="n"/>
      <c r="E366" s="15" t="n"/>
      <c r="F366" s="15" t="n"/>
      <c r="G366" s="11" t="str">
        <f>IF(OR(E366="",F366=""),"",IF(E366&lt;=F366,F366*2-E366,0))</f>
        <v/>
      </c>
      <c r="H366" s="16" t="n"/>
      <c r="I366" s="16" t="n"/>
      <c r="J366" s="13" t="str">
        <f>IF(OR(E366="",H366=""),"",E366*H366)</f>
        <v/>
      </c>
      <c r="K366" s="13" t="str">
        <f>IF(OR(E366="",I366=""),"",E366*I366)</f>
        <v/>
      </c>
      <c r="L366" s="14" t="str">
        <f>IF(OR(A366="",E366=""),"",IF(E366&lt;=0,"אזל",IF(E366&lt;=N(F366),"להזמין","תקין")))</f>
        <v/>
      </c>
    </row>
    <row r="367">
      <c r="A367" s="8" t="n"/>
      <c r="B367" s="9" t="n"/>
      <c r="C367" s="8" t="n"/>
      <c r="D367" s="8" t="n"/>
      <c r="E367" s="15" t="n"/>
      <c r="F367" s="15" t="n"/>
      <c r="G367" s="11" t="str">
        <f>IF(OR(E367="",F367=""),"",IF(E367&lt;=F367,F367*2-E367,0))</f>
        <v/>
      </c>
      <c r="H367" s="16" t="n"/>
      <c r="I367" s="16" t="n"/>
      <c r="J367" s="13" t="str">
        <f>IF(OR(E367="",H367=""),"",E367*H367)</f>
        <v/>
      </c>
      <c r="K367" s="13" t="str">
        <f>IF(OR(E367="",I367=""),"",E367*I367)</f>
        <v/>
      </c>
      <c r="L367" s="14" t="str">
        <f>IF(OR(A367="",E367=""),"",IF(E367&lt;=0,"אזל",IF(E367&lt;=N(F367),"להזמין","תקין")))</f>
        <v/>
      </c>
    </row>
    <row r="368">
      <c r="A368" s="8" t="n"/>
      <c r="B368" s="9" t="n"/>
      <c r="C368" s="8" t="n"/>
      <c r="D368" s="8" t="n"/>
      <c r="E368" s="15" t="n"/>
      <c r="F368" s="15" t="n"/>
      <c r="G368" s="11" t="str">
        <f>IF(OR(E368="",F368=""),"",IF(E368&lt;=F368,F368*2-E368,0))</f>
        <v/>
      </c>
      <c r="H368" s="16" t="n"/>
      <c r="I368" s="16" t="n"/>
      <c r="J368" s="13" t="str">
        <f>IF(OR(E368="",H368=""),"",E368*H368)</f>
        <v/>
      </c>
      <c r="K368" s="13" t="str">
        <f>IF(OR(E368="",I368=""),"",E368*I368)</f>
        <v/>
      </c>
      <c r="L368" s="14" t="str">
        <f>IF(OR(A368="",E368=""),"",IF(E368&lt;=0,"אזל",IF(E368&lt;=N(F368),"להזמין","תקין")))</f>
        <v/>
      </c>
    </row>
    <row r="369">
      <c r="A369" s="8" t="n"/>
      <c r="B369" s="9" t="n"/>
      <c r="C369" s="8" t="n"/>
      <c r="D369" s="8" t="n"/>
      <c r="E369" s="15" t="n"/>
      <c r="F369" s="15" t="n"/>
      <c r="G369" s="11" t="str">
        <f>IF(OR(E369="",F369=""),"",IF(E369&lt;=F369,F369*2-E369,0))</f>
        <v/>
      </c>
      <c r="H369" s="16" t="n"/>
      <c r="I369" s="16" t="n"/>
      <c r="J369" s="13" t="str">
        <f>IF(OR(E369="",H369=""),"",E369*H369)</f>
        <v/>
      </c>
      <c r="K369" s="13" t="str">
        <f>IF(OR(E369="",I369=""),"",E369*I369)</f>
        <v/>
      </c>
      <c r="L369" s="14" t="str">
        <f>IF(OR(A369="",E369=""),"",IF(E369&lt;=0,"אזל",IF(E369&lt;=N(F369),"להזמין","תקין")))</f>
        <v/>
      </c>
    </row>
    <row r="370">
      <c r="A370" s="8" t="n"/>
      <c r="B370" s="9" t="n"/>
      <c r="C370" s="8" t="n"/>
      <c r="D370" s="8" t="n"/>
      <c r="E370" s="15" t="n"/>
      <c r="F370" s="15" t="n"/>
      <c r="G370" s="11" t="str">
        <f>IF(OR(E370="",F370=""),"",IF(E370&lt;=F370,F370*2-E370,0))</f>
        <v/>
      </c>
      <c r="H370" s="16" t="n"/>
      <c r="I370" s="16" t="n"/>
      <c r="J370" s="13" t="str">
        <f>IF(OR(E370="",H370=""),"",E370*H370)</f>
        <v/>
      </c>
      <c r="K370" s="13" t="str">
        <f>IF(OR(E370="",I370=""),"",E370*I370)</f>
        <v/>
      </c>
      <c r="L370" s="14" t="str">
        <f>IF(OR(A370="",E370=""),"",IF(E370&lt;=0,"אזל",IF(E370&lt;=N(F370),"להזמין","תקין")))</f>
        <v/>
      </c>
    </row>
    <row r="371">
      <c r="A371" s="8" t="n"/>
      <c r="B371" s="9" t="n"/>
      <c r="C371" s="8" t="n"/>
      <c r="D371" s="8" t="n"/>
      <c r="E371" s="15" t="n"/>
      <c r="F371" s="15" t="n"/>
      <c r="G371" s="11" t="str">
        <f>IF(OR(E371="",F371=""),"",IF(E371&lt;=F371,F371*2-E371,0))</f>
        <v/>
      </c>
      <c r="H371" s="16" t="n"/>
      <c r="I371" s="16" t="n"/>
      <c r="J371" s="13" t="str">
        <f>IF(OR(E371="",H371=""),"",E371*H371)</f>
        <v/>
      </c>
      <c r="K371" s="13" t="str">
        <f>IF(OR(E371="",I371=""),"",E371*I371)</f>
        <v/>
      </c>
      <c r="L371" s="14" t="str">
        <f>IF(OR(A371="",E371=""),"",IF(E371&lt;=0,"אזל",IF(E371&lt;=N(F371),"להזמין","תקין")))</f>
        <v/>
      </c>
    </row>
    <row r="372">
      <c r="A372" s="8" t="n"/>
      <c r="B372" s="9" t="n"/>
      <c r="C372" s="8" t="n"/>
      <c r="D372" s="8" t="n"/>
      <c r="E372" s="15" t="n"/>
      <c r="F372" s="15" t="n"/>
      <c r="G372" s="11" t="str">
        <f>IF(OR(E372="",F372=""),"",IF(E372&lt;=F372,F372*2-E372,0))</f>
        <v/>
      </c>
      <c r="H372" s="16" t="n"/>
      <c r="I372" s="16" t="n"/>
      <c r="J372" s="13" t="str">
        <f>IF(OR(E372="",H372=""),"",E372*H372)</f>
        <v/>
      </c>
      <c r="K372" s="13" t="str">
        <f>IF(OR(E372="",I372=""),"",E372*I372)</f>
        <v/>
      </c>
      <c r="L372" s="14" t="str">
        <f>IF(OR(A372="",E372=""),"",IF(E372&lt;=0,"אזל",IF(E372&lt;=N(F372),"להזמין","תקין")))</f>
        <v/>
      </c>
    </row>
    <row r="373">
      <c r="A373" s="8" t="n"/>
      <c r="B373" s="9" t="n"/>
      <c r="C373" s="8" t="n"/>
      <c r="D373" s="8" t="n"/>
      <c r="E373" s="15" t="n"/>
      <c r="F373" s="15" t="n"/>
      <c r="G373" s="11" t="str">
        <f>IF(OR(E373="",F373=""),"",IF(E373&lt;=F373,F373*2-E373,0))</f>
        <v/>
      </c>
      <c r="H373" s="16" t="n"/>
      <c r="I373" s="16" t="n"/>
      <c r="J373" s="13" t="str">
        <f>IF(OR(E373="",H373=""),"",E373*H373)</f>
        <v/>
      </c>
      <c r="K373" s="13" t="str">
        <f>IF(OR(E373="",I373=""),"",E373*I373)</f>
        <v/>
      </c>
      <c r="L373" s="14" t="str">
        <f>IF(OR(A373="",E373=""),"",IF(E373&lt;=0,"אזל",IF(E373&lt;=N(F373),"להזמין","תקין")))</f>
        <v/>
      </c>
    </row>
    <row r="374">
      <c r="A374" s="8" t="n"/>
      <c r="B374" s="9" t="n"/>
      <c r="C374" s="8" t="n"/>
      <c r="D374" s="8" t="n"/>
      <c r="E374" s="15" t="n"/>
      <c r="F374" s="15" t="n"/>
      <c r="G374" s="11" t="str">
        <f>IF(OR(E374="",F374=""),"",IF(E374&lt;=F374,F374*2-E374,0))</f>
        <v/>
      </c>
      <c r="H374" s="16" t="n"/>
      <c r="I374" s="16" t="n"/>
      <c r="J374" s="13" t="str">
        <f>IF(OR(E374="",H374=""),"",E374*H374)</f>
        <v/>
      </c>
      <c r="K374" s="13" t="str">
        <f>IF(OR(E374="",I374=""),"",E374*I374)</f>
        <v/>
      </c>
      <c r="L374" s="14" t="str">
        <f>IF(OR(A374="",E374=""),"",IF(E374&lt;=0,"אזל",IF(E374&lt;=N(F374),"להזמין","תקין")))</f>
        <v/>
      </c>
    </row>
    <row r="375">
      <c r="A375" s="8" t="n"/>
      <c r="B375" s="9" t="n"/>
      <c r="C375" s="8" t="n"/>
      <c r="D375" s="8" t="n"/>
      <c r="E375" s="15" t="n"/>
      <c r="F375" s="15" t="n"/>
      <c r="G375" s="11" t="str">
        <f>IF(OR(E375="",F375=""),"",IF(E375&lt;=F375,F375*2-E375,0))</f>
        <v/>
      </c>
      <c r="H375" s="16" t="n"/>
      <c r="I375" s="16" t="n"/>
      <c r="J375" s="13" t="str">
        <f>IF(OR(E375="",H375=""),"",E375*H375)</f>
        <v/>
      </c>
      <c r="K375" s="13" t="str">
        <f>IF(OR(E375="",I375=""),"",E375*I375)</f>
        <v/>
      </c>
      <c r="L375" s="14" t="str">
        <f>IF(OR(A375="",E375=""),"",IF(E375&lt;=0,"אזל",IF(E375&lt;=N(F375),"להזמין","תקין")))</f>
        <v/>
      </c>
    </row>
    <row r="376">
      <c r="A376" s="8" t="n"/>
      <c r="B376" s="9" t="n"/>
      <c r="C376" s="8" t="n"/>
      <c r="D376" s="8" t="n"/>
      <c r="E376" s="15" t="n"/>
      <c r="F376" s="15" t="n"/>
      <c r="G376" s="11" t="str">
        <f>IF(OR(E376="",F376=""),"",IF(E376&lt;=F376,F376*2-E376,0))</f>
        <v/>
      </c>
      <c r="H376" s="16" t="n"/>
      <c r="I376" s="16" t="n"/>
      <c r="J376" s="13" t="str">
        <f>IF(OR(E376="",H376=""),"",E376*H376)</f>
        <v/>
      </c>
      <c r="K376" s="13" t="str">
        <f>IF(OR(E376="",I376=""),"",E376*I376)</f>
        <v/>
      </c>
      <c r="L376" s="14" t="str">
        <f>IF(OR(A376="",E376=""),"",IF(E376&lt;=0,"אזל",IF(E376&lt;=N(F376),"להזמין","תקין")))</f>
        <v/>
      </c>
    </row>
    <row r="377">
      <c r="A377" s="8" t="n"/>
      <c r="B377" s="9" t="n"/>
      <c r="C377" s="8" t="n"/>
      <c r="D377" s="8" t="n"/>
      <c r="E377" s="15" t="n"/>
      <c r="F377" s="15" t="n"/>
      <c r="G377" s="11" t="str">
        <f>IF(OR(E377="",F377=""),"",IF(E377&lt;=F377,F377*2-E377,0))</f>
        <v/>
      </c>
      <c r="H377" s="16" t="n"/>
      <c r="I377" s="16" t="n"/>
      <c r="J377" s="13" t="str">
        <f>IF(OR(E377="",H377=""),"",E377*H377)</f>
        <v/>
      </c>
      <c r="K377" s="13" t="str">
        <f>IF(OR(E377="",I377=""),"",E377*I377)</f>
        <v/>
      </c>
      <c r="L377" s="14" t="str">
        <f>IF(OR(A377="",E377=""),"",IF(E377&lt;=0,"אזל",IF(E377&lt;=N(F377),"להזמין","תקין")))</f>
        <v/>
      </c>
    </row>
    <row r="378">
      <c r="A378" s="8" t="n"/>
      <c r="B378" s="9" t="n"/>
      <c r="C378" s="8" t="n"/>
      <c r="D378" s="8" t="n"/>
      <c r="E378" s="15" t="n"/>
      <c r="F378" s="15" t="n"/>
      <c r="G378" s="11" t="str">
        <f>IF(OR(E378="",F378=""),"",IF(E378&lt;=F378,F378*2-E378,0))</f>
        <v/>
      </c>
      <c r="H378" s="16" t="n"/>
      <c r="I378" s="16" t="n"/>
      <c r="J378" s="13" t="str">
        <f>IF(OR(E378="",H378=""),"",E378*H378)</f>
        <v/>
      </c>
      <c r="K378" s="13" t="str">
        <f>IF(OR(E378="",I378=""),"",E378*I378)</f>
        <v/>
      </c>
      <c r="L378" s="14" t="str">
        <f>IF(OR(A378="",E378=""),"",IF(E378&lt;=0,"אזל",IF(E378&lt;=N(F378),"להזמין","תקין")))</f>
        <v/>
      </c>
    </row>
    <row r="379">
      <c r="A379" s="8" t="n"/>
      <c r="B379" s="9" t="n"/>
      <c r="C379" s="8" t="n"/>
      <c r="D379" s="8" t="n"/>
      <c r="E379" s="15" t="n"/>
      <c r="F379" s="15" t="n"/>
      <c r="G379" s="11" t="str">
        <f>IF(OR(E379="",F379=""),"",IF(E379&lt;=F379,F379*2-E379,0))</f>
        <v/>
      </c>
      <c r="H379" s="16" t="n"/>
      <c r="I379" s="16" t="n"/>
      <c r="J379" s="13" t="str">
        <f>IF(OR(E379="",H379=""),"",E379*H379)</f>
        <v/>
      </c>
      <c r="K379" s="13" t="str">
        <f>IF(OR(E379="",I379=""),"",E379*I379)</f>
        <v/>
      </c>
      <c r="L379" s="14" t="str">
        <f>IF(OR(A379="",E379=""),"",IF(E379&lt;=0,"אזל",IF(E379&lt;=N(F379),"להזמין","תקין")))</f>
        <v/>
      </c>
    </row>
    <row r="380">
      <c r="A380" s="8" t="n"/>
      <c r="B380" s="9" t="n"/>
      <c r="C380" s="8" t="n"/>
      <c r="D380" s="8" t="n"/>
      <c r="E380" s="15" t="n"/>
      <c r="F380" s="15" t="n"/>
      <c r="G380" s="11" t="str">
        <f>IF(OR(E380="",F380=""),"",IF(E380&lt;=F380,F380*2-E380,0))</f>
        <v/>
      </c>
      <c r="H380" s="16" t="n"/>
      <c r="I380" s="16" t="n"/>
      <c r="J380" s="13" t="str">
        <f>IF(OR(E380="",H380=""),"",E380*H380)</f>
        <v/>
      </c>
      <c r="K380" s="13" t="str">
        <f>IF(OR(E380="",I380=""),"",E380*I380)</f>
        <v/>
      </c>
      <c r="L380" s="14" t="str">
        <f>IF(OR(A380="",E380=""),"",IF(E380&lt;=0,"אזל",IF(E380&lt;=N(F380),"להזמין","תקין")))</f>
        <v/>
      </c>
    </row>
    <row r="381">
      <c r="A381" s="8" t="n"/>
      <c r="B381" s="9" t="n"/>
      <c r="C381" s="8" t="n"/>
      <c r="D381" s="8" t="n"/>
      <c r="E381" s="15" t="n"/>
      <c r="F381" s="15" t="n"/>
      <c r="G381" s="11" t="str">
        <f>IF(OR(E381="",F381=""),"",IF(E381&lt;=F381,F381*2-E381,0))</f>
        <v/>
      </c>
      <c r="H381" s="16" t="n"/>
      <c r="I381" s="16" t="n"/>
      <c r="J381" s="13" t="str">
        <f>IF(OR(E381="",H381=""),"",E381*H381)</f>
        <v/>
      </c>
      <c r="K381" s="13" t="str">
        <f>IF(OR(E381="",I381=""),"",E381*I381)</f>
        <v/>
      </c>
      <c r="L381" s="14" t="str">
        <f>IF(OR(A381="",E381=""),"",IF(E381&lt;=0,"אזל",IF(E381&lt;=N(F381),"להזמין","תקין")))</f>
        <v/>
      </c>
    </row>
    <row r="382">
      <c r="A382" s="8" t="n"/>
      <c r="B382" s="9" t="n"/>
      <c r="C382" s="8" t="n"/>
      <c r="D382" s="8" t="n"/>
      <c r="E382" s="15" t="n"/>
      <c r="F382" s="15" t="n"/>
      <c r="G382" s="11" t="str">
        <f>IF(OR(E382="",F382=""),"",IF(E382&lt;=F382,F382*2-E382,0))</f>
        <v/>
      </c>
      <c r="H382" s="16" t="n"/>
      <c r="I382" s="16" t="n"/>
      <c r="J382" s="13" t="str">
        <f>IF(OR(E382="",H382=""),"",E382*H382)</f>
        <v/>
      </c>
      <c r="K382" s="13" t="str">
        <f>IF(OR(E382="",I382=""),"",E382*I382)</f>
        <v/>
      </c>
      <c r="L382" s="14" t="str">
        <f>IF(OR(A382="",E382=""),"",IF(E382&lt;=0,"אזל",IF(E382&lt;=N(F382),"להזמין","תקין")))</f>
        <v/>
      </c>
    </row>
    <row r="383">
      <c r="A383" s="8" t="n"/>
      <c r="B383" s="9" t="n"/>
      <c r="C383" s="8" t="n"/>
      <c r="D383" s="8" t="n"/>
      <c r="E383" s="15" t="n"/>
      <c r="F383" s="15" t="n"/>
      <c r="G383" s="11" t="str">
        <f>IF(OR(E383="",F383=""),"",IF(E383&lt;=F383,F383*2-E383,0))</f>
        <v/>
      </c>
      <c r="H383" s="16" t="n"/>
      <c r="I383" s="16" t="n"/>
      <c r="J383" s="13" t="str">
        <f>IF(OR(E383="",H383=""),"",E383*H383)</f>
        <v/>
      </c>
      <c r="K383" s="13" t="str">
        <f>IF(OR(E383="",I383=""),"",E383*I383)</f>
        <v/>
      </c>
      <c r="L383" s="14" t="str">
        <f>IF(OR(A383="",E383=""),"",IF(E383&lt;=0,"אזל",IF(E383&lt;=N(F383),"להזמין","תקין")))</f>
        <v/>
      </c>
    </row>
    <row r="384">
      <c r="A384" s="8" t="n"/>
      <c r="B384" s="9" t="n"/>
      <c r="C384" s="8" t="n"/>
      <c r="D384" s="8" t="n"/>
      <c r="E384" s="15" t="n"/>
      <c r="F384" s="15" t="n"/>
      <c r="G384" s="11" t="str">
        <f>IF(OR(E384="",F384=""),"",IF(E384&lt;=F384,F384*2-E384,0))</f>
        <v/>
      </c>
      <c r="H384" s="16" t="n"/>
      <c r="I384" s="16" t="n"/>
      <c r="J384" s="13" t="str">
        <f>IF(OR(E384="",H384=""),"",E384*H384)</f>
        <v/>
      </c>
      <c r="K384" s="13" t="str">
        <f>IF(OR(E384="",I384=""),"",E384*I384)</f>
        <v/>
      </c>
      <c r="L384" s="14" t="str">
        <f>IF(OR(A384="",E384=""),"",IF(E384&lt;=0,"אזל",IF(E384&lt;=N(F384),"להזמין","תקין")))</f>
        <v/>
      </c>
    </row>
    <row r="385">
      <c r="A385" s="8" t="n"/>
      <c r="B385" s="9" t="n"/>
      <c r="C385" s="8" t="n"/>
      <c r="D385" s="8" t="n"/>
      <c r="E385" s="15" t="n"/>
      <c r="F385" s="15" t="n"/>
      <c r="G385" s="11" t="str">
        <f>IF(OR(E385="",F385=""),"",IF(E385&lt;=F385,F385*2-E385,0))</f>
        <v/>
      </c>
      <c r="H385" s="16" t="n"/>
      <c r="I385" s="16" t="n"/>
      <c r="J385" s="13" t="str">
        <f>IF(OR(E385="",H385=""),"",E385*H385)</f>
        <v/>
      </c>
      <c r="K385" s="13" t="str">
        <f>IF(OR(E385="",I385=""),"",E385*I385)</f>
        <v/>
      </c>
      <c r="L385" s="14" t="str">
        <f>IF(OR(A385="",E385=""),"",IF(E385&lt;=0,"אזל",IF(E385&lt;=N(F385),"להזמין","תקין")))</f>
        <v/>
      </c>
    </row>
    <row r="386">
      <c r="A386" s="8" t="n"/>
      <c r="B386" s="9" t="n"/>
      <c r="C386" s="8" t="n"/>
      <c r="D386" s="8" t="n"/>
      <c r="E386" s="15" t="n"/>
      <c r="F386" s="15" t="n"/>
      <c r="G386" s="11" t="str">
        <f>IF(OR(E386="",F386=""),"",IF(E386&lt;=F386,F386*2-E386,0))</f>
        <v/>
      </c>
      <c r="H386" s="16" t="n"/>
      <c r="I386" s="16" t="n"/>
      <c r="J386" s="13" t="str">
        <f>IF(OR(E386="",H386=""),"",E386*H386)</f>
        <v/>
      </c>
      <c r="K386" s="13" t="str">
        <f>IF(OR(E386="",I386=""),"",E386*I386)</f>
        <v/>
      </c>
      <c r="L386" s="14" t="str">
        <f>IF(OR(A386="",E386=""),"",IF(E386&lt;=0,"אזל",IF(E386&lt;=N(F386),"להזמין","תקין")))</f>
        <v/>
      </c>
    </row>
    <row r="387">
      <c r="A387" s="8" t="n"/>
      <c r="B387" s="9" t="n"/>
      <c r="C387" s="8" t="n"/>
      <c r="D387" s="8" t="n"/>
      <c r="E387" s="15" t="n"/>
      <c r="F387" s="15" t="n"/>
      <c r="G387" s="11" t="str">
        <f>IF(OR(E387="",F387=""),"",IF(E387&lt;=F387,F387*2-E387,0))</f>
        <v/>
      </c>
      <c r="H387" s="16" t="n"/>
      <c r="I387" s="16" t="n"/>
      <c r="J387" s="13" t="str">
        <f>IF(OR(E387="",H387=""),"",E387*H387)</f>
        <v/>
      </c>
      <c r="K387" s="13" t="str">
        <f>IF(OR(E387="",I387=""),"",E387*I387)</f>
        <v/>
      </c>
      <c r="L387" s="14" t="str">
        <f>IF(OR(A387="",E387=""),"",IF(E387&lt;=0,"אזל",IF(E387&lt;=N(F387),"להזמין","תקין")))</f>
        <v/>
      </c>
    </row>
    <row r="388">
      <c r="A388" s="8" t="n"/>
      <c r="B388" s="9" t="n"/>
      <c r="C388" s="8" t="n"/>
      <c r="D388" s="8" t="n"/>
      <c r="E388" s="15" t="n"/>
      <c r="F388" s="15" t="n"/>
      <c r="G388" s="11" t="str">
        <f>IF(OR(E388="",F388=""),"",IF(E388&lt;=F388,F388*2-E388,0))</f>
        <v/>
      </c>
      <c r="H388" s="16" t="n"/>
      <c r="I388" s="16" t="n"/>
      <c r="J388" s="13" t="str">
        <f>IF(OR(E388="",H388=""),"",E388*H388)</f>
        <v/>
      </c>
      <c r="K388" s="13" t="str">
        <f>IF(OR(E388="",I388=""),"",E388*I388)</f>
        <v/>
      </c>
      <c r="L388" s="14" t="str">
        <f>IF(OR(A388="",E388=""),"",IF(E388&lt;=0,"אזל",IF(E388&lt;=N(F388),"להזמין","תקין")))</f>
        <v/>
      </c>
    </row>
    <row r="389">
      <c r="A389" s="8" t="n"/>
      <c r="B389" s="9" t="n"/>
      <c r="C389" s="8" t="n"/>
      <c r="D389" s="8" t="n"/>
      <c r="E389" s="15" t="n"/>
      <c r="F389" s="15" t="n"/>
      <c r="G389" s="11" t="str">
        <f>IF(OR(E389="",F389=""),"",IF(E389&lt;=F389,F389*2-E389,0))</f>
        <v/>
      </c>
      <c r="H389" s="16" t="n"/>
      <c r="I389" s="16" t="n"/>
      <c r="J389" s="13" t="str">
        <f>IF(OR(E389="",H389=""),"",E389*H389)</f>
        <v/>
      </c>
      <c r="K389" s="13" t="str">
        <f>IF(OR(E389="",I389=""),"",E389*I389)</f>
        <v/>
      </c>
      <c r="L389" s="14" t="str">
        <f>IF(OR(A389="",E389=""),"",IF(E389&lt;=0,"אזל",IF(E389&lt;=N(F389),"להזמין","תקין")))</f>
        <v/>
      </c>
    </row>
    <row r="390">
      <c r="A390" s="8" t="n"/>
      <c r="B390" s="9" t="n"/>
      <c r="C390" s="8" t="n"/>
      <c r="D390" s="8" t="n"/>
      <c r="E390" s="15" t="n"/>
      <c r="F390" s="15" t="n"/>
      <c r="G390" s="11" t="str">
        <f>IF(OR(E390="",F390=""),"",IF(E390&lt;=F390,F390*2-E390,0))</f>
        <v/>
      </c>
      <c r="H390" s="16" t="n"/>
      <c r="I390" s="16" t="n"/>
      <c r="J390" s="13" t="str">
        <f>IF(OR(E390="",H390=""),"",E390*H390)</f>
        <v/>
      </c>
      <c r="K390" s="13" t="str">
        <f>IF(OR(E390="",I390=""),"",E390*I390)</f>
        <v/>
      </c>
      <c r="L390" s="14" t="str">
        <f>IF(OR(A390="",E390=""),"",IF(E390&lt;=0,"אזל",IF(E390&lt;=N(F390),"להזמין","תקין")))</f>
        <v/>
      </c>
    </row>
    <row r="391">
      <c r="A391" s="8" t="n"/>
      <c r="B391" s="9" t="n"/>
      <c r="C391" s="8" t="n"/>
      <c r="D391" s="8" t="n"/>
      <c r="E391" s="15" t="n"/>
      <c r="F391" s="15" t="n"/>
      <c r="G391" s="11" t="str">
        <f>IF(OR(E391="",F391=""),"",IF(E391&lt;=F391,F391*2-E391,0))</f>
        <v/>
      </c>
      <c r="H391" s="16" t="n"/>
      <c r="I391" s="16" t="n"/>
      <c r="J391" s="13" t="str">
        <f>IF(OR(E391="",H391=""),"",E391*H391)</f>
        <v/>
      </c>
      <c r="K391" s="13" t="str">
        <f>IF(OR(E391="",I391=""),"",E391*I391)</f>
        <v/>
      </c>
      <c r="L391" s="14" t="str">
        <f>IF(OR(A391="",E391=""),"",IF(E391&lt;=0,"אזל",IF(E391&lt;=N(F391),"להזמין","תקין")))</f>
        <v/>
      </c>
    </row>
    <row r="392">
      <c r="A392" s="8" t="n"/>
      <c r="B392" s="9" t="n"/>
      <c r="C392" s="8" t="n"/>
      <c r="D392" s="8" t="n"/>
      <c r="E392" s="15" t="n"/>
      <c r="F392" s="15" t="n"/>
      <c r="G392" s="11" t="str">
        <f>IF(OR(E392="",F392=""),"",IF(E392&lt;=F392,F392*2-E392,0))</f>
        <v/>
      </c>
      <c r="H392" s="16" t="n"/>
      <c r="I392" s="16" t="n"/>
      <c r="J392" s="13" t="str">
        <f>IF(OR(E392="",H392=""),"",E392*H392)</f>
        <v/>
      </c>
      <c r="K392" s="13" t="str">
        <f>IF(OR(E392="",I392=""),"",E392*I392)</f>
        <v/>
      </c>
      <c r="L392" s="14" t="str">
        <f>IF(OR(A392="",E392=""),"",IF(E392&lt;=0,"אזל",IF(E392&lt;=N(F392),"להזמין","תקין")))</f>
        <v/>
      </c>
    </row>
    <row r="393">
      <c r="A393" s="8" t="n"/>
      <c r="B393" s="9" t="n"/>
      <c r="C393" s="8" t="n"/>
      <c r="D393" s="8" t="n"/>
      <c r="E393" s="15" t="n"/>
      <c r="F393" s="15" t="n"/>
      <c r="G393" s="11" t="str">
        <f>IF(OR(E393="",F393=""),"",IF(E393&lt;=F393,F393*2-E393,0))</f>
        <v/>
      </c>
      <c r="H393" s="16" t="n"/>
      <c r="I393" s="16" t="n"/>
      <c r="J393" s="13" t="str">
        <f>IF(OR(E393="",H393=""),"",E393*H393)</f>
        <v/>
      </c>
      <c r="K393" s="13" t="str">
        <f>IF(OR(E393="",I393=""),"",E393*I393)</f>
        <v/>
      </c>
      <c r="L393" s="14" t="str">
        <f>IF(OR(A393="",E393=""),"",IF(E393&lt;=0,"אזל",IF(E393&lt;=N(F393),"להזמין","תקין")))</f>
        <v/>
      </c>
    </row>
    <row r="394">
      <c r="A394" s="8" t="n"/>
      <c r="B394" s="9" t="n"/>
      <c r="C394" s="8" t="n"/>
      <c r="D394" s="8" t="n"/>
      <c r="E394" s="15" t="n"/>
      <c r="F394" s="15" t="n"/>
      <c r="G394" s="11" t="str">
        <f>IF(OR(E394="",F394=""),"",IF(E394&lt;=F394,F394*2-E394,0))</f>
        <v/>
      </c>
      <c r="H394" s="16" t="n"/>
      <c r="I394" s="16" t="n"/>
      <c r="J394" s="13" t="str">
        <f>IF(OR(E394="",H394=""),"",E394*H394)</f>
        <v/>
      </c>
      <c r="K394" s="13" t="str">
        <f>IF(OR(E394="",I394=""),"",E394*I394)</f>
        <v/>
      </c>
      <c r="L394" s="14" t="str">
        <f>IF(OR(A394="",E394=""),"",IF(E394&lt;=0,"אזל",IF(E394&lt;=N(F394),"להזמין","תקין")))</f>
        <v/>
      </c>
    </row>
    <row r="395">
      <c r="A395" s="8" t="n"/>
      <c r="B395" s="9" t="n"/>
      <c r="C395" s="8" t="n"/>
      <c r="D395" s="8" t="n"/>
      <c r="E395" s="15" t="n"/>
      <c r="F395" s="15" t="n"/>
      <c r="G395" s="11" t="str">
        <f>IF(OR(E395="",F395=""),"",IF(E395&lt;=F395,F395*2-E395,0))</f>
        <v/>
      </c>
      <c r="H395" s="16" t="n"/>
      <c r="I395" s="16" t="n"/>
      <c r="J395" s="13" t="str">
        <f>IF(OR(E395="",H395=""),"",E395*H395)</f>
        <v/>
      </c>
      <c r="K395" s="13" t="str">
        <f>IF(OR(E395="",I395=""),"",E395*I395)</f>
        <v/>
      </c>
      <c r="L395" s="14" t="str">
        <f>IF(OR(A395="",E395=""),"",IF(E395&lt;=0,"אזל",IF(E395&lt;=N(F395),"להזמין","תקין")))</f>
        <v/>
      </c>
    </row>
    <row r="396">
      <c r="A396" s="8" t="n"/>
      <c r="B396" s="9" t="n"/>
      <c r="C396" s="8" t="n"/>
      <c r="D396" s="8" t="n"/>
      <c r="E396" s="15" t="n"/>
      <c r="F396" s="15" t="n"/>
      <c r="G396" s="11" t="str">
        <f>IF(OR(E396="",F396=""),"",IF(E396&lt;=F396,F396*2-E396,0))</f>
        <v/>
      </c>
      <c r="H396" s="16" t="n"/>
      <c r="I396" s="16" t="n"/>
      <c r="J396" s="13" t="str">
        <f>IF(OR(E396="",H396=""),"",E396*H396)</f>
        <v/>
      </c>
      <c r="K396" s="13" t="str">
        <f>IF(OR(E396="",I396=""),"",E396*I396)</f>
        <v/>
      </c>
      <c r="L396" s="14" t="str">
        <f>IF(OR(A396="",E396=""),"",IF(E396&lt;=0,"אזל",IF(E396&lt;=N(F396),"להזמין","תקין")))</f>
        <v/>
      </c>
    </row>
    <row r="397">
      <c r="A397" s="8" t="n"/>
      <c r="B397" s="9" t="n"/>
      <c r="C397" s="8" t="n"/>
      <c r="D397" s="8" t="n"/>
      <c r="E397" s="15" t="n"/>
      <c r="F397" s="15" t="n"/>
      <c r="G397" s="11" t="str">
        <f>IF(OR(E397="",F397=""),"",IF(E397&lt;=F397,F397*2-E397,0))</f>
        <v/>
      </c>
      <c r="H397" s="16" t="n"/>
      <c r="I397" s="16" t="n"/>
      <c r="J397" s="13" t="str">
        <f>IF(OR(E397="",H397=""),"",E397*H397)</f>
        <v/>
      </c>
      <c r="K397" s="13" t="str">
        <f>IF(OR(E397="",I397=""),"",E397*I397)</f>
        <v/>
      </c>
      <c r="L397" s="14" t="str">
        <f>IF(OR(A397="",E397=""),"",IF(E397&lt;=0,"אזל",IF(E397&lt;=N(F397),"להזמין","תקין")))</f>
        <v/>
      </c>
    </row>
    <row r="398">
      <c r="A398" s="8" t="n"/>
      <c r="B398" s="9" t="n"/>
      <c r="C398" s="8" t="n"/>
      <c r="D398" s="8" t="n"/>
      <c r="E398" s="15" t="n"/>
      <c r="F398" s="15" t="n"/>
      <c r="G398" s="11" t="str">
        <f>IF(OR(E398="",F398=""),"",IF(E398&lt;=F398,F398*2-E398,0))</f>
        <v/>
      </c>
      <c r="H398" s="16" t="n"/>
      <c r="I398" s="16" t="n"/>
      <c r="J398" s="13" t="str">
        <f>IF(OR(E398="",H398=""),"",E398*H398)</f>
        <v/>
      </c>
      <c r="K398" s="13" t="str">
        <f>IF(OR(E398="",I398=""),"",E398*I398)</f>
        <v/>
      </c>
      <c r="L398" s="14" t="str">
        <f>IF(OR(A398="",E398=""),"",IF(E398&lt;=0,"אזל",IF(E398&lt;=N(F398),"להזמין","תקין")))</f>
        <v/>
      </c>
    </row>
    <row r="399">
      <c r="A399" s="8" t="n"/>
      <c r="B399" s="9" t="n"/>
      <c r="C399" s="8" t="n"/>
      <c r="D399" s="8" t="n"/>
      <c r="E399" s="15" t="n"/>
      <c r="F399" s="15" t="n"/>
      <c r="G399" s="11" t="str">
        <f>IF(OR(E399="",F399=""),"",IF(E399&lt;=F399,F399*2-E399,0))</f>
        <v/>
      </c>
      <c r="H399" s="16" t="n"/>
      <c r="I399" s="16" t="n"/>
      <c r="J399" s="13" t="str">
        <f>IF(OR(E399="",H399=""),"",E399*H399)</f>
        <v/>
      </c>
      <c r="K399" s="13" t="str">
        <f>IF(OR(E399="",I399=""),"",E399*I399)</f>
        <v/>
      </c>
      <c r="L399" s="14" t="str">
        <f>IF(OR(A399="",E399=""),"",IF(E399&lt;=0,"אזל",IF(E399&lt;=N(F399),"להזמין","תקין")))</f>
        <v/>
      </c>
    </row>
    <row r="400">
      <c r="A400" s="8" t="n"/>
      <c r="B400" s="9" t="n"/>
      <c r="C400" s="8" t="n"/>
      <c r="D400" s="8" t="n"/>
      <c r="E400" s="15" t="n"/>
      <c r="F400" s="15" t="n"/>
      <c r="G400" s="11" t="str">
        <f>IF(OR(E400="",F400=""),"",IF(E400&lt;=F400,F400*2-E400,0))</f>
        <v/>
      </c>
      <c r="H400" s="16" t="n"/>
      <c r="I400" s="16" t="n"/>
      <c r="J400" s="13" t="str">
        <f>IF(OR(E400="",H400=""),"",E400*H400)</f>
        <v/>
      </c>
      <c r="K400" s="13" t="str">
        <f>IF(OR(E400="",I400=""),"",E400*I400)</f>
        <v/>
      </c>
      <c r="L400" s="14" t="str">
        <f>IF(OR(A400="",E400=""),"",IF(E400&lt;=0,"אזל",IF(E400&lt;=N(F400),"להזמין","תקין")))</f>
        <v/>
      </c>
    </row>
    <row r="401">
      <c r="A401" s="8" t="n"/>
      <c r="B401" s="9" t="n"/>
      <c r="C401" s="8" t="n"/>
      <c r="D401" s="8" t="n"/>
      <c r="E401" s="15" t="n"/>
      <c r="F401" s="15" t="n"/>
      <c r="G401" s="11" t="str">
        <f>IF(OR(E401="",F401=""),"",IF(E401&lt;=F401,F401*2-E401,0))</f>
        <v/>
      </c>
      <c r="H401" s="16" t="n"/>
      <c r="I401" s="16" t="n"/>
      <c r="J401" s="13" t="str">
        <f>IF(OR(E401="",H401=""),"",E401*H401)</f>
        <v/>
      </c>
      <c r="K401" s="13" t="str">
        <f>IF(OR(E401="",I401=""),"",E401*I401)</f>
        <v/>
      </c>
      <c r="L401" s="14" t="str">
        <f>IF(OR(A401="",E401=""),"",IF(E401&lt;=0,"אזל",IF(E401&lt;=N(F401),"להזמין","תקין")))</f>
        <v/>
      </c>
    </row>
    <row r="402">
      <c r="A402" s="8" t="n"/>
      <c r="B402" s="9" t="n"/>
      <c r="C402" s="8" t="n"/>
      <c r="D402" s="8" t="n"/>
      <c r="E402" s="15" t="n"/>
      <c r="F402" s="15" t="n"/>
      <c r="G402" s="11" t="str">
        <f>IF(OR(E402="",F402=""),"",IF(E402&lt;=F402,F402*2-E402,0))</f>
        <v/>
      </c>
      <c r="H402" s="16" t="n"/>
      <c r="I402" s="16" t="n"/>
      <c r="J402" s="13" t="str">
        <f>IF(OR(E402="",H402=""),"",E402*H402)</f>
        <v/>
      </c>
      <c r="K402" s="13" t="str">
        <f>IF(OR(E402="",I402=""),"",E402*I402)</f>
        <v/>
      </c>
      <c r="L402" s="14" t="str">
        <f>IF(OR(A402="",E402=""),"",IF(E402&lt;=0,"אזל",IF(E402&lt;=N(F402),"להזמין","תקין")))</f>
        <v/>
      </c>
    </row>
    <row r="403">
      <c r="A403" s="8" t="n"/>
      <c r="B403" s="9" t="n"/>
      <c r="C403" s="8" t="n"/>
      <c r="D403" s="8" t="n"/>
      <c r="E403" s="15" t="n"/>
      <c r="F403" s="15" t="n"/>
      <c r="G403" s="11" t="str">
        <f>IF(OR(E403="",F403=""),"",IF(E403&lt;=F403,F403*2-E403,0))</f>
        <v/>
      </c>
      <c r="H403" s="16" t="n"/>
      <c r="I403" s="16" t="n"/>
      <c r="J403" s="13" t="str">
        <f>IF(OR(E403="",H403=""),"",E403*H403)</f>
        <v/>
      </c>
      <c r="K403" s="13" t="str">
        <f>IF(OR(E403="",I403=""),"",E403*I403)</f>
        <v/>
      </c>
      <c r="L403" s="14" t="str">
        <f>IF(OR(A403="",E403=""),"",IF(E403&lt;=0,"אזל",IF(E403&lt;=N(F403),"להזמין","תקין")))</f>
        <v/>
      </c>
    </row>
    <row r="404">
      <c r="A404" s="8" t="n"/>
      <c r="B404" s="9" t="n"/>
      <c r="C404" s="8" t="n"/>
      <c r="D404" s="8" t="n"/>
      <c r="E404" s="15" t="n"/>
      <c r="F404" s="15" t="n"/>
      <c r="G404" s="11" t="str">
        <f>IF(OR(E404="",F404=""),"",IF(E404&lt;=F404,F404*2-E404,0))</f>
        <v/>
      </c>
      <c r="H404" s="16" t="n"/>
      <c r="I404" s="16" t="n"/>
      <c r="J404" s="13" t="str">
        <f>IF(OR(E404="",H404=""),"",E404*H404)</f>
        <v/>
      </c>
      <c r="K404" s="13" t="str">
        <f>IF(OR(E404="",I404=""),"",E404*I404)</f>
        <v/>
      </c>
      <c r="L404" s="14" t="str">
        <f>IF(OR(A404="",E404=""),"",IF(E404&lt;=0,"אזל",IF(E404&lt;=N(F404),"להזמין","תקין")))</f>
        <v/>
      </c>
    </row>
    <row r="405">
      <c r="A405" s="8" t="n"/>
      <c r="B405" s="9" t="n"/>
      <c r="C405" s="8" t="n"/>
      <c r="D405" s="8" t="n"/>
      <c r="E405" s="15" t="n"/>
      <c r="F405" s="15" t="n"/>
      <c r="G405" s="11" t="str">
        <f>IF(OR(E405="",F405=""),"",IF(E405&lt;=F405,F405*2-E405,0))</f>
        <v/>
      </c>
      <c r="H405" s="16" t="n"/>
      <c r="I405" s="16" t="n"/>
      <c r="J405" s="13" t="str">
        <f>IF(OR(E405="",H405=""),"",E405*H405)</f>
        <v/>
      </c>
      <c r="K405" s="13" t="str">
        <f>IF(OR(E405="",I405=""),"",E405*I405)</f>
        <v/>
      </c>
      <c r="L405" s="14" t="str">
        <f>IF(OR(A405="",E405=""),"",IF(E405&lt;=0,"אזל",IF(E405&lt;=N(F405),"להזמין","תקין")))</f>
        <v/>
      </c>
    </row>
    <row r="406">
      <c r="A406" s="8" t="n"/>
      <c r="B406" s="9" t="n"/>
      <c r="C406" s="8" t="n"/>
      <c r="D406" s="8" t="n"/>
      <c r="E406" s="15" t="n"/>
      <c r="F406" s="15" t="n"/>
      <c r="G406" s="11" t="str">
        <f>IF(OR(E406="",F406=""),"",IF(E406&lt;=F406,F406*2-E406,0))</f>
        <v/>
      </c>
      <c r="H406" s="16" t="n"/>
      <c r="I406" s="16" t="n"/>
      <c r="J406" s="13" t="str">
        <f>IF(OR(E406="",H406=""),"",E406*H406)</f>
        <v/>
      </c>
      <c r="K406" s="13" t="str">
        <f>IF(OR(E406="",I406=""),"",E406*I406)</f>
        <v/>
      </c>
      <c r="L406" s="14" t="str">
        <f>IF(OR(A406="",E406=""),"",IF(E406&lt;=0,"אזל",IF(E406&lt;=N(F406),"להזמין","תקין")))</f>
        <v/>
      </c>
    </row>
    <row r="407">
      <c r="A407" s="8" t="n"/>
      <c r="B407" s="9" t="n"/>
      <c r="C407" s="8" t="n"/>
      <c r="D407" s="8" t="n"/>
      <c r="E407" s="15" t="n"/>
      <c r="F407" s="15" t="n"/>
      <c r="G407" s="11" t="str">
        <f>IF(OR(E407="",F407=""),"",IF(E407&lt;=F407,F407*2-E407,0))</f>
        <v/>
      </c>
      <c r="H407" s="16" t="n"/>
      <c r="I407" s="16" t="n"/>
      <c r="J407" s="13" t="str">
        <f>IF(OR(E407="",H407=""),"",E407*H407)</f>
        <v/>
      </c>
      <c r="K407" s="13" t="str">
        <f>IF(OR(E407="",I407=""),"",E407*I407)</f>
        <v/>
      </c>
      <c r="L407" s="14" t="str">
        <f>IF(OR(A407="",E407=""),"",IF(E407&lt;=0,"אזל",IF(E407&lt;=N(F407),"להזמין","תקין")))</f>
        <v/>
      </c>
    </row>
    <row r="408">
      <c r="A408" s="8" t="n"/>
      <c r="B408" s="9" t="n"/>
      <c r="C408" s="8" t="n"/>
      <c r="D408" s="8" t="n"/>
      <c r="E408" s="15" t="n"/>
      <c r="F408" s="15" t="n"/>
      <c r="G408" s="11" t="str">
        <f>IF(OR(E408="",F408=""),"",IF(E408&lt;=F408,F408*2-E408,0))</f>
        <v/>
      </c>
      <c r="H408" s="16" t="n"/>
      <c r="I408" s="16" t="n"/>
      <c r="J408" s="13" t="str">
        <f>IF(OR(E408="",H408=""),"",E408*H408)</f>
        <v/>
      </c>
      <c r="K408" s="13" t="str">
        <f>IF(OR(E408="",I408=""),"",E408*I408)</f>
        <v/>
      </c>
      <c r="L408" s="14" t="str">
        <f>IF(OR(A408="",E408=""),"",IF(E408&lt;=0,"אזל",IF(E408&lt;=N(F408),"להזמין","תקין")))</f>
        <v/>
      </c>
    </row>
    <row r="409">
      <c r="A409" s="8" t="n"/>
      <c r="B409" s="9" t="n"/>
      <c r="C409" s="8" t="n"/>
      <c r="D409" s="8" t="n"/>
      <c r="E409" s="15" t="n"/>
      <c r="F409" s="15" t="n"/>
      <c r="G409" s="11" t="str">
        <f>IF(OR(E409="",F409=""),"",IF(E409&lt;=F409,F409*2-E409,0))</f>
        <v/>
      </c>
      <c r="H409" s="16" t="n"/>
      <c r="I409" s="16" t="n"/>
      <c r="J409" s="13" t="str">
        <f>IF(OR(E409="",H409=""),"",E409*H409)</f>
        <v/>
      </c>
      <c r="K409" s="13" t="str">
        <f>IF(OR(E409="",I409=""),"",E409*I409)</f>
        <v/>
      </c>
      <c r="L409" s="14" t="str">
        <f>IF(OR(A409="",E409=""),"",IF(E409&lt;=0,"אזל",IF(E409&lt;=N(F409),"להזמין","תקין")))</f>
        <v/>
      </c>
    </row>
    <row r="410">
      <c r="A410" s="8" t="n"/>
      <c r="B410" s="9" t="n"/>
      <c r="C410" s="8" t="n"/>
      <c r="D410" s="8" t="n"/>
      <c r="E410" s="15" t="n"/>
      <c r="F410" s="15" t="n"/>
      <c r="G410" s="11" t="str">
        <f>IF(OR(E410="",F410=""),"",IF(E410&lt;=F410,F410*2-E410,0))</f>
        <v/>
      </c>
      <c r="H410" s="16" t="n"/>
      <c r="I410" s="16" t="n"/>
      <c r="J410" s="13" t="str">
        <f>IF(OR(E410="",H410=""),"",E410*H410)</f>
        <v/>
      </c>
      <c r="K410" s="13" t="str">
        <f>IF(OR(E410="",I410=""),"",E410*I410)</f>
        <v/>
      </c>
      <c r="L410" s="14" t="str">
        <f>IF(OR(A410="",E410=""),"",IF(E410&lt;=0,"אזל",IF(E410&lt;=N(F410),"להזמין","תקין")))</f>
        <v/>
      </c>
    </row>
    <row r="411">
      <c r="A411" s="8" t="n"/>
      <c r="B411" s="9" t="n"/>
      <c r="C411" s="8" t="n"/>
      <c r="D411" s="8" t="n"/>
      <c r="E411" s="15" t="n"/>
      <c r="F411" s="15" t="n"/>
      <c r="G411" s="11" t="str">
        <f>IF(OR(E411="",F411=""),"",IF(E411&lt;=F411,F411*2-E411,0))</f>
        <v/>
      </c>
      <c r="H411" s="16" t="n"/>
      <c r="I411" s="16" t="n"/>
      <c r="J411" s="13" t="str">
        <f>IF(OR(E411="",H411=""),"",E411*H411)</f>
        <v/>
      </c>
      <c r="K411" s="13" t="str">
        <f>IF(OR(E411="",I411=""),"",E411*I411)</f>
        <v/>
      </c>
      <c r="L411" s="14" t="str">
        <f>IF(OR(A411="",E411=""),"",IF(E411&lt;=0,"אזל",IF(E411&lt;=N(F411),"להזמין","תקין")))</f>
        <v/>
      </c>
    </row>
    <row r="412">
      <c r="A412" s="8" t="n"/>
      <c r="B412" s="9" t="n"/>
      <c r="C412" s="8" t="n"/>
      <c r="D412" s="8" t="n"/>
      <c r="E412" s="15" t="n"/>
      <c r="F412" s="15" t="n"/>
      <c r="G412" s="11" t="str">
        <f>IF(OR(E412="",F412=""),"",IF(E412&lt;=F412,F412*2-E412,0))</f>
        <v/>
      </c>
      <c r="H412" s="16" t="n"/>
      <c r="I412" s="16" t="n"/>
      <c r="J412" s="13" t="str">
        <f>IF(OR(E412="",H412=""),"",E412*H412)</f>
        <v/>
      </c>
      <c r="K412" s="13" t="str">
        <f>IF(OR(E412="",I412=""),"",E412*I412)</f>
        <v/>
      </c>
      <c r="L412" s="14" t="str">
        <f>IF(OR(A412="",E412=""),"",IF(E412&lt;=0,"אזל",IF(E412&lt;=N(F412),"להזמין","תקין")))</f>
        <v/>
      </c>
    </row>
    <row r="413">
      <c r="A413" s="8" t="n"/>
      <c r="B413" s="9" t="n"/>
      <c r="C413" s="8" t="n"/>
      <c r="D413" s="8" t="n"/>
      <c r="E413" s="15" t="n"/>
      <c r="F413" s="15" t="n"/>
      <c r="G413" s="11" t="str">
        <f>IF(OR(E413="",F413=""),"",IF(E413&lt;=F413,F413*2-E413,0))</f>
        <v/>
      </c>
      <c r="H413" s="16" t="n"/>
      <c r="I413" s="16" t="n"/>
      <c r="J413" s="13" t="str">
        <f>IF(OR(E413="",H413=""),"",E413*H413)</f>
        <v/>
      </c>
      <c r="K413" s="13" t="str">
        <f>IF(OR(E413="",I413=""),"",E413*I413)</f>
        <v/>
      </c>
      <c r="L413" s="14" t="str">
        <f>IF(OR(A413="",E413=""),"",IF(E413&lt;=0,"אזל",IF(E413&lt;=N(F413),"להזמין","תקין")))</f>
        <v/>
      </c>
    </row>
    <row r="414">
      <c r="A414" s="8" t="n"/>
      <c r="B414" s="9" t="n"/>
      <c r="C414" s="8" t="n"/>
      <c r="D414" s="8" t="n"/>
      <c r="E414" s="15" t="n"/>
      <c r="F414" s="15" t="n"/>
      <c r="G414" s="11" t="str">
        <f>IF(OR(E414="",F414=""),"",IF(E414&lt;=F414,F414*2-E414,0))</f>
        <v/>
      </c>
      <c r="H414" s="16" t="n"/>
      <c r="I414" s="16" t="n"/>
      <c r="J414" s="13" t="str">
        <f>IF(OR(E414="",H414=""),"",E414*H414)</f>
        <v/>
      </c>
      <c r="K414" s="13" t="str">
        <f>IF(OR(E414="",I414=""),"",E414*I414)</f>
        <v/>
      </c>
      <c r="L414" s="14" t="str">
        <f>IF(OR(A414="",E414=""),"",IF(E414&lt;=0,"אזל",IF(E414&lt;=N(F414),"להזמין","תקין")))</f>
        <v/>
      </c>
    </row>
    <row r="415">
      <c r="A415" s="8" t="n"/>
      <c r="B415" s="9" t="n"/>
      <c r="C415" s="8" t="n"/>
      <c r="D415" s="8" t="n"/>
      <c r="E415" s="15" t="n"/>
      <c r="F415" s="15" t="n"/>
      <c r="G415" s="11" t="str">
        <f>IF(OR(E415="",F415=""),"",IF(E415&lt;=F415,F415*2-E415,0))</f>
        <v/>
      </c>
      <c r="H415" s="16" t="n"/>
      <c r="I415" s="16" t="n"/>
      <c r="J415" s="13" t="str">
        <f>IF(OR(E415="",H415=""),"",E415*H415)</f>
        <v/>
      </c>
      <c r="K415" s="13" t="str">
        <f>IF(OR(E415="",I415=""),"",E415*I415)</f>
        <v/>
      </c>
      <c r="L415" s="14" t="str">
        <f>IF(OR(A415="",E415=""),"",IF(E415&lt;=0,"אזל",IF(E415&lt;=N(F415),"להזמין","תקין")))</f>
        <v/>
      </c>
    </row>
    <row r="416">
      <c r="A416" s="8" t="n"/>
      <c r="B416" s="9" t="n"/>
      <c r="C416" s="8" t="n"/>
      <c r="D416" s="8" t="n"/>
      <c r="E416" s="15" t="n"/>
      <c r="F416" s="15" t="n"/>
      <c r="G416" s="11" t="str">
        <f>IF(OR(E416="",F416=""),"",IF(E416&lt;=F416,F416*2-E416,0))</f>
        <v/>
      </c>
      <c r="H416" s="16" t="n"/>
      <c r="I416" s="16" t="n"/>
      <c r="J416" s="13" t="str">
        <f>IF(OR(E416="",H416=""),"",E416*H416)</f>
        <v/>
      </c>
      <c r="K416" s="13" t="str">
        <f>IF(OR(E416="",I416=""),"",E416*I416)</f>
        <v/>
      </c>
      <c r="L416" s="14" t="str">
        <f>IF(OR(A416="",E416=""),"",IF(E416&lt;=0,"אזל",IF(E416&lt;=N(F416),"להזמין","תקין")))</f>
        <v/>
      </c>
    </row>
    <row r="417">
      <c r="A417" s="8" t="n"/>
      <c r="B417" s="9" t="n"/>
      <c r="C417" s="8" t="n"/>
      <c r="D417" s="8" t="n"/>
      <c r="E417" s="15" t="n"/>
      <c r="F417" s="15" t="n"/>
      <c r="G417" s="11" t="str">
        <f>IF(OR(E417="",F417=""),"",IF(E417&lt;=F417,F417*2-E417,0))</f>
        <v/>
      </c>
      <c r="H417" s="16" t="n"/>
      <c r="I417" s="16" t="n"/>
      <c r="J417" s="13" t="str">
        <f>IF(OR(E417="",H417=""),"",E417*H417)</f>
        <v/>
      </c>
      <c r="K417" s="13" t="str">
        <f>IF(OR(E417="",I417=""),"",E417*I417)</f>
        <v/>
      </c>
      <c r="L417" s="14" t="str">
        <f>IF(OR(A417="",E417=""),"",IF(E417&lt;=0,"אזל",IF(E417&lt;=N(F417),"להזמין","תקין")))</f>
        <v/>
      </c>
    </row>
    <row r="418">
      <c r="A418" s="8" t="n"/>
      <c r="B418" s="9" t="n"/>
      <c r="C418" s="8" t="n"/>
      <c r="D418" s="8" t="n"/>
      <c r="E418" s="15" t="n"/>
      <c r="F418" s="15" t="n"/>
      <c r="G418" s="11" t="str">
        <f>IF(OR(E418="",F418=""),"",IF(E418&lt;=F418,F418*2-E418,0))</f>
        <v/>
      </c>
      <c r="H418" s="16" t="n"/>
      <c r="I418" s="16" t="n"/>
      <c r="J418" s="13" t="str">
        <f>IF(OR(E418="",H418=""),"",E418*H418)</f>
        <v/>
      </c>
      <c r="K418" s="13" t="str">
        <f>IF(OR(E418="",I418=""),"",E418*I418)</f>
        <v/>
      </c>
      <c r="L418" s="14" t="str">
        <f>IF(OR(A418="",E418=""),"",IF(E418&lt;=0,"אזל",IF(E418&lt;=N(F418),"להזמין","תקין")))</f>
        <v/>
      </c>
    </row>
    <row r="419">
      <c r="A419" s="8" t="n"/>
      <c r="B419" s="9" t="n"/>
      <c r="C419" s="8" t="n"/>
      <c r="D419" s="8" t="n"/>
      <c r="E419" s="15" t="n"/>
      <c r="F419" s="15" t="n"/>
      <c r="G419" s="11" t="str">
        <f>IF(OR(E419="",F419=""),"",IF(E419&lt;=F419,F419*2-E419,0))</f>
        <v/>
      </c>
      <c r="H419" s="16" t="n"/>
      <c r="I419" s="16" t="n"/>
      <c r="J419" s="13" t="str">
        <f>IF(OR(E419="",H419=""),"",E419*H419)</f>
        <v/>
      </c>
      <c r="K419" s="13" t="str">
        <f>IF(OR(E419="",I419=""),"",E419*I419)</f>
        <v/>
      </c>
      <c r="L419" s="14" t="str">
        <f>IF(OR(A419="",E419=""),"",IF(E419&lt;=0,"אזל",IF(E419&lt;=N(F419),"להזמין","תקין")))</f>
        <v/>
      </c>
    </row>
    <row r="420">
      <c r="A420" s="8" t="n"/>
      <c r="B420" s="9" t="n"/>
      <c r="C420" s="8" t="n"/>
      <c r="D420" s="8" t="n"/>
      <c r="E420" s="15" t="n"/>
      <c r="F420" s="15" t="n"/>
      <c r="G420" s="11" t="str">
        <f>IF(OR(E420="",F420=""),"",IF(E420&lt;=F420,F420*2-E420,0))</f>
        <v/>
      </c>
      <c r="H420" s="16" t="n"/>
      <c r="I420" s="16" t="n"/>
      <c r="J420" s="13" t="str">
        <f>IF(OR(E420="",H420=""),"",E420*H420)</f>
        <v/>
      </c>
      <c r="K420" s="13" t="str">
        <f>IF(OR(E420="",I420=""),"",E420*I420)</f>
        <v/>
      </c>
      <c r="L420" s="14" t="str">
        <f>IF(OR(A420="",E420=""),"",IF(E420&lt;=0,"אזל",IF(E420&lt;=N(F420),"להזמין","תקין")))</f>
        <v/>
      </c>
    </row>
    <row r="421">
      <c r="A421" s="8" t="n"/>
      <c r="B421" s="9" t="n"/>
      <c r="C421" s="8" t="n"/>
      <c r="D421" s="8" t="n"/>
      <c r="E421" s="15" t="n"/>
      <c r="F421" s="15" t="n"/>
      <c r="G421" s="11" t="str">
        <f>IF(OR(E421="",F421=""),"",IF(E421&lt;=F421,F421*2-E421,0))</f>
        <v/>
      </c>
      <c r="H421" s="16" t="n"/>
      <c r="I421" s="16" t="n"/>
      <c r="J421" s="13" t="str">
        <f>IF(OR(E421="",H421=""),"",E421*H421)</f>
        <v/>
      </c>
      <c r="K421" s="13" t="str">
        <f>IF(OR(E421="",I421=""),"",E421*I421)</f>
        <v/>
      </c>
      <c r="L421" s="14" t="str">
        <f>IF(OR(A421="",E421=""),"",IF(E421&lt;=0,"אזל",IF(E421&lt;=N(F421),"להזמין","תקין")))</f>
        <v/>
      </c>
    </row>
    <row r="422">
      <c r="A422" s="8" t="n"/>
      <c r="B422" s="9" t="n"/>
      <c r="C422" s="8" t="n"/>
      <c r="D422" s="8" t="n"/>
      <c r="E422" s="15" t="n"/>
      <c r="F422" s="15" t="n"/>
      <c r="G422" s="11" t="str">
        <f>IF(OR(E422="",F422=""),"",IF(E422&lt;=F422,F422*2-E422,0))</f>
        <v/>
      </c>
      <c r="H422" s="16" t="n"/>
      <c r="I422" s="16" t="n"/>
      <c r="J422" s="13" t="str">
        <f>IF(OR(E422="",H422=""),"",E422*H422)</f>
        <v/>
      </c>
      <c r="K422" s="13" t="str">
        <f>IF(OR(E422="",I422=""),"",E422*I422)</f>
        <v/>
      </c>
      <c r="L422" s="14" t="str">
        <f>IF(OR(A422="",E422=""),"",IF(E422&lt;=0,"אזל",IF(E422&lt;=N(F422),"להזמין","תקין")))</f>
        <v/>
      </c>
    </row>
    <row r="423">
      <c r="A423" s="8" t="n"/>
      <c r="B423" s="9" t="n"/>
      <c r="C423" s="8" t="n"/>
      <c r="D423" s="8" t="n"/>
      <c r="E423" s="15" t="n"/>
      <c r="F423" s="15" t="n"/>
      <c r="G423" s="11" t="str">
        <f>IF(OR(E423="",F423=""),"",IF(E423&lt;=F423,F423*2-E423,0))</f>
        <v/>
      </c>
      <c r="H423" s="16" t="n"/>
      <c r="I423" s="16" t="n"/>
      <c r="J423" s="13" t="str">
        <f>IF(OR(E423="",H423=""),"",E423*H423)</f>
        <v/>
      </c>
      <c r="K423" s="13" t="str">
        <f>IF(OR(E423="",I423=""),"",E423*I423)</f>
        <v/>
      </c>
      <c r="L423" s="14" t="str">
        <f>IF(OR(A423="",E423=""),"",IF(E423&lt;=0,"אזל",IF(E423&lt;=N(F423),"להזמין","תקין")))</f>
        <v/>
      </c>
    </row>
    <row r="424">
      <c r="A424" s="8" t="n"/>
      <c r="B424" s="9" t="n"/>
      <c r="C424" s="8" t="n"/>
      <c r="D424" s="8" t="n"/>
      <c r="E424" s="15" t="n"/>
      <c r="F424" s="15" t="n"/>
      <c r="G424" s="11" t="str">
        <f>IF(OR(E424="",F424=""),"",IF(E424&lt;=F424,F424*2-E424,0))</f>
        <v/>
      </c>
      <c r="H424" s="16" t="n"/>
      <c r="I424" s="16" t="n"/>
      <c r="J424" s="13" t="str">
        <f>IF(OR(E424="",H424=""),"",E424*H424)</f>
        <v/>
      </c>
      <c r="K424" s="13" t="str">
        <f>IF(OR(E424="",I424=""),"",E424*I424)</f>
        <v/>
      </c>
      <c r="L424" s="14" t="str">
        <f>IF(OR(A424="",E424=""),"",IF(E424&lt;=0,"אזל",IF(E424&lt;=N(F424),"להזמין","תקין")))</f>
        <v/>
      </c>
    </row>
    <row r="425">
      <c r="A425" s="8" t="n"/>
      <c r="B425" s="9" t="n"/>
      <c r="C425" s="8" t="n"/>
      <c r="D425" s="8" t="n"/>
      <c r="E425" s="15" t="n"/>
      <c r="F425" s="15" t="n"/>
      <c r="G425" s="11" t="str">
        <f>IF(OR(E425="",F425=""),"",IF(E425&lt;=F425,F425*2-E425,0))</f>
        <v/>
      </c>
      <c r="H425" s="16" t="n"/>
      <c r="I425" s="16" t="n"/>
      <c r="J425" s="13" t="str">
        <f>IF(OR(E425="",H425=""),"",E425*H425)</f>
        <v/>
      </c>
      <c r="K425" s="13" t="str">
        <f>IF(OR(E425="",I425=""),"",E425*I425)</f>
        <v/>
      </c>
      <c r="L425" s="14" t="str">
        <f>IF(OR(A425="",E425=""),"",IF(E425&lt;=0,"אזל",IF(E425&lt;=N(F425),"להזמין","תקין")))</f>
        <v/>
      </c>
    </row>
    <row r="426">
      <c r="A426" s="8" t="n"/>
      <c r="B426" s="9" t="n"/>
      <c r="C426" s="8" t="n"/>
      <c r="D426" s="8" t="n"/>
      <c r="E426" s="15" t="n"/>
      <c r="F426" s="15" t="n"/>
      <c r="G426" s="11" t="str">
        <f>IF(OR(E426="",F426=""),"",IF(E426&lt;=F426,F426*2-E426,0))</f>
        <v/>
      </c>
      <c r="H426" s="16" t="n"/>
      <c r="I426" s="16" t="n"/>
      <c r="J426" s="13" t="str">
        <f>IF(OR(E426="",H426=""),"",E426*H426)</f>
        <v/>
      </c>
      <c r="K426" s="13" t="str">
        <f>IF(OR(E426="",I426=""),"",E426*I426)</f>
        <v/>
      </c>
      <c r="L426" s="14" t="str">
        <f>IF(OR(A426="",E426=""),"",IF(E426&lt;=0,"אזל",IF(E426&lt;=N(F426),"להזמין","תקין")))</f>
        <v/>
      </c>
    </row>
    <row r="427">
      <c r="A427" s="8" t="n"/>
      <c r="B427" s="9" t="n"/>
      <c r="C427" s="8" t="n"/>
      <c r="D427" s="8" t="n"/>
      <c r="E427" s="15" t="n"/>
      <c r="F427" s="15" t="n"/>
      <c r="G427" s="11" t="str">
        <f>IF(OR(E427="",F427=""),"",IF(E427&lt;=F427,F427*2-E427,0))</f>
        <v/>
      </c>
      <c r="H427" s="16" t="n"/>
      <c r="I427" s="16" t="n"/>
      <c r="J427" s="13" t="str">
        <f>IF(OR(E427="",H427=""),"",E427*H427)</f>
        <v/>
      </c>
      <c r="K427" s="13" t="str">
        <f>IF(OR(E427="",I427=""),"",E427*I427)</f>
        <v/>
      </c>
      <c r="L427" s="14" t="str">
        <f>IF(OR(A427="",E427=""),"",IF(E427&lt;=0,"אזל",IF(E427&lt;=N(F427),"להזמין","תקין")))</f>
        <v/>
      </c>
    </row>
    <row r="428">
      <c r="A428" s="8" t="n"/>
      <c r="B428" s="9" t="n"/>
      <c r="C428" s="8" t="n"/>
      <c r="D428" s="8" t="n"/>
      <c r="E428" s="15" t="n"/>
      <c r="F428" s="15" t="n"/>
      <c r="G428" s="11" t="str">
        <f>IF(OR(E428="",F428=""),"",IF(E428&lt;=F428,F428*2-E428,0))</f>
        <v/>
      </c>
      <c r="H428" s="16" t="n"/>
      <c r="I428" s="16" t="n"/>
      <c r="J428" s="13" t="str">
        <f>IF(OR(E428="",H428=""),"",E428*H428)</f>
        <v/>
      </c>
      <c r="K428" s="13" t="str">
        <f>IF(OR(E428="",I428=""),"",E428*I428)</f>
        <v/>
      </c>
      <c r="L428" s="14" t="str">
        <f>IF(OR(A428="",E428=""),"",IF(E428&lt;=0,"אזל",IF(E428&lt;=N(F428),"להזמין","תקין")))</f>
        <v/>
      </c>
    </row>
    <row r="429">
      <c r="A429" s="8" t="n"/>
      <c r="B429" s="9" t="n"/>
      <c r="C429" s="8" t="n"/>
      <c r="D429" s="8" t="n"/>
      <c r="E429" s="15" t="n"/>
      <c r="F429" s="15" t="n"/>
      <c r="G429" s="11" t="str">
        <f>IF(OR(E429="",F429=""),"",IF(E429&lt;=F429,F429*2-E429,0))</f>
        <v/>
      </c>
      <c r="H429" s="16" t="n"/>
      <c r="I429" s="16" t="n"/>
      <c r="J429" s="13" t="str">
        <f>IF(OR(E429="",H429=""),"",E429*H429)</f>
        <v/>
      </c>
      <c r="K429" s="13" t="str">
        <f>IF(OR(E429="",I429=""),"",E429*I429)</f>
        <v/>
      </c>
      <c r="L429" s="14" t="str">
        <f>IF(OR(A429="",E429=""),"",IF(E429&lt;=0,"אזל",IF(E429&lt;=N(F429),"להזמין","תקין")))</f>
        <v/>
      </c>
    </row>
    <row r="430">
      <c r="A430" s="8" t="n"/>
      <c r="B430" s="9" t="n"/>
      <c r="C430" s="8" t="n"/>
      <c r="D430" s="8" t="n"/>
      <c r="E430" s="15" t="n"/>
      <c r="F430" s="15" t="n"/>
      <c r="G430" s="11" t="str">
        <f>IF(OR(E430="",F430=""),"",IF(E430&lt;=F430,F430*2-E430,0))</f>
        <v/>
      </c>
      <c r="H430" s="16" t="n"/>
      <c r="I430" s="16" t="n"/>
      <c r="J430" s="13" t="str">
        <f>IF(OR(E430="",H430=""),"",E430*H430)</f>
        <v/>
      </c>
      <c r="K430" s="13" t="str">
        <f>IF(OR(E430="",I430=""),"",E430*I430)</f>
        <v/>
      </c>
      <c r="L430" s="14" t="str">
        <f>IF(OR(A430="",E430=""),"",IF(E430&lt;=0,"אזל",IF(E430&lt;=N(F430),"להזמין","תקין")))</f>
        <v/>
      </c>
    </row>
    <row r="431">
      <c r="A431" s="8" t="n"/>
      <c r="B431" s="9" t="n"/>
      <c r="C431" s="8" t="n"/>
      <c r="D431" s="8" t="n"/>
      <c r="E431" s="15" t="n"/>
      <c r="F431" s="15" t="n"/>
      <c r="G431" s="11" t="str">
        <f>IF(OR(E431="",F431=""),"",IF(E431&lt;=F431,F431*2-E431,0))</f>
        <v/>
      </c>
      <c r="H431" s="16" t="n"/>
      <c r="I431" s="16" t="n"/>
      <c r="J431" s="13" t="str">
        <f>IF(OR(E431="",H431=""),"",E431*H431)</f>
        <v/>
      </c>
      <c r="K431" s="13" t="str">
        <f>IF(OR(E431="",I431=""),"",E431*I431)</f>
        <v/>
      </c>
      <c r="L431" s="14" t="str">
        <f>IF(OR(A431="",E431=""),"",IF(E431&lt;=0,"אזל",IF(E431&lt;=N(F431),"להזמין","תקין")))</f>
        <v/>
      </c>
    </row>
    <row r="432">
      <c r="A432" s="8" t="n"/>
      <c r="B432" s="9" t="n"/>
      <c r="C432" s="8" t="n"/>
      <c r="D432" s="8" t="n"/>
      <c r="E432" s="15" t="n"/>
      <c r="F432" s="15" t="n"/>
      <c r="G432" s="11" t="str">
        <f>IF(OR(E432="",F432=""),"",IF(E432&lt;=F432,F432*2-E432,0))</f>
        <v/>
      </c>
      <c r="H432" s="16" t="n"/>
      <c r="I432" s="16" t="n"/>
      <c r="J432" s="13" t="str">
        <f>IF(OR(E432="",H432=""),"",E432*H432)</f>
        <v/>
      </c>
      <c r="K432" s="13" t="str">
        <f>IF(OR(E432="",I432=""),"",E432*I432)</f>
        <v/>
      </c>
      <c r="L432" s="14" t="str">
        <f>IF(OR(A432="",E432=""),"",IF(E432&lt;=0,"אזל",IF(E432&lt;=N(F432),"להזמין","תקין")))</f>
        <v/>
      </c>
    </row>
    <row r="433">
      <c r="A433" s="8" t="n"/>
      <c r="B433" s="9" t="n"/>
      <c r="C433" s="8" t="n"/>
      <c r="D433" s="8" t="n"/>
      <c r="E433" s="15" t="n"/>
      <c r="F433" s="15" t="n"/>
      <c r="G433" s="11" t="str">
        <f>IF(OR(E433="",F433=""),"",IF(E433&lt;=F433,F433*2-E433,0))</f>
        <v/>
      </c>
      <c r="H433" s="16" t="n"/>
      <c r="I433" s="16" t="n"/>
      <c r="J433" s="13" t="str">
        <f>IF(OR(E433="",H433=""),"",E433*H433)</f>
        <v/>
      </c>
      <c r="K433" s="13" t="str">
        <f>IF(OR(E433="",I433=""),"",E433*I433)</f>
        <v/>
      </c>
      <c r="L433" s="14" t="str">
        <f>IF(OR(A433="",E433=""),"",IF(E433&lt;=0,"אזל",IF(E433&lt;=N(F433),"להזמין","תקין")))</f>
        <v/>
      </c>
    </row>
    <row r="434">
      <c r="A434" s="8" t="n"/>
      <c r="B434" s="9" t="n"/>
      <c r="C434" s="8" t="n"/>
      <c r="D434" s="8" t="n"/>
      <c r="E434" s="15" t="n"/>
      <c r="F434" s="15" t="n"/>
      <c r="G434" s="11" t="str">
        <f>IF(OR(E434="",F434=""),"",IF(E434&lt;=F434,F434*2-E434,0))</f>
        <v/>
      </c>
      <c r="H434" s="16" t="n"/>
      <c r="I434" s="16" t="n"/>
      <c r="J434" s="13" t="str">
        <f>IF(OR(E434="",H434=""),"",E434*H434)</f>
        <v/>
      </c>
      <c r="K434" s="13" t="str">
        <f>IF(OR(E434="",I434=""),"",E434*I434)</f>
        <v/>
      </c>
      <c r="L434" s="14" t="str">
        <f>IF(OR(A434="",E434=""),"",IF(E434&lt;=0,"אזל",IF(E434&lt;=N(F434),"להזמין","תקין")))</f>
        <v/>
      </c>
    </row>
    <row r="435">
      <c r="A435" s="8" t="n"/>
      <c r="B435" s="9" t="n"/>
      <c r="C435" s="8" t="n"/>
      <c r="D435" s="8" t="n"/>
      <c r="E435" s="15" t="n"/>
      <c r="F435" s="15" t="n"/>
      <c r="G435" s="11" t="str">
        <f>IF(OR(E435="",F435=""),"",IF(E435&lt;=F435,F435*2-E435,0))</f>
        <v/>
      </c>
      <c r="H435" s="16" t="n"/>
      <c r="I435" s="16" t="n"/>
      <c r="J435" s="13" t="str">
        <f>IF(OR(E435="",H435=""),"",E435*H435)</f>
        <v/>
      </c>
      <c r="K435" s="13" t="str">
        <f>IF(OR(E435="",I435=""),"",E435*I435)</f>
        <v/>
      </c>
      <c r="L435" s="14" t="str">
        <f>IF(OR(A435="",E435=""),"",IF(E435&lt;=0,"אזל",IF(E435&lt;=N(F435),"להזמין","תקין")))</f>
        <v/>
      </c>
    </row>
    <row r="436">
      <c r="A436" s="8" t="n"/>
      <c r="B436" s="9" t="n"/>
      <c r="C436" s="8" t="n"/>
      <c r="D436" s="8" t="n"/>
      <c r="E436" s="15" t="n"/>
      <c r="F436" s="15" t="n"/>
      <c r="G436" s="11" t="str">
        <f>IF(OR(E436="",F436=""),"",IF(E436&lt;=F436,F436*2-E436,0))</f>
        <v/>
      </c>
      <c r="H436" s="16" t="n"/>
      <c r="I436" s="16" t="n"/>
      <c r="J436" s="13" t="str">
        <f>IF(OR(E436="",H436=""),"",E436*H436)</f>
        <v/>
      </c>
      <c r="K436" s="13" t="str">
        <f>IF(OR(E436="",I436=""),"",E436*I436)</f>
        <v/>
      </c>
      <c r="L436" s="14" t="str">
        <f>IF(OR(A436="",E436=""),"",IF(E436&lt;=0,"אזל",IF(E436&lt;=N(F436),"להזמין","תקין")))</f>
        <v/>
      </c>
    </row>
    <row r="437">
      <c r="A437" s="8" t="n"/>
      <c r="B437" s="9" t="n"/>
      <c r="C437" s="8" t="n"/>
      <c r="D437" s="8" t="n"/>
      <c r="E437" s="15" t="n"/>
      <c r="F437" s="15" t="n"/>
      <c r="G437" s="11" t="str">
        <f>IF(OR(E437="",F437=""),"",IF(E437&lt;=F437,F437*2-E437,0))</f>
        <v/>
      </c>
      <c r="H437" s="16" t="n"/>
      <c r="I437" s="16" t="n"/>
      <c r="J437" s="13" t="str">
        <f>IF(OR(E437="",H437=""),"",E437*H437)</f>
        <v/>
      </c>
      <c r="K437" s="13" t="str">
        <f>IF(OR(E437="",I437=""),"",E437*I437)</f>
        <v/>
      </c>
      <c r="L437" s="14" t="str">
        <f>IF(OR(A437="",E437=""),"",IF(E437&lt;=0,"אזל",IF(E437&lt;=N(F437),"להזמין","תקין")))</f>
        <v/>
      </c>
    </row>
    <row r="438">
      <c r="A438" s="8" t="n"/>
      <c r="B438" s="9" t="n"/>
      <c r="C438" s="8" t="n"/>
      <c r="D438" s="8" t="n"/>
      <c r="E438" s="15" t="n"/>
      <c r="F438" s="15" t="n"/>
      <c r="G438" s="11" t="str">
        <f>IF(OR(E438="",F438=""),"",IF(E438&lt;=F438,F438*2-E438,0))</f>
        <v/>
      </c>
      <c r="H438" s="16" t="n"/>
      <c r="I438" s="16" t="n"/>
      <c r="J438" s="13" t="str">
        <f>IF(OR(E438="",H438=""),"",E438*H438)</f>
        <v/>
      </c>
      <c r="K438" s="13" t="str">
        <f>IF(OR(E438="",I438=""),"",E438*I438)</f>
        <v/>
      </c>
      <c r="L438" s="14" t="str">
        <f>IF(OR(A438="",E438=""),"",IF(E438&lt;=0,"אזל",IF(E438&lt;=N(F438),"להזמין","תקין")))</f>
        <v/>
      </c>
    </row>
    <row r="439">
      <c r="A439" s="8" t="n"/>
      <c r="B439" s="9" t="n"/>
      <c r="C439" s="8" t="n"/>
      <c r="D439" s="8" t="n"/>
      <c r="E439" s="15" t="n"/>
      <c r="F439" s="15" t="n"/>
      <c r="G439" s="11" t="str">
        <f>IF(OR(E439="",F439=""),"",IF(E439&lt;=F439,F439*2-E439,0))</f>
        <v/>
      </c>
      <c r="H439" s="16" t="n"/>
      <c r="I439" s="16" t="n"/>
      <c r="J439" s="13" t="str">
        <f>IF(OR(E439="",H439=""),"",E439*H439)</f>
        <v/>
      </c>
      <c r="K439" s="13" t="str">
        <f>IF(OR(E439="",I439=""),"",E439*I439)</f>
        <v/>
      </c>
      <c r="L439" s="14" t="str">
        <f>IF(OR(A439="",E439=""),"",IF(E439&lt;=0,"אזל",IF(E439&lt;=N(F439),"להזמין","תקין")))</f>
        <v/>
      </c>
    </row>
    <row r="440">
      <c r="A440" s="8" t="n"/>
      <c r="B440" s="9" t="n"/>
      <c r="C440" s="8" t="n"/>
      <c r="D440" s="8" t="n"/>
      <c r="E440" s="15" t="n"/>
      <c r="F440" s="15" t="n"/>
      <c r="G440" s="11" t="str">
        <f>IF(OR(E440="",F440=""),"",IF(E440&lt;=F440,F440*2-E440,0))</f>
        <v/>
      </c>
      <c r="H440" s="16" t="n"/>
      <c r="I440" s="16" t="n"/>
      <c r="J440" s="13" t="str">
        <f>IF(OR(E440="",H440=""),"",E440*H440)</f>
        <v/>
      </c>
      <c r="K440" s="13" t="str">
        <f>IF(OR(E440="",I440=""),"",E440*I440)</f>
        <v/>
      </c>
      <c r="L440" s="14" t="str">
        <f>IF(OR(A440="",E440=""),"",IF(E440&lt;=0,"אזל",IF(E440&lt;=N(F440),"להזמין","תקין")))</f>
        <v/>
      </c>
    </row>
    <row r="441">
      <c r="A441" s="8" t="n"/>
      <c r="B441" s="9" t="n"/>
      <c r="C441" s="8" t="n"/>
      <c r="D441" s="8" t="n"/>
      <c r="E441" s="15" t="n"/>
      <c r="F441" s="15" t="n"/>
      <c r="G441" s="11" t="str">
        <f>IF(OR(E441="",F441=""),"",IF(E441&lt;=F441,F441*2-E441,0))</f>
        <v/>
      </c>
      <c r="H441" s="16" t="n"/>
      <c r="I441" s="16" t="n"/>
      <c r="J441" s="13" t="str">
        <f>IF(OR(E441="",H441=""),"",E441*H441)</f>
        <v/>
      </c>
      <c r="K441" s="13" t="str">
        <f>IF(OR(E441="",I441=""),"",E441*I441)</f>
        <v/>
      </c>
      <c r="L441" s="14" t="str">
        <f>IF(OR(A441="",E441=""),"",IF(E441&lt;=0,"אזל",IF(E441&lt;=N(F441),"להזמין","תקין")))</f>
        <v/>
      </c>
    </row>
    <row r="442">
      <c r="A442" s="8" t="n"/>
      <c r="B442" s="9" t="n"/>
      <c r="C442" s="8" t="n"/>
      <c r="D442" s="8" t="n"/>
      <c r="E442" s="15" t="n"/>
      <c r="F442" s="15" t="n"/>
      <c r="G442" s="11" t="str">
        <f>IF(OR(E442="",F442=""),"",IF(E442&lt;=F442,F442*2-E442,0))</f>
        <v/>
      </c>
      <c r="H442" s="16" t="n"/>
      <c r="I442" s="16" t="n"/>
      <c r="J442" s="13" t="str">
        <f>IF(OR(E442="",H442=""),"",E442*H442)</f>
        <v/>
      </c>
      <c r="K442" s="13" t="str">
        <f>IF(OR(E442="",I442=""),"",E442*I442)</f>
        <v/>
      </c>
      <c r="L442" s="14" t="str">
        <f>IF(OR(A442="",E442=""),"",IF(E442&lt;=0,"אזל",IF(E442&lt;=N(F442),"להזמין","תקין")))</f>
        <v/>
      </c>
    </row>
    <row r="443">
      <c r="A443" s="8" t="n"/>
      <c r="B443" s="9" t="n"/>
      <c r="C443" s="8" t="n"/>
      <c r="D443" s="8" t="n"/>
      <c r="E443" s="15" t="n"/>
      <c r="F443" s="15" t="n"/>
      <c r="G443" s="11" t="str">
        <f>IF(OR(E443="",F443=""),"",IF(E443&lt;=F443,F443*2-E443,0))</f>
        <v/>
      </c>
      <c r="H443" s="16" t="n"/>
      <c r="I443" s="16" t="n"/>
      <c r="J443" s="13" t="str">
        <f>IF(OR(E443="",H443=""),"",E443*H443)</f>
        <v/>
      </c>
      <c r="K443" s="13" t="str">
        <f>IF(OR(E443="",I443=""),"",E443*I443)</f>
        <v/>
      </c>
      <c r="L443" s="14" t="str">
        <f>IF(OR(A443="",E443=""),"",IF(E443&lt;=0,"אזל",IF(E443&lt;=N(F443),"להזמין","תקין")))</f>
        <v/>
      </c>
    </row>
    <row r="444">
      <c r="A444" s="8" t="n"/>
      <c r="B444" s="9" t="n"/>
      <c r="C444" s="8" t="n"/>
      <c r="D444" s="8" t="n"/>
      <c r="E444" s="15" t="n"/>
      <c r="F444" s="15" t="n"/>
      <c r="G444" s="11" t="str">
        <f>IF(OR(E444="",F444=""),"",IF(E444&lt;=F444,F444*2-E444,0))</f>
        <v/>
      </c>
      <c r="H444" s="16" t="n"/>
      <c r="I444" s="16" t="n"/>
      <c r="J444" s="13" t="str">
        <f>IF(OR(E444="",H444=""),"",E444*H444)</f>
        <v/>
      </c>
      <c r="K444" s="13" t="str">
        <f>IF(OR(E444="",I444=""),"",E444*I444)</f>
        <v/>
      </c>
      <c r="L444" s="14" t="str">
        <f>IF(OR(A444="",E444=""),"",IF(E444&lt;=0,"אזל",IF(E444&lt;=N(F444),"להזמין","תקין")))</f>
        <v/>
      </c>
    </row>
    <row r="445">
      <c r="A445" s="8" t="n"/>
      <c r="B445" s="9" t="n"/>
      <c r="C445" s="8" t="n"/>
      <c r="D445" s="8" t="n"/>
      <c r="E445" s="15" t="n"/>
      <c r="F445" s="15" t="n"/>
      <c r="G445" s="11" t="str">
        <f>IF(OR(E445="",F445=""),"",IF(E445&lt;=F445,F445*2-E445,0))</f>
        <v/>
      </c>
      <c r="H445" s="16" t="n"/>
      <c r="I445" s="16" t="n"/>
      <c r="J445" s="13" t="str">
        <f>IF(OR(E445="",H445=""),"",E445*H445)</f>
        <v/>
      </c>
      <c r="K445" s="13" t="str">
        <f>IF(OR(E445="",I445=""),"",E445*I445)</f>
        <v/>
      </c>
      <c r="L445" s="14" t="str">
        <f>IF(OR(A445="",E445=""),"",IF(E445&lt;=0,"אזל",IF(E445&lt;=N(F445),"להזמין","תקין")))</f>
        <v/>
      </c>
    </row>
    <row r="446">
      <c r="A446" s="8" t="n"/>
      <c r="B446" s="9" t="n"/>
      <c r="C446" s="8" t="n"/>
      <c r="D446" s="8" t="n"/>
      <c r="E446" s="15" t="n"/>
      <c r="F446" s="15" t="n"/>
      <c r="G446" s="11" t="str">
        <f>IF(OR(E446="",F446=""),"",IF(E446&lt;=F446,F446*2-E446,0))</f>
        <v/>
      </c>
      <c r="H446" s="16" t="n"/>
      <c r="I446" s="16" t="n"/>
      <c r="J446" s="13" t="str">
        <f>IF(OR(E446="",H446=""),"",E446*H446)</f>
        <v/>
      </c>
      <c r="K446" s="13" t="str">
        <f>IF(OR(E446="",I446=""),"",E446*I446)</f>
        <v/>
      </c>
      <c r="L446" s="14" t="str">
        <f>IF(OR(A446="",E446=""),"",IF(E446&lt;=0,"אזל",IF(E446&lt;=N(F446),"להזמין","תקין")))</f>
        <v/>
      </c>
    </row>
    <row r="447">
      <c r="A447" s="8" t="n"/>
      <c r="B447" s="9" t="n"/>
      <c r="C447" s="8" t="n"/>
      <c r="D447" s="8" t="n"/>
      <c r="E447" s="15" t="n"/>
      <c r="F447" s="15" t="n"/>
      <c r="G447" s="11" t="str">
        <f>IF(OR(E447="",F447=""),"",IF(E447&lt;=F447,F447*2-E447,0))</f>
        <v/>
      </c>
      <c r="H447" s="16" t="n"/>
      <c r="I447" s="16" t="n"/>
      <c r="J447" s="13" t="str">
        <f>IF(OR(E447="",H447=""),"",E447*H447)</f>
        <v/>
      </c>
      <c r="K447" s="13" t="str">
        <f>IF(OR(E447="",I447=""),"",E447*I447)</f>
        <v/>
      </c>
      <c r="L447" s="14" t="str">
        <f>IF(OR(A447="",E447=""),"",IF(E447&lt;=0,"אזל",IF(E447&lt;=N(F447),"להזמין","תקין")))</f>
        <v/>
      </c>
    </row>
    <row r="448">
      <c r="A448" s="8" t="n"/>
      <c r="B448" s="9" t="n"/>
      <c r="C448" s="8" t="n"/>
      <c r="D448" s="8" t="n"/>
      <c r="E448" s="15" t="n"/>
      <c r="F448" s="15" t="n"/>
      <c r="G448" s="11" t="str">
        <f>IF(OR(E448="",F448=""),"",IF(E448&lt;=F448,F448*2-E448,0))</f>
        <v/>
      </c>
      <c r="H448" s="16" t="n"/>
      <c r="I448" s="16" t="n"/>
      <c r="J448" s="13" t="str">
        <f>IF(OR(E448="",H448=""),"",E448*H448)</f>
        <v/>
      </c>
      <c r="K448" s="13" t="str">
        <f>IF(OR(E448="",I448=""),"",E448*I448)</f>
        <v/>
      </c>
      <c r="L448" s="14" t="str">
        <f>IF(OR(A448="",E448=""),"",IF(E448&lt;=0,"אזל",IF(E448&lt;=N(F448),"להזמין","תקין")))</f>
        <v/>
      </c>
    </row>
    <row r="449">
      <c r="A449" s="8" t="n"/>
      <c r="B449" s="9" t="n"/>
      <c r="C449" s="8" t="n"/>
      <c r="D449" s="8" t="n"/>
      <c r="E449" s="15" t="n"/>
      <c r="F449" s="15" t="n"/>
      <c r="G449" s="11" t="str">
        <f>IF(OR(E449="",F449=""),"",IF(E449&lt;=F449,F449*2-E449,0))</f>
        <v/>
      </c>
      <c r="H449" s="16" t="n"/>
      <c r="I449" s="16" t="n"/>
      <c r="J449" s="13" t="str">
        <f>IF(OR(E449="",H449=""),"",E449*H449)</f>
        <v/>
      </c>
      <c r="K449" s="13" t="str">
        <f>IF(OR(E449="",I449=""),"",E449*I449)</f>
        <v/>
      </c>
      <c r="L449" s="14" t="str">
        <f>IF(OR(A449="",E449=""),"",IF(E449&lt;=0,"אזל",IF(E449&lt;=N(F449),"להזמין","תקין")))</f>
        <v/>
      </c>
    </row>
    <row r="450">
      <c r="A450" s="8" t="n"/>
      <c r="B450" s="9" t="n"/>
      <c r="C450" s="8" t="n"/>
      <c r="D450" s="8" t="n"/>
      <c r="E450" s="15" t="n"/>
      <c r="F450" s="15" t="n"/>
      <c r="G450" s="11" t="str">
        <f>IF(OR(E450="",F450=""),"",IF(E450&lt;=F450,F450*2-E450,0))</f>
        <v/>
      </c>
      <c r="H450" s="16" t="n"/>
      <c r="I450" s="16" t="n"/>
      <c r="J450" s="13" t="str">
        <f>IF(OR(E450="",H450=""),"",E450*H450)</f>
        <v/>
      </c>
      <c r="K450" s="13" t="str">
        <f>IF(OR(E450="",I450=""),"",E450*I450)</f>
        <v/>
      </c>
      <c r="L450" s="14" t="str">
        <f>IF(OR(A450="",E450=""),"",IF(E450&lt;=0,"אזל",IF(E450&lt;=N(F450),"להזמין","תקין")))</f>
        <v/>
      </c>
    </row>
    <row r="451">
      <c r="A451" s="8" t="n"/>
      <c r="B451" s="9" t="n"/>
      <c r="C451" s="8" t="n"/>
      <c r="D451" s="8" t="n"/>
      <c r="E451" s="15" t="n"/>
      <c r="F451" s="15" t="n"/>
      <c r="G451" s="11" t="str">
        <f>IF(OR(E451="",F451=""),"",IF(E451&lt;=F451,F451*2-E451,0))</f>
        <v/>
      </c>
      <c r="H451" s="16" t="n"/>
      <c r="I451" s="16" t="n"/>
      <c r="J451" s="13" t="str">
        <f>IF(OR(E451="",H451=""),"",E451*H451)</f>
        <v/>
      </c>
      <c r="K451" s="13" t="str">
        <f>IF(OR(E451="",I451=""),"",E451*I451)</f>
        <v/>
      </c>
      <c r="L451" s="14" t="str">
        <f>IF(OR(A451="",E451=""),"",IF(E451&lt;=0,"אזל",IF(E451&lt;=N(F451),"להזמין","תקין")))</f>
        <v/>
      </c>
    </row>
    <row r="452">
      <c r="A452" s="8" t="n"/>
      <c r="B452" s="9" t="n"/>
      <c r="C452" s="8" t="n"/>
      <c r="D452" s="8" t="n"/>
      <c r="E452" s="15" t="n"/>
      <c r="F452" s="15" t="n"/>
      <c r="G452" s="11" t="str">
        <f>IF(OR(E452="",F452=""),"",IF(E452&lt;=F452,F452*2-E452,0))</f>
        <v/>
      </c>
      <c r="H452" s="16" t="n"/>
      <c r="I452" s="16" t="n"/>
      <c r="J452" s="13" t="str">
        <f>IF(OR(E452="",H452=""),"",E452*H452)</f>
        <v/>
      </c>
      <c r="K452" s="13" t="str">
        <f>IF(OR(E452="",I452=""),"",E452*I452)</f>
        <v/>
      </c>
      <c r="L452" s="14" t="str">
        <f>IF(OR(A452="",E452=""),"",IF(E452&lt;=0,"אזל",IF(E452&lt;=N(F452),"להזמין","תקין")))</f>
        <v/>
      </c>
    </row>
    <row r="453">
      <c r="A453" s="8" t="n"/>
      <c r="B453" s="9" t="n"/>
      <c r="C453" s="8" t="n"/>
      <c r="D453" s="8" t="n"/>
      <c r="E453" s="15" t="n"/>
      <c r="F453" s="15" t="n"/>
      <c r="G453" s="11" t="str">
        <f>IF(OR(E453="",F453=""),"",IF(E453&lt;=F453,F453*2-E453,0))</f>
        <v/>
      </c>
      <c r="H453" s="16" t="n"/>
      <c r="I453" s="16" t="n"/>
      <c r="J453" s="13" t="str">
        <f>IF(OR(E453="",H453=""),"",E453*H453)</f>
        <v/>
      </c>
      <c r="K453" s="13" t="str">
        <f>IF(OR(E453="",I453=""),"",E453*I453)</f>
        <v/>
      </c>
      <c r="L453" s="14" t="str">
        <f>IF(OR(A453="",E453=""),"",IF(E453&lt;=0,"אזל",IF(E453&lt;=N(F453),"להזמין","תקין")))</f>
        <v/>
      </c>
    </row>
    <row r="454">
      <c r="A454" s="8" t="n"/>
      <c r="B454" s="9" t="n"/>
      <c r="C454" s="8" t="n"/>
      <c r="D454" s="8" t="n"/>
      <c r="E454" s="15" t="n"/>
      <c r="F454" s="15" t="n"/>
      <c r="G454" s="11" t="str">
        <f>IF(OR(E454="",F454=""),"",IF(E454&lt;=F454,F454*2-E454,0))</f>
        <v/>
      </c>
      <c r="H454" s="16" t="n"/>
      <c r="I454" s="16" t="n"/>
      <c r="J454" s="13" t="str">
        <f>IF(OR(E454="",H454=""),"",E454*H454)</f>
        <v/>
      </c>
      <c r="K454" s="13" t="str">
        <f>IF(OR(E454="",I454=""),"",E454*I454)</f>
        <v/>
      </c>
      <c r="L454" s="14" t="str">
        <f>IF(OR(A454="",E454=""),"",IF(E454&lt;=0,"אזל",IF(E454&lt;=N(F454),"להזמין","תקין")))</f>
        <v/>
      </c>
    </row>
    <row r="455">
      <c r="A455" s="8" t="n"/>
      <c r="B455" s="9" t="n"/>
      <c r="C455" s="8" t="n"/>
      <c r="D455" s="8" t="n"/>
      <c r="E455" s="15" t="n"/>
      <c r="F455" s="15" t="n"/>
      <c r="G455" s="11" t="str">
        <f>IF(OR(E455="",F455=""),"",IF(E455&lt;=F455,F455*2-E455,0))</f>
        <v/>
      </c>
      <c r="H455" s="16" t="n"/>
      <c r="I455" s="16" t="n"/>
      <c r="J455" s="13" t="str">
        <f>IF(OR(E455="",H455=""),"",E455*H455)</f>
        <v/>
      </c>
      <c r="K455" s="13" t="str">
        <f>IF(OR(E455="",I455=""),"",E455*I455)</f>
        <v/>
      </c>
      <c r="L455" s="14" t="str">
        <f>IF(OR(A455="",E455=""),"",IF(E455&lt;=0,"אזל",IF(E455&lt;=N(F455),"להזמין","תקין")))</f>
        <v/>
      </c>
    </row>
    <row r="456">
      <c r="A456" s="8" t="n"/>
      <c r="B456" s="9" t="n"/>
      <c r="C456" s="8" t="n"/>
      <c r="D456" s="8" t="n"/>
      <c r="E456" s="15" t="n"/>
      <c r="F456" s="15" t="n"/>
      <c r="G456" s="11" t="str">
        <f>IF(OR(E456="",F456=""),"",IF(E456&lt;=F456,F456*2-E456,0))</f>
        <v/>
      </c>
      <c r="H456" s="16" t="n"/>
      <c r="I456" s="16" t="n"/>
      <c r="J456" s="13" t="str">
        <f>IF(OR(E456="",H456=""),"",E456*H456)</f>
        <v/>
      </c>
      <c r="K456" s="13" t="str">
        <f>IF(OR(E456="",I456=""),"",E456*I456)</f>
        <v/>
      </c>
      <c r="L456" s="14" t="str">
        <f>IF(OR(A456="",E456=""),"",IF(E456&lt;=0,"אזל",IF(E456&lt;=N(F456),"להזמין","תקין")))</f>
        <v/>
      </c>
    </row>
    <row r="457">
      <c r="A457" s="8" t="n"/>
      <c r="B457" s="9" t="n"/>
      <c r="C457" s="8" t="n"/>
      <c r="D457" s="8" t="n"/>
      <c r="E457" s="15" t="n"/>
      <c r="F457" s="15" t="n"/>
      <c r="G457" s="11" t="str">
        <f>IF(OR(E457="",F457=""),"",IF(E457&lt;=F457,F457*2-E457,0))</f>
        <v/>
      </c>
      <c r="H457" s="16" t="n"/>
      <c r="I457" s="16" t="n"/>
      <c r="J457" s="13" t="str">
        <f>IF(OR(E457="",H457=""),"",E457*H457)</f>
        <v/>
      </c>
      <c r="K457" s="13" t="str">
        <f>IF(OR(E457="",I457=""),"",E457*I457)</f>
        <v/>
      </c>
      <c r="L457" s="14" t="str">
        <f>IF(OR(A457="",E457=""),"",IF(E457&lt;=0,"אזל",IF(E457&lt;=N(F457),"להזמין","תקין")))</f>
        <v/>
      </c>
    </row>
    <row r="458">
      <c r="A458" s="8" t="n"/>
      <c r="B458" s="9" t="n"/>
      <c r="C458" s="8" t="n"/>
      <c r="D458" s="8" t="n"/>
      <c r="E458" s="15" t="n"/>
      <c r="F458" s="15" t="n"/>
      <c r="G458" s="11" t="str">
        <f>IF(OR(E458="",F458=""),"",IF(E458&lt;=F458,F458*2-E458,0))</f>
        <v/>
      </c>
      <c r="H458" s="16" t="n"/>
      <c r="I458" s="16" t="n"/>
      <c r="J458" s="13" t="str">
        <f>IF(OR(E458="",H458=""),"",E458*H458)</f>
        <v/>
      </c>
      <c r="K458" s="13" t="str">
        <f>IF(OR(E458="",I458=""),"",E458*I458)</f>
        <v/>
      </c>
      <c r="L458" s="14" t="str">
        <f>IF(OR(A458="",E458=""),"",IF(E458&lt;=0,"אזל",IF(E458&lt;=N(F458),"להזמין","תקין")))</f>
        <v/>
      </c>
    </row>
    <row r="459">
      <c r="A459" s="8" t="n"/>
      <c r="B459" s="9" t="n"/>
      <c r="C459" s="8" t="n"/>
      <c r="D459" s="8" t="n"/>
      <c r="E459" s="15" t="n"/>
      <c r="F459" s="15" t="n"/>
      <c r="G459" s="11" t="str">
        <f>IF(OR(E459="",F459=""),"",IF(E459&lt;=F459,F459*2-E459,0))</f>
        <v/>
      </c>
      <c r="H459" s="16" t="n"/>
      <c r="I459" s="16" t="n"/>
      <c r="J459" s="13" t="str">
        <f>IF(OR(E459="",H459=""),"",E459*H459)</f>
        <v/>
      </c>
      <c r="K459" s="13" t="str">
        <f>IF(OR(E459="",I459=""),"",E459*I459)</f>
        <v/>
      </c>
      <c r="L459" s="14" t="str">
        <f>IF(OR(A459="",E459=""),"",IF(E459&lt;=0,"אזל",IF(E459&lt;=N(F459),"להזמין","תקין")))</f>
        <v/>
      </c>
    </row>
    <row r="460">
      <c r="A460" s="8" t="n"/>
      <c r="B460" s="9" t="n"/>
      <c r="C460" s="8" t="n"/>
      <c r="D460" s="8" t="n"/>
      <c r="E460" s="15" t="n"/>
      <c r="F460" s="15" t="n"/>
      <c r="G460" s="11" t="str">
        <f>IF(OR(E460="",F460=""),"",IF(E460&lt;=F460,F460*2-E460,0))</f>
        <v/>
      </c>
      <c r="H460" s="16" t="n"/>
      <c r="I460" s="16" t="n"/>
      <c r="J460" s="13" t="str">
        <f>IF(OR(E460="",H460=""),"",E460*H460)</f>
        <v/>
      </c>
      <c r="K460" s="13" t="str">
        <f>IF(OR(E460="",I460=""),"",E460*I460)</f>
        <v/>
      </c>
      <c r="L460" s="14" t="str">
        <f>IF(OR(A460="",E460=""),"",IF(E460&lt;=0,"אזל",IF(E460&lt;=N(F460),"להזמין","תקין")))</f>
        <v/>
      </c>
    </row>
    <row r="461">
      <c r="A461" s="8" t="n"/>
      <c r="B461" s="9" t="n"/>
      <c r="C461" s="8" t="n"/>
      <c r="D461" s="8" t="n"/>
      <c r="E461" s="15" t="n"/>
      <c r="F461" s="15" t="n"/>
      <c r="G461" s="11" t="str">
        <f>IF(OR(E461="",F461=""),"",IF(E461&lt;=F461,F461*2-E461,0))</f>
        <v/>
      </c>
      <c r="H461" s="16" t="n"/>
      <c r="I461" s="16" t="n"/>
      <c r="J461" s="13" t="str">
        <f>IF(OR(E461="",H461=""),"",E461*H461)</f>
        <v/>
      </c>
      <c r="K461" s="13" t="str">
        <f>IF(OR(E461="",I461=""),"",E461*I461)</f>
        <v/>
      </c>
      <c r="L461" s="14" t="str">
        <f>IF(OR(A461="",E461=""),"",IF(E461&lt;=0,"אזל",IF(E461&lt;=N(F461),"להזמין","תקין")))</f>
        <v/>
      </c>
    </row>
    <row r="462">
      <c r="A462" s="8" t="n"/>
      <c r="B462" s="9" t="n"/>
      <c r="C462" s="8" t="n"/>
      <c r="D462" s="8" t="n"/>
      <c r="E462" s="15" t="n"/>
      <c r="F462" s="15" t="n"/>
      <c r="G462" s="11" t="str">
        <f>IF(OR(E462="",F462=""),"",IF(E462&lt;=F462,F462*2-E462,0))</f>
        <v/>
      </c>
      <c r="H462" s="16" t="n"/>
      <c r="I462" s="16" t="n"/>
      <c r="J462" s="13" t="str">
        <f>IF(OR(E462="",H462=""),"",E462*H462)</f>
        <v/>
      </c>
      <c r="K462" s="13" t="str">
        <f>IF(OR(E462="",I462=""),"",E462*I462)</f>
        <v/>
      </c>
      <c r="L462" s="14" t="str">
        <f>IF(OR(A462="",E462=""),"",IF(E462&lt;=0,"אזל",IF(E462&lt;=N(F462),"להזמין","תקין")))</f>
        <v/>
      </c>
    </row>
    <row r="463">
      <c r="A463" s="8" t="n"/>
      <c r="B463" s="9" t="n"/>
      <c r="C463" s="8" t="n"/>
      <c r="D463" s="8" t="n"/>
      <c r="E463" s="15" t="n"/>
      <c r="F463" s="15" t="n"/>
      <c r="G463" s="11" t="str">
        <f>IF(OR(E463="",F463=""),"",IF(E463&lt;=F463,F463*2-E463,0))</f>
        <v/>
      </c>
      <c r="H463" s="16" t="n"/>
      <c r="I463" s="16" t="n"/>
      <c r="J463" s="13" t="str">
        <f>IF(OR(E463="",H463=""),"",E463*H463)</f>
        <v/>
      </c>
      <c r="K463" s="13" t="str">
        <f>IF(OR(E463="",I463=""),"",E463*I463)</f>
        <v/>
      </c>
      <c r="L463" s="14" t="str">
        <f>IF(OR(A463="",E463=""),"",IF(E463&lt;=0,"אזל",IF(E463&lt;=N(F463),"להזמין","תקין")))</f>
        <v/>
      </c>
    </row>
    <row r="464">
      <c r="A464" s="8" t="n"/>
      <c r="B464" s="9" t="n"/>
      <c r="C464" s="8" t="n"/>
      <c r="D464" s="8" t="n"/>
      <c r="E464" s="15" t="n"/>
      <c r="F464" s="15" t="n"/>
      <c r="G464" s="11" t="str">
        <f>IF(OR(E464="",F464=""),"",IF(E464&lt;=F464,F464*2-E464,0))</f>
        <v/>
      </c>
      <c r="H464" s="16" t="n"/>
      <c r="I464" s="16" t="n"/>
      <c r="J464" s="13" t="str">
        <f>IF(OR(E464="",H464=""),"",E464*H464)</f>
        <v/>
      </c>
      <c r="K464" s="13" t="str">
        <f>IF(OR(E464="",I464=""),"",E464*I464)</f>
        <v/>
      </c>
      <c r="L464" s="14" t="str">
        <f>IF(OR(A464="",E464=""),"",IF(E464&lt;=0,"אזל",IF(E464&lt;=N(F464),"להזמין","תקין")))</f>
        <v/>
      </c>
    </row>
    <row r="465">
      <c r="A465" s="8" t="n"/>
      <c r="B465" s="9" t="n"/>
      <c r="C465" s="8" t="n"/>
      <c r="D465" s="8" t="n"/>
      <c r="E465" s="15" t="n"/>
      <c r="F465" s="15" t="n"/>
      <c r="G465" s="11" t="str">
        <f>IF(OR(E465="",F465=""),"",IF(E465&lt;=F465,F465*2-E465,0))</f>
        <v/>
      </c>
      <c r="H465" s="16" t="n"/>
      <c r="I465" s="16" t="n"/>
      <c r="J465" s="13" t="str">
        <f>IF(OR(E465="",H465=""),"",E465*H465)</f>
        <v/>
      </c>
      <c r="K465" s="13" t="str">
        <f>IF(OR(E465="",I465=""),"",E465*I465)</f>
        <v/>
      </c>
      <c r="L465" s="14" t="str">
        <f>IF(OR(A465="",E465=""),"",IF(E465&lt;=0,"אזל",IF(E465&lt;=N(F465),"להזמין","תקין")))</f>
        <v/>
      </c>
    </row>
    <row r="466">
      <c r="A466" s="8" t="n"/>
      <c r="B466" s="9" t="n"/>
      <c r="C466" s="8" t="n"/>
      <c r="D466" s="8" t="n"/>
      <c r="E466" s="15" t="n"/>
      <c r="F466" s="15" t="n"/>
      <c r="G466" s="11" t="str">
        <f>IF(OR(E466="",F466=""),"",IF(E466&lt;=F466,F466*2-E466,0))</f>
        <v/>
      </c>
      <c r="H466" s="16" t="n"/>
      <c r="I466" s="16" t="n"/>
      <c r="J466" s="13" t="str">
        <f>IF(OR(E466="",H466=""),"",E466*H466)</f>
        <v/>
      </c>
      <c r="K466" s="13" t="str">
        <f>IF(OR(E466="",I466=""),"",E466*I466)</f>
        <v/>
      </c>
      <c r="L466" s="14" t="str">
        <f>IF(OR(A466="",E466=""),"",IF(E466&lt;=0,"אזל",IF(E466&lt;=N(F466),"להזמין","תקין")))</f>
        <v/>
      </c>
    </row>
    <row r="467">
      <c r="A467" s="8" t="n"/>
      <c r="B467" s="9" t="n"/>
      <c r="C467" s="8" t="n"/>
      <c r="D467" s="8" t="n"/>
      <c r="E467" s="15" t="n"/>
      <c r="F467" s="15" t="n"/>
      <c r="G467" s="11" t="str">
        <f>IF(OR(E467="",F467=""),"",IF(E467&lt;=F467,F467*2-E467,0))</f>
        <v/>
      </c>
      <c r="H467" s="16" t="n"/>
      <c r="I467" s="16" t="n"/>
      <c r="J467" s="13" t="str">
        <f>IF(OR(E467="",H467=""),"",E467*H467)</f>
        <v/>
      </c>
      <c r="K467" s="13" t="str">
        <f>IF(OR(E467="",I467=""),"",E467*I467)</f>
        <v/>
      </c>
      <c r="L467" s="14" t="str">
        <f>IF(OR(A467="",E467=""),"",IF(E467&lt;=0,"אזל",IF(E467&lt;=N(F467),"להזמין","תקין")))</f>
        <v/>
      </c>
    </row>
    <row r="468">
      <c r="A468" s="8" t="n"/>
      <c r="B468" s="9" t="n"/>
      <c r="C468" s="8" t="n"/>
      <c r="D468" s="8" t="n"/>
      <c r="E468" s="15" t="n"/>
      <c r="F468" s="15" t="n"/>
      <c r="G468" s="11" t="str">
        <f>IF(OR(E468="",F468=""),"",IF(E468&lt;=F468,F468*2-E468,0))</f>
        <v/>
      </c>
      <c r="H468" s="16" t="n"/>
      <c r="I468" s="16" t="n"/>
      <c r="J468" s="13" t="str">
        <f>IF(OR(E468="",H468=""),"",E468*H468)</f>
        <v/>
      </c>
      <c r="K468" s="13" t="str">
        <f>IF(OR(E468="",I468=""),"",E468*I468)</f>
        <v/>
      </c>
      <c r="L468" s="14" t="str">
        <f>IF(OR(A468="",E468=""),"",IF(E468&lt;=0,"אזל",IF(E468&lt;=N(F468),"להזמין","תקין")))</f>
        <v/>
      </c>
    </row>
    <row r="469">
      <c r="A469" s="8" t="n"/>
      <c r="B469" s="9" t="n"/>
      <c r="C469" s="8" t="n"/>
      <c r="D469" s="8" t="n"/>
      <c r="E469" s="15" t="n"/>
      <c r="F469" s="15" t="n"/>
      <c r="G469" s="11" t="str">
        <f>IF(OR(E469="",F469=""),"",IF(E469&lt;=F469,F469*2-E469,0))</f>
        <v/>
      </c>
      <c r="H469" s="16" t="n"/>
      <c r="I469" s="16" t="n"/>
      <c r="J469" s="13" t="str">
        <f>IF(OR(E469="",H469=""),"",E469*H469)</f>
        <v/>
      </c>
      <c r="K469" s="13" t="str">
        <f>IF(OR(E469="",I469=""),"",E469*I469)</f>
        <v/>
      </c>
      <c r="L469" s="14" t="str">
        <f>IF(OR(A469="",E469=""),"",IF(E469&lt;=0,"אזל",IF(E469&lt;=N(F469),"להזמין","תקין")))</f>
        <v/>
      </c>
    </row>
    <row r="470">
      <c r="A470" s="8" t="n"/>
      <c r="B470" s="9" t="n"/>
      <c r="C470" s="8" t="n"/>
      <c r="D470" s="8" t="n"/>
      <c r="E470" s="15" t="n"/>
      <c r="F470" s="15" t="n"/>
      <c r="G470" s="11" t="str">
        <f>IF(OR(E470="",F470=""),"",IF(E470&lt;=F470,F470*2-E470,0))</f>
        <v/>
      </c>
      <c r="H470" s="16" t="n"/>
      <c r="I470" s="16" t="n"/>
      <c r="J470" s="13" t="str">
        <f>IF(OR(E470="",H470=""),"",E470*H470)</f>
        <v/>
      </c>
      <c r="K470" s="13" t="str">
        <f>IF(OR(E470="",I470=""),"",E470*I470)</f>
        <v/>
      </c>
      <c r="L470" s="14" t="str">
        <f>IF(OR(A470="",E470=""),"",IF(E470&lt;=0,"אזל",IF(E470&lt;=N(F470),"להזמין","תקין")))</f>
        <v/>
      </c>
    </row>
    <row r="471">
      <c r="A471" s="8" t="n"/>
      <c r="B471" s="9" t="n"/>
      <c r="C471" s="8" t="n"/>
      <c r="D471" s="8" t="n"/>
      <c r="E471" s="15" t="n"/>
      <c r="F471" s="15" t="n"/>
      <c r="G471" s="11" t="str">
        <f>IF(OR(E471="",F471=""),"",IF(E471&lt;=F471,F471*2-E471,0))</f>
        <v/>
      </c>
      <c r="H471" s="16" t="n"/>
      <c r="I471" s="16" t="n"/>
      <c r="J471" s="13" t="str">
        <f>IF(OR(E471="",H471=""),"",E471*H471)</f>
        <v/>
      </c>
      <c r="K471" s="13" t="str">
        <f>IF(OR(E471="",I471=""),"",E471*I471)</f>
        <v/>
      </c>
      <c r="L471" s="14" t="str">
        <f>IF(OR(A471="",E471=""),"",IF(E471&lt;=0,"אזל",IF(E471&lt;=N(F471),"להזמין","תקין")))</f>
        <v/>
      </c>
    </row>
    <row r="472">
      <c r="A472" s="8" t="n"/>
      <c r="B472" s="9" t="n"/>
      <c r="C472" s="8" t="n"/>
      <c r="D472" s="8" t="n"/>
      <c r="E472" s="15" t="n"/>
      <c r="F472" s="15" t="n"/>
      <c r="G472" s="11" t="str">
        <f>IF(OR(E472="",F472=""),"",IF(E472&lt;=F472,F472*2-E472,0))</f>
        <v/>
      </c>
      <c r="H472" s="16" t="n"/>
      <c r="I472" s="16" t="n"/>
      <c r="J472" s="13" t="str">
        <f>IF(OR(E472="",H472=""),"",E472*H472)</f>
        <v/>
      </c>
      <c r="K472" s="13" t="str">
        <f>IF(OR(E472="",I472=""),"",E472*I472)</f>
        <v/>
      </c>
      <c r="L472" s="14" t="str">
        <f>IF(OR(A472="",E472=""),"",IF(E472&lt;=0,"אזל",IF(E472&lt;=N(F472),"להזמין","תקין")))</f>
        <v/>
      </c>
    </row>
    <row r="473">
      <c r="A473" s="8" t="n"/>
      <c r="B473" s="9" t="n"/>
      <c r="C473" s="8" t="n"/>
      <c r="D473" s="8" t="n"/>
      <c r="E473" s="15" t="n"/>
      <c r="F473" s="15" t="n"/>
      <c r="G473" s="11" t="str">
        <f>IF(OR(E473="",F473=""),"",IF(E473&lt;=F473,F473*2-E473,0))</f>
        <v/>
      </c>
      <c r="H473" s="16" t="n"/>
      <c r="I473" s="16" t="n"/>
      <c r="J473" s="13" t="str">
        <f>IF(OR(E473="",H473=""),"",E473*H473)</f>
        <v/>
      </c>
      <c r="K473" s="13" t="str">
        <f>IF(OR(E473="",I473=""),"",E473*I473)</f>
        <v/>
      </c>
      <c r="L473" s="14" t="str">
        <f>IF(OR(A473="",E473=""),"",IF(E473&lt;=0,"אזל",IF(E473&lt;=N(F473),"להזמין","תקין")))</f>
        <v/>
      </c>
    </row>
    <row r="474">
      <c r="A474" s="8" t="n"/>
      <c r="B474" s="9" t="n"/>
      <c r="C474" s="8" t="n"/>
      <c r="D474" s="8" t="n"/>
      <c r="E474" s="15" t="n"/>
      <c r="F474" s="15" t="n"/>
      <c r="G474" s="11" t="str">
        <f>IF(OR(E474="",F474=""),"",IF(E474&lt;=F474,F474*2-E474,0))</f>
        <v/>
      </c>
      <c r="H474" s="16" t="n"/>
      <c r="I474" s="16" t="n"/>
      <c r="J474" s="13" t="str">
        <f>IF(OR(E474="",H474=""),"",E474*H474)</f>
        <v/>
      </c>
      <c r="K474" s="13" t="str">
        <f>IF(OR(E474="",I474=""),"",E474*I474)</f>
        <v/>
      </c>
      <c r="L474" s="14" t="str">
        <f>IF(OR(A474="",E474=""),"",IF(E474&lt;=0,"אזל",IF(E474&lt;=N(F474),"להזמין","תקין")))</f>
        <v/>
      </c>
    </row>
    <row r="475">
      <c r="A475" s="8" t="n"/>
      <c r="B475" s="9" t="n"/>
      <c r="C475" s="8" t="n"/>
      <c r="D475" s="8" t="n"/>
      <c r="E475" s="15" t="n"/>
      <c r="F475" s="15" t="n"/>
      <c r="G475" s="11" t="str">
        <f>IF(OR(E475="",F475=""),"",IF(E475&lt;=F475,F475*2-E475,0))</f>
        <v/>
      </c>
      <c r="H475" s="16" t="n"/>
      <c r="I475" s="16" t="n"/>
      <c r="J475" s="13" t="str">
        <f>IF(OR(E475="",H475=""),"",E475*H475)</f>
        <v/>
      </c>
      <c r="K475" s="13" t="str">
        <f>IF(OR(E475="",I475=""),"",E475*I475)</f>
        <v/>
      </c>
      <c r="L475" s="14" t="str">
        <f>IF(OR(A475="",E475=""),"",IF(E475&lt;=0,"אזל",IF(E475&lt;=N(F475),"להזמין","תקין")))</f>
        <v/>
      </c>
    </row>
    <row r="476">
      <c r="A476" s="8" t="n"/>
      <c r="B476" s="9" t="n"/>
      <c r="C476" s="8" t="n"/>
      <c r="D476" s="8" t="n"/>
      <c r="E476" s="15" t="n"/>
      <c r="F476" s="15" t="n"/>
      <c r="G476" s="11" t="str">
        <f>IF(OR(E476="",F476=""),"",IF(E476&lt;=F476,F476*2-E476,0))</f>
        <v/>
      </c>
      <c r="H476" s="16" t="n"/>
      <c r="I476" s="16" t="n"/>
      <c r="J476" s="13" t="str">
        <f>IF(OR(E476="",H476=""),"",E476*H476)</f>
        <v/>
      </c>
      <c r="K476" s="13" t="str">
        <f>IF(OR(E476="",I476=""),"",E476*I476)</f>
        <v/>
      </c>
      <c r="L476" s="14" t="str">
        <f>IF(OR(A476="",E476=""),"",IF(E476&lt;=0,"אזל",IF(E476&lt;=N(F476),"להזמין","תקין")))</f>
        <v/>
      </c>
    </row>
    <row r="477">
      <c r="A477" s="8" t="n"/>
      <c r="B477" s="9" t="n"/>
      <c r="C477" s="8" t="n"/>
      <c r="D477" s="8" t="n"/>
      <c r="E477" s="15" t="n"/>
      <c r="F477" s="15" t="n"/>
      <c r="G477" s="11" t="str">
        <f>IF(OR(E477="",F477=""),"",IF(E477&lt;=F477,F477*2-E477,0))</f>
        <v/>
      </c>
      <c r="H477" s="16" t="n"/>
      <c r="I477" s="16" t="n"/>
      <c r="J477" s="13" t="str">
        <f>IF(OR(E477="",H477=""),"",E477*H477)</f>
        <v/>
      </c>
      <c r="K477" s="13" t="str">
        <f>IF(OR(E477="",I477=""),"",E477*I477)</f>
        <v/>
      </c>
      <c r="L477" s="14" t="str">
        <f>IF(OR(A477="",E477=""),"",IF(E477&lt;=0,"אזל",IF(E477&lt;=N(F477),"להזמין","תקין")))</f>
        <v/>
      </c>
    </row>
    <row r="478">
      <c r="A478" s="8" t="n"/>
      <c r="B478" s="9" t="n"/>
      <c r="C478" s="8" t="n"/>
      <c r="D478" s="8" t="n"/>
      <c r="E478" s="15" t="n"/>
      <c r="F478" s="15" t="n"/>
      <c r="G478" s="11" t="str">
        <f>IF(OR(E478="",F478=""),"",IF(E478&lt;=F478,F478*2-E478,0))</f>
        <v/>
      </c>
      <c r="H478" s="16" t="n"/>
      <c r="I478" s="16" t="n"/>
      <c r="J478" s="13" t="str">
        <f>IF(OR(E478="",H478=""),"",E478*H478)</f>
        <v/>
      </c>
      <c r="K478" s="13" t="str">
        <f>IF(OR(E478="",I478=""),"",E478*I478)</f>
        <v/>
      </c>
      <c r="L478" s="14" t="str">
        <f>IF(OR(A478="",E478=""),"",IF(E478&lt;=0,"אזל",IF(E478&lt;=N(F478),"להזמין","תקין")))</f>
        <v/>
      </c>
    </row>
    <row r="479">
      <c r="A479" s="8" t="n"/>
      <c r="B479" s="9" t="n"/>
      <c r="C479" s="8" t="n"/>
      <c r="D479" s="8" t="n"/>
      <c r="E479" s="15" t="n"/>
      <c r="F479" s="15" t="n"/>
      <c r="G479" s="11" t="str">
        <f>IF(OR(E479="",F479=""),"",IF(E479&lt;=F479,F479*2-E479,0))</f>
        <v/>
      </c>
      <c r="H479" s="16" t="n"/>
      <c r="I479" s="16" t="n"/>
      <c r="J479" s="13" t="str">
        <f>IF(OR(E479="",H479=""),"",E479*H479)</f>
        <v/>
      </c>
      <c r="K479" s="13" t="str">
        <f>IF(OR(E479="",I479=""),"",E479*I479)</f>
        <v/>
      </c>
      <c r="L479" s="14" t="str">
        <f>IF(OR(A479="",E479=""),"",IF(E479&lt;=0,"אזל",IF(E479&lt;=N(F479),"להזמין","תקין")))</f>
        <v/>
      </c>
    </row>
    <row r="480">
      <c r="A480" s="8" t="n"/>
      <c r="B480" s="9" t="n"/>
      <c r="C480" s="8" t="n"/>
      <c r="D480" s="8" t="n"/>
      <c r="E480" s="15" t="n"/>
      <c r="F480" s="15" t="n"/>
      <c r="G480" s="11" t="str">
        <f>IF(OR(E480="",F480=""),"",IF(E480&lt;=F480,F480*2-E480,0))</f>
        <v/>
      </c>
      <c r="H480" s="16" t="n"/>
      <c r="I480" s="16" t="n"/>
      <c r="J480" s="13" t="str">
        <f>IF(OR(E480="",H480=""),"",E480*H480)</f>
        <v/>
      </c>
      <c r="K480" s="13" t="str">
        <f>IF(OR(E480="",I480=""),"",E480*I480)</f>
        <v/>
      </c>
      <c r="L480" s="14" t="str">
        <f>IF(OR(A480="",E480=""),"",IF(E480&lt;=0,"אזל",IF(E480&lt;=N(F480),"להזמין","תקין")))</f>
        <v/>
      </c>
    </row>
    <row r="481">
      <c r="A481" s="8" t="n"/>
      <c r="B481" s="9" t="n"/>
      <c r="C481" s="8" t="n"/>
      <c r="D481" s="8" t="n"/>
      <c r="E481" s="15" t="n"/>
      <c r="F481" s="15" t="n"/>
      <c r="G481" s="11" t="str">
        <f>IF(OR(E481="",F481=""),"",IF(E481&lt;=F481,F481*2-E481,0))</f>
        <v/>
      </c>
      <c r="H481" s="16" t="n"/>
      <c r="I481" s="16" t="n"/>
      <c r="J481" s="13" t="str">
        <f>IF(OR(E481="",H481=""),"",E481*H481)</f>
        <v/>
      </c>
      <c r="K481" s="13" t="str">
        <f>IF(OR(E481="",I481=""),"",E481*I481)</f>
        <v/>
      </c>
      <c r="L481" s="14" t="str">
        <f>IF(OR(A481="",E481=""),"",IF(E481&lt;=0,"אזל",IF(E481&lt;=N(F481),"להזמין","תקין")))</f>
        <v/>
      </c>
    </row>
    <row r="482">
      <c r="A482" s="8" t="n"/>
      <c r="B482" s="9" t="n"/>
      <c r="C482" s="8" t="n"/>
      <c r="D482" s="8" t="n"/>
      <c r="E482" s="15" t="n"/>
      <c r="F482" s="15" t="n"/>
      <c r="G482" s="11" t="str">
        <f>IF(OR(E482="",F482=""),"",IF(E482&lt;=F482,F482*2-E482,0))</f>
        <v/>
      </c>
      <c r="H482" s="16" t="n"/>
      <c r="I482" s="16" t="n"/>
      <c r="J482" s="13" t="str">
        <f>IF(OR(E482="",H482=""),"",E482*H482)</f>
        <v/>
      </c>
      <c r="K482" s="13" t="str">
        <f>IF(OR(E482="",I482=""),"",E482*I482)</f>
        <v/>
      </c>
      <c r="L482" s="14" t="str">
        <f>IF(OR(A482="",E482=""),"",IF(E482&lt;=0,"אזל",IF(E482&lt;=N(F482),"להזמין","תקין")))</f>
        <v/>
      </c>
    </row>
    <row r="483">
      <c r="A483" s="8" t="n"/>
      <c r="B483" s="9" t="n"/>
      <c r="C483" s="8" t="n"/>
      <c r="D483" s="8" t="n"/>
      <c r="E483" s="15" t="n"/>
      <c r="F483" s="15" t="n"/>
      <c r="G483" s="11" t="str">
        <f>IF(OR(E483="",F483=""),"",IF(E483&lt;=F483,F483*2-E483,0))</f>
        <v/>
      </c>
      <c r="H483" s="16" t="n"/>
      <c r="I483" s="16" t="n"/>
      <c r="J483" s="13" t="str">
        <f>IF(OR(E483="",H483=""),"",E483*H483)</f>
        <v/>
      </c>
      <c r="K483" s="13" t="str">
        <f>IF(OR(E483="",I483=""),"",E483*I483)</f>
        <v/>
      </c>
      <c r="L483" s="14" t="str">
        <f>IF(OR(A483="",E483=""),"",IF(E483&lt;=0,"אזל",IF(E483&lt;=N(F483),"להזמין","תקין")))</f>
        <v/>
      </c>
    </row>
    <row r="484">
      <c r="A484" s="8" t="n"/>
      <c r="B484" s="9" t="n"/>
      <c r="C484" s="8" t="n"/>
      <c r="D484" s="8" t="n"/>
      <c r="E484" s="15" t="n"/>
      <c r="F484" s="15" t="n"/>
      <c r="G484" s="11" t="str">
        <f>IF(OR(E484="",F484=""),"",IF(E484&lt;=F484,F484*2-E484,0))</f>
        <v/>
      </c>
      <c r="H484" s="16" t="n"/>
      <c r="I484" s="16" t="n"/>
      <c r="J484" s="13" t="str">
        <f>IF(OR(E484="",H484=""),"",E484*H484)</f>
        <v/>
      </c>
      <c r="K484" s="13" t="str">
        <f>IF(OR(E484="",I484=""),"",E484*I484)</f>
        <v/>
      </c>
      <c r="L484" s="14" t="str">
        <f>IF(OR(A484="",E484=""),"",IF(E484&lt;=0,"אזל",IF(E484&lt;=N(F484),"להזמין","תקין")))</f>
        <v/>
      </c>
    </row>
    <row r="485">
      <c r="A485" s="8" t="n"/>
      <c r="B485" s="9" t="n"/>
      <c r="C485" s="8" t="n"/>
      <c r="D485" s="8" t="n"/>
      <c r="E485" s="15" t="n"/>
      <c r="F485" s="15" t="n"/>
      <c r="G485" s="11" t="str">
        <f>IF(OR(E485="",F485=""),"",IF(E485&lt;=F485,F485*2-E485,0))</f>
        <v/>
      </c>
      <c r="H485" s="16" t="n"/>
      <c r="I485" s="16" t="n"/>
      <c r="J485" s="13" t="str">
        <f>IF(OR(E485="",H485=""),"",E485*H485)</f>
        <v/>
      </c>
      <c r="K485" s="13" t="str">
        <f>IF(OR(E485="",I485=""),"",E485*I485)</f>
        <v/>
      </c>
      <c r="L485" s="14" t="str">
        <f>IF(OR(A485="",E485=""),"",IF(E485&lt;=0,"אזל",IF(E485&lt;=N(F485),"להזמין","תקין")))</f>
        <v/>
      </c>
    </row>
    <row r="486">
      <c r="A486" s="8" t="n"/>
      <c r="B486" s="9" t="n"/>
      <c r="C486" s="8" t="n"/>
      <c r="D486" s="8" t="n"/>
      <c r="E486" s="15" t="n"/>
      <c r="F486" s="15" t="n"/>
      <c r="G486" s="11" t="str">
        <f>IF(OR(E486="",F486=""),"",IF(E486&lt;=F486,F486*2-E486,0))</f>
        <v/>
      </c>
      <c r="H486" s="16" t="n"/>
      <c r="I486" s="16" t="n"/>
      <c r="J486" s="13" t="str">
        <f>IF(OR(E486="",H486=""),"",E486*H486)</f>
        <v/>
      </c>
      <c r="K486" s="13" t="str">
        <f>IF(OR(E486="",I486=""),"",E486*I486)</f>
        <v/>
      </c>
      <c r="L486" s="14" t="str">
        <f>IF(OR(A486="",E486=""),"",IF(E486&lt;=0,"אזל",IF(E486&lt;=N(F486),"להזמין","תקין")))</f>
        <v/>
      </c>
    </row>
    <row r="487">
      <c r="A487" s="8" t="n"/>
      <c r="B487" s="9" t="n"/>
      <c r="C487" s="8" t="n"/>
      <c r="D487" s="8" t="n"/>
      <c r="E487" s="15" t="n"/>
      <c r="F487" s="15" t="n"/>
      <c r="G487" s="11" t="str">
        <f>IF(OR(E487="",F487=""),"",IF(E487&lt;=F487,F487*2-E487,0))</f>
        <v/>
      </c>
      <c r="H487" s="16" t="n"/>
      <c r="I487" s="16" t="n"/>
      <c r="J487" s="13" t="str">
        <f>IF(OR(E487="",H487=""),"",E487*H487)</f>
        <v/>
      </c>
      <c r="K487" s="13" t="str">
        <f>IF(OR(E487="",I487=""),"",E487*I487)</f>
        <v/>
      </c>
      <c r="L487" s="14" t="str">
        <f>IF(OR(A487="",E487=""),"",IF(E487&lt;=0,"אזל",IF(E487&lt;=N(F487),"להזמין","תקין")))</f>
        <v/>
      </c>
    </row>
    <row r="488">
      <c r="A488" s="8" t="n"/>
      <c r="B488" s="9" t="n"/>
      <c r="C488" s="8" t="n"/>
      <c r="D488" s="8" t="n"/>
      <c r="E488" s="15" t="n"/>
      <c r="F488" s="15" t="n"/>
      <c r="G488" s="11" t="str">
        <f>IF(OR(E488="",F488=""),"",IF(E488&lt;=F488,F488*2-E488,0))</f>
        <v/>
      </c>
      <c r="H488" s="16" t="n"/>
      <c r="I488" s="16" t="n"/>
      <c r="J488" s="13" t="str">
        <f>IF(OR(E488="",H488=""),"",E488*H488)</f>
        <v/>
      </c>
      <c r="K488" s="13" t="str">
        <f>IF(OR(E488="",I488=""),"",E488*I488)</f>
        <v/>
      </c>
      <c r="L488" s="14" t="str">
        <f>IF(OR(A488="",E488=""),"",IF(E488&lt;=0,"אזל",IF(E488&lt;=N(F488),"להזמין","תקין")))</f>
        <v/>
      </c>
    </row>
    <row r="489">
      <c r="A489" s="8" t="n"/>
      <c r="B489" s="9" t="n"/>
      <c r="C489" s="8" t="n"/>
      <c r="D489" s="8" t="n"/>
      <c r="E489" s="15" t="n"/>
      <c r="F489" s="15" t="n"/>
      <c r="G489" s="11" t="str">
        <f>IF(OR(E489="",F489=""),"",IF(E489&lt;=F489,F489*2-E489,0))</f>
        <v/>
      </c>
      <c r="H489" s="16" t="n"/>
      <c r="I489" s="16" t="n"/>
      <c r="J489" s="13" t="str">
        <f>IF(OR(E489="",H489=""),"",E489*H489)</f>
        <v/>
      </c>
      <c r="K489" s="13" t="str">
        <f>IF(OR(E489="",I489=""),"",E489*I489)</f>
        <v/>
      </c>
      <c r="L489" s="14" t="str">
        <f>IF(OR(A489="",E489=""),"",IF(E489&lt;=0,"אזל",IF(E489&lt;=N(F489),"להזמין","תקין")))</f>
        <v/>
      </c>
    </row>
    <row r="490">
      <c r="A490" s="8" t="n"/>
      <c r="B490" s="9" t="n"/>
      <c r="C490" s="8" t="n"/>
      <c r="D490" s="8" t="n"/>
      <c r="E490" s="15" t="n"/>
      <c r="F490" s="15" t="n"/>
      <c r="G490" s="11" t="str">
        <f>IF(OR(E490="",F490=""),"",IF(E490&lt;=F490,F490*2-E490,0))</f>
        <v/>
      </c>
      <c r="H490" s="16" t="n"/>
      <c r="I490" s="16" t="n"/>
      <c r="J490" s="13" t="str">
        <f>IF(OR(E490="",H490=""),"",E490*H490)</f>
        <v/>
      </c>
      <c r="K490" s="13" t="str">
        <f>IF(OR(E490="",I490=""),"",E490*I490)</f>
        <v/>
      </c>
      <c r="L490" s="14" t="str">
        <f>IF(OR(A490="",E490=""),"",IF(E490&lt;=0,"אזל",IF(E490&lt;=N(F490),"להזמין","תקין")))</f>
        <v/>
      </c>
    </row>
    <row r="491">
      <c r="A491" s="8" t="n"/>
      <c r="B491" s="9" t="n"/>
      <c r="C491" s="8" t="n"/>
      <c r="D491" s="8" t="n"/>
      <c r="E491" s="15" t="n"/>
      <c r="F491" s="15" t="n"/>
      <c r="G491" s="11" t="str">
        <f>IF(OR(E491="",F491=""),"",IF(E491&lt;=F491,F491*2-E491,0))</f>
        <v/>
      </c>
      <c r="H491" s="16" t="n"/>
      <c r="I491" s="16" t="n"/>
      <c r="J491" s="13" t="str">
        <f>IF(OR(E491="",H491=""),"",E491*H491)</f>
        <v/>
      </c>
      <c r="K491" s="13" t="str">
        <f>IF(OR(E491="",I491=""),"",E491*I491)</f>
        <v/>
      </c>
      <c r="L491" s="14" t="str">
        <f>IF(OR(A491="",E491=""),"",IF(E491&lt;=0,"אזל",IF(E491&lt;=N(F491),"להזמין","תקין")))</f>
        <v/>
      </c>
    </row>
    <row r="492">
      <c r="A492" s="8" t="n"/>
      <c r="B492" s="9" t="n"/>
      <c r="C492" s="8" t="n"/>
      <c r="D492" s="8" t="n"/>
      <c r="E492" s="15" t="n"/>
      <c r="F492" s="15" t="n"/>
      <c r="G492" s="11" t="str">
        <f>IF(OR(E492="",F492=""),"",IF(E492&lt;=F492,F492*2-E492,0))</f>
        <v/>
      </c>
      <c r="H492" s="16" t="n"/>
      <c r="I492" s="16" t="n"/>
      <c r="J492" s="13" t="str">
        <f>IF(OR(E492="",H492=""),"",E492*H492)</f>
        <v/>
      </c>
      <c r="K492" s="13" t="str">
        <f>IF(OR(E492="",I492=""),"",E492*I492)</f>
        <v/>
      </c>
      <c r="L492" s="14" t="str">
        <f>IF(OR(A492="",E492=""),"",IF(E492&lt;=0,"אזל",IF(E492&lt;=N(F492),"להזמין","תקין")))</f>
        <v/>
      </c>
    </row>
    <row r="493">
      <c r="A493" s="8" t="n"/>
      <c r="B493" s="9" t="n"/>
      <c r="C493" s="8" t="n"/>
      <c r="D493" s="8" t="n"/>
      <c r="E493" s="15" t="n"/>
      <c r="F493" s="15" t="n"/>
      <c r="G493" s="11" t="str">
        <f>IF(OR(E493="",F493=""),"",IF(E493&lt;=F493,F493*2-E493,0))</f>
        <v/>
      </c>
      <c r="H493" s="16" t="n"/>
      <c r="I493" s="16" t="n"/>
      <c r="J493" s="13" t="str">
        <f>IF(OR(E493="",H493=""),"",E493*H493)</f>
        <v/>
      </c>
      <c r="K493" s="13" t="str">
        <f>IF(OR(E493="",I493=""),"",E493*I493)</f>
        <v/>
      </c>
      <c r="L493" s="14" t="str">
        <f>IF(OR(A493="",E493=""),"",IF(E493&lt;=0,"אזל",IF(E493&lt;=N(F493),"להזמין","תקין")))</f>
        <v/>
      </c>
    </row>
    <row r="494">
      <c r="A494" s="8" t="n"/>
      <c r="B494" s="9" t="n"/>
      <c r="C494" s="8" t="n"/>
      <c r="D494" s="8" t="n"/>
      <c r="E494" s="15" t="n"/>
      <c r="F494" s="15" t="n"/>
      <c r="G494" s="11" t="str">
        <f>IF(OR(E494="",F494=""),"",IF(E494&lt;=F494,F494*2-E494,0))</f>
        <v/>
      </c>
      <c r="H494" s="16" t="n"/>
      <c r="I494" s="16" t="n"/>
      <c r="J494" s="13" t="str">
        <f>IF(OR(E494="",H494=""),"",E494*H494)</f>
        <v/>
      </c>
      <c r="K494" s="13" t="str">
        <f>IF(OR(E494="",I494=""),"",E494*I494)</f>
        <v/>
      </c>
      <c r="L494" s="14" t="str">
        <f>IF(OR(A494="",E494=""),"",IF(E494&lt;=0,"אזל",IF(E494&lt;=N(F494),"להזמין","תקין")))</f>
        <v/>
      </c>
    </row>
    <row r="495">
      <c r="A495" s="8" t="n"/>
      <c r="B495" s="9" t="n"/>
      <c r="C495" s="8" t="n"/>
      <c r="D495" s="8" t="n"/>
      <c r="E495" s="15" t="n"/>
      <c r="F495" s="15" t="n"/>
      <c r="G495" s="11" t="str">
        <f>IF(OR(E495="",F495=""),"",IF(E495&lt;=F495,F495*2-E495,0))</f>
        <v/>
      </c>
      <c r="H495" s="16" t="n"/>
      <c r="I495" s="16" t="n"/>
      <c r="J495" s="13" t="str">
        <f>IF(OR(E495="",H495=""),"",E495*H495)</f>
        <v/>
      </c>
      <c r="K495" s="13" t="str">
        <f>IF(OR(E495="",I495=""),"",E495*I495)</f>
        <v/>
      </c>
      <c r="L495" s="14" t="str">
        <f>IF(OR(A495="",E495=""),"",IF(E495&lt;=0,"אזל",IF(E495&lt;=N(F495),"להזמין","תקין")))</f>
        <v/>
      </c>
    </row>
    <row r="496">
      <c r="A496" s="8" t="n"/>
      <c r="B496" s="9" t="n"/>
      <c r="C496" s="8" t="n"/>
      <c r="D496" s="8" t="n"/>
      <c r="E496" s="15" t="n"/>
      <c r="F496" s="15" t="n"/>
      <c r="G496" s="11" t="str">
        <f>IF(OR(E496="",F496=""),"",IF(E496&lt;=F496,F496*2-E496,0))</f>
        <v/>
      </c>
      <c r="H496" s="16" t="n"/>
      <c r="I496" s="16" t="n"/>
      <c r="J496" s="13" t="str">
        <f>IF(OR(E496="",H496=""),"",E496*H496)</f>
        <v/>
      </c>
      <c r="K496" s="13" t="str">
        <f>IF(OR(E496="",I496=""),"",E496*I496)</f>
        <v/>
      </c>
      <c r="L496" s="14" t="str">
        <f>IF(OR(A496="",E496=""),"",IF(E496&lt;=0,"אזל",IF(E496&lt;=N(F496),"להזמין","תקין")))</f>
        <v/>
      </c>
    </row>
    <row r="497">
      <c r="A497" s="8" t="n"/>
      <c r="B497" s="9" t="n"/>
      <c r="C497" s="8" t="n"/>
      <c r="D497" s="8" t="n"/>
      <c r="E497" s="15" t="n"/>
      <c r="F497" s="15" t="n"/>
      <c r="G497" s="11" t="str">
        <f>IF(OR(E497="",F497=""),"",IF(E497&lt;=F497,F497*2-E497,0))</f>
        <v/>
      </c>
      <c r="H497" s="16" t="n"/>
      <c r="I497" s="16" t="n"/>
      <c r="J497" s="13" t="str">
        <f>IF(OR(E497="",H497=""),"",E497*H497)</f>
        <v/>
      </c>
      <c r="K497" s="13" t="str">
        <f>IF(OR(E497="",I497=""),"",E497*I497)</f>
        <v/>
      </c>
      <c r="L497" s="14" t="str">
        <f>IF(OR(A497="",E497=""),"",IF(E497&lt;=0,"אזל",IF(E497&lt;=N(F497),"להזמין","תקין")))</f>
        <v/>
      </c>
    </row>
    <row r="498">
      <c r="A498" s="8" t="n"/>
      <c r="B498" s="9" t="n"/>
      <c r="C498" s="8" t="n"/>
      <c r="D498" s="8" t="n"/>
      <c r="E498" s="15" t="n"/>
      <c r="F498" s="15" t="n"/>
      <c r="G498" s="11" t="str">
        <f>IF(OR(E498="",F498=""),"",IF(E498&lt;=F498,F498*2-E498,0))</f>
        <v/>
      </c>
      <c r="H498" s="16" t="n"/>
      <c r="I498" s="16" t="n"/>
      <c r="J498" s="13" t="str">
        <f>IF(OR(E498="",H498=""),"",E498*H498)</f>
        <v/>
      </c>
      <c r="K498" s="13" t="str">
        <f>IF(OR(E498="",I498=""),"",E498*I498)</f>
        <v/>
      </c>
      <c r="L498" s="14" t="str">
        <f>IF(OR(A498="",E498=""),"",IF(E498&lt;=0,"אזל",IF(E498&lt;=N(F498),"להזמין","תקין")))</f>
        <v/>
      </c>
    </row>
    <row r="499">
      <c r="A499" s="8" t="n"/>
      <c r="B499" s="9" t="n"/>
      <c r="C499" s="8" t="n"/>
      <c r="D499" s="8" t="n"/>
      <c r="E499" s="15" t="n"/>
      <c r="F499" s="15" t="n"/>
      <c r="G499" s="11" t="str">
        <f>IF(OR(E499="",F499=""),"",IF(E499&lt;=F499,F499*2-E499,0))</f>
        <v/>
      </c>
      <c r="H499" s="16" t="n"/>
      <c r="I499" s="16" t="n"/>
      <c r="J499" s="13" t="str">
        <f>IF(OR(E499="",H499=""),"",E499*H499)</f>
        <v/>
      </c>
      <c r="K499" s="13" t="str">
        <f>IF(OR(E499="",I499=""),"",E499*I499)</f>
        <v/>
      </c>
      <c r="L499" s="14" t="str">
        <f>IF(OR(A499="",E499=""),"",IF(E499&lt;=0,"אזל",IF(E499&lt;=N(F499),"להזמין","תקין")))</f>
        <v/>
      </c>
    </row>
    <row r="500">
      <c r="A500" s="8" t="n"/>
      <c r="B500" s="9" t="n"/>
      <c r="C500" s="8" t="n"/>
      <c r="D500" s="8" t="n"/>
      <c r="E500" s="15" t="n"/>
      <c r="F500" s="15" t="n"/>
      <c r="G500" s="11" t="str">
        <f>IF(OR(E500="",F500=""),"",IF(E500&lt;=F500,F500*2-E500,0))</f>
        <v/>
      </c>
      <c r="H500" s="16" t="n"/>
      <c r="I500" s="16" t="n"/>
      <c r="J500" s="13" t="str">
        <f>IF(OR(E500="",H500=""),"",E500*H500)</f>
        <v/>
      </c>
      <c r="K500" s="13" t="str">
        <f>IF(OR(E500="",I500=""),"",E500*I500)</f>
        <v/>
      </c>
      <c r="L500" s="14" t="str">
        <f>IF(OR(A500="",E500=""),"",IF(E500&lt;=0,"אזל",IF(E500&lt;=N(F500),"להזמין","תקין")))</f>
        <v/>
      </c>
    </row>
    <row r="501">
      <c r="A501" s="8" t="n"/>
      <c r="B501" s="9" t="n"/>
      <c r="C501" s="8" t="n"/>
      <c r="D501" s="8" t="n"/>
      <c r="E501" s="15" t="n"/>
      <c r="F501" s="15" t="n"/>
      <c r="G501" s="11" t="str">
        <f>IF(OR(E501="",F501=""),"",IF(E501&lt;=F501,F501*2-E501,0))</f>
        <v/>
      </c>
      <c r="H501" s="16" t="n"/>
      <c r="I501" s="16" t="n"/>
      <c r="J501" s="13" t="str">
        <f>IF(OR(E501="",H501=""),"",E501*H501)</f>
        <v/>
      </c>
      <c r="K501" s="13" t="str">
        <f>IF(OR(E501="",I501=""),"",E501*I501)</f>
        <v/>
      </c>
      <c r="L501" s="14" t="str">
        <f>IF(OR(A501="",E501=""),"",IF(E501&lt;=0,"אזל",IF(E501&lt;=N(F501),"להזמין","תקין")))</f>
        <v/>
      </c>
    </row>
    <row r="502">
      <c r="A502" s="8" t="n"/>
      <c r="B502" s="9" t="n"/>
      <c r="C502" s="8" t="n"/>
      <c r="D502" s="8" t="n"/>
      <c r="E502" s="15" t="n"/>
      <c r="F502" s="15" t="n"/>
      <c r="G502" s="11" t="str">
        <f>IF(OR(E502="",F502=""),"",IF(E502&lt;=F502,F502*2-E502,0))</f>
        <v/>
      </c>
      <c r="H502" s="16" t="n"/>
      <c r="I502" s="16" t="n"/>
      <c r="J502" s="13" t="str">
        <f>IF(OR(E502="",H502=""),"",E502*H502)</f>
        <v/>
      </c>
      <c r="K502" s="13" t="str">
        <f>IF(OR(E502="",I502=""),"",E502*I502)</f>
        <v/>
      </c>
      <c r="L502" s="14" t="str">
        <f>IF(OR(A502="",E502=""),"",IF(E502&lt;=0,"אזל",IF(E502&lt;=N(F502),"להזמין","תקין")))</f>
        <v/>
      </c>
    </row>
    <row r="503">
      <c r="A503" s="8" t="n"/>
      <c r="B503" s="9" t="n"/>
      <c r="C503" s="8" t="n"/>
      <c r="D503" s="8" t="n"/>
      <c r="E503" s="15" t="n"/>
      <c r="F503" s="15" t="n"/>
      <c r="G503" s="11" t="str">
        <f>IF(OR(E503="",F503=""),"",IF(E503&lt;=F503,F503*2-E503,0))</f>
        <v/>
      </c>
      <c r="H503" s="16" t="n"/>
      <c r="I503" s="16" t="n"/>
      <c r="J503" s="13" t="str">
        <f>IF(OR(E503="",H503=""),"",E503*H503)</f>
        <v/>
      </c>
      <c r="K503" s="13" t="str">
        <f>IF(OR(E503="",I503=""),"",E503*I503)</f>
        <v/>
      </c>
      <c r="L503" s="14" t="str">
        <f>IF(OR(A503="",E503=""),"",IF(E503&lt;=0,"אזל",IF(E503&lt;=N(F503),"להזמין","תקין")))</f>
        <v/>
      </c>
    </row>
    <row r="504">
      <c r="A504" s="8" t="n"/>
      <c r="B504" s="9" t="n"/>
      <c r="C504" s="8" t="n"/>
      <c r="D504" s="8" t="n"/>
      <c r="E504" s="15" t="n"/>
      <c r="F504" s="15" t="n"/>
      <c r="G504" s="11" t="str">
        <f>IF(OR(E504="",F504=""),"",IF(E504&lt;=F504,F504*2-E504,0))</f>
        <v/>
      </c>
      <c r="H504" s="16" t="n"/>
      <c r="I504" s="16" t="n"/>
      <c r="J504" s="13" t="str">
        <f>IF(OR(E504="",H504=""),"",E504*H504)</f>
        <v/>
      </c>
      <c r="K504" s="13" t="str">
        <f>IF(OR(E504="",I504=""),"",E504*I504)</f>
        <v/>
      </c>
      <c r="L504" s="14" t="str">
        <f>IF(OR(A504="",E504=""),"",IF(E504&lt;=0,"אזל",IF(E504&lt;=N(F504),"להזמין","תקין")))</f>
        <v/>
      </c>
    </row>
    <row r="505">
      <c r="A505" s="8" t="n"/>
      <c r="B505" s="9" t="n"/>
      <c r="C505" s="8" t="n"/>
      <c r="D505" s="8" t="n"/>
      <c r="E505" s="15" t="n"/>
      <c r="F505" s="15" t="n"/>
      <c r="G505" s="11" t="str">
        <f>IF(OR(E505="",F505=""),"",IF(E505&lt;=F505,F505*2-E505,0))</f>
        <v/>
      </c>
      <c r="H505" s="16" t="n"/>
      <c r="I505" s="16" t="n"/>
      <c r="J505" s="13" t="str">
        <f>IF(OR(E505="",H505=""),"",E505*H505)</f>
        <v/>
      </c>
      <c r="K505" s="13" t="str">
        <f>IF(OR(E505="",I505=""),"",E505*I505)</f>
        <v/>
      </c>
      <c r="L505" s="14" t="str">
        <f>IF(OR(A505="",E505=""),"",IF(E505&lt;=0,"אזל",IF(E505&lt;=N(F505),"להזמין","תקין")))</f>
        <v/>
      </c>
    </row>
    <row r="506">
      <c r="A506" s="8" t="n"/>
      <c r="B506" s="9" t="n"/>
      <c r="C506" s="8" t="n"/>
      <c r="D506" s="8" t="n"/>
      <c r="E506" s="15" t="n"/>
      <c r="F506" s="15" t="n"/>
      <c r="G506" s="11" t="str">
        <f>IF(OR(E506="",F506=""),"",IF(E506&lt;=F506,F506*2-E506,0))</f>
        <v/>
      </c>
      <c r="H506" s="16" t="n"/>
      <c r="I506" s="16" t="n"/>
      <c r="J506" s="13" t="str">
        <f>IF(OR(E506="",H506=""),"",E506*H506)</f>
        <v/>
      </c>
      <c r="K506" s="13" t="str">
        <f>IF(OR(E506="",I506=""),"",E506*I506)</f>
        <v/>
      </c>
      <c r="L506" s="14" t="str">
        <f>IF(OR(A506="",E506=""),"",IF(E506&lt;=0,"אזל",IF(E506&lt;=N(F506),"להזמין","תקין")))</f>
        <v/>
      </c>
    </row>
    <row r="507">
      <c r="A507" s="8" t="n"/>
      <c r="B507" s="9" t="n"/>
      <c r="C507" s="8" t="n"/>
      <c r="D507" s="8" t="n"/>
      <c r="E507" s="15" t="n"/>
      <c r="F507" s="15" t="n"/>
      <c r="G507" s="11" t="str">
        <f>IF(OR(E507="",F507=""),"",IF(E507&lt;=F507,F507*2-E507,0))</f>
        <v/>
      </c>
      <c r="H507" s="16" t="n"/>
      <c r="I507" s="16" t="n"/>
      <c r="J507" s="13" t="str">
        <f>IF(OR(E507="",H507=""),"",E507*H507)</f>
        <v/>
      </c>
      <c r="K507" s="13" t="str">
        <f>IF(OR(E507="",I507=""),"",E507*I507)</f>
        <v/>
      </c>
      <c r="L507" s="14" t="str">
        <f>IF(OR(A507="",E507=""),"",IF(E507&lt;=0,"אזל",IF(E507&lt;=N(F507),"להזמין","תקין")))</f>
        <v/>
      </c>
    </row>
    <row r="508">
      <c r="A508" s="8" t="n"/>
      <c r="B508" s="9" t="n"/>
      <c r="C508" s="8" t="n"/>
      <c r="D508" s="8" t="n"/>
      <c r="E508" s="15" t="n"/>
      <c r="F508" s="15" t="n"/>
      <c r="G508" s="11" t="str">
        <f>IF(OR(E508="",F508=""),"",IF(E508&lt;=F508,F508*2-E508,0))</f>
        <v/>
      </c>
      <c r="H508" s="16" t="n"/>
      <c r="I508" s="16" t="n"/>
      <c r="J508" s="13" t="str">
        <f>IF(OR(E508="",H508=""),"",E508*H508)</f>
        <v/>
      </c>
      <c r="K508" s="13" t="str">
        <f>IF(OR(E508="",I508=""),"",E508*I508)</f>
        <v/>
      </c>
      <c r="L508" s="14" t="str">
        <f>IF(OR(A508="",E508=""),"",IF(E508&lt;=0,"אזל",IF(E508&lt;=N(F508),"להזמין","תקין")))</f>
        <v/>
      </c>
    </row>
    <row r="509">
      <c r="A509" s="8" t="n"/>
      <c r="B509" s="9" t="n"/>
      <c r="C509" s="8" t="n"/>
      <c r="D509" s="8" t="n"/>
      <c r="E509" s="15" t="n"/>
      <c r="F509" s="15" t="n"/>
      <c r="G509" s="11" t="str">
        <f>IF(OR(E509="",F509=""),"",IF(E509&lt;=F509,F509*2-E509,0))</f>
        <v/>
      </c>
      <c r="H509" s="16" t="n"/>
      <c r="I509" s="16" t="n"/>
      <c r="J509" s="13" t="str">
        <f>IF(OR(E509="",H509=""),"",E509*H509)</f>
        <v/>
      </c>
      <c r="K509" s="13" t="str">
        <f>IF(OR(E509="",I509=""),"",E509*I509)</f>
        <v/>
      </c>
      <c r="L509" s="14" t="str">
        <f>IF(OR(A509="",E509=""),"",IF(E509&lt;=0,"אזל",IF(E509&lt;=N(F509),"להזמין","תקין")))</f>
        <v/>
      </c>
    </row>
  </sheetData>
  <autoFilter ref="A9:L509"/>
  <mergeCells count="2">
    <mergeCell ref="A2:L2"/>
    <mergeCell ref="A1:L1"/>
  </mergeCells>
  <conditionalFormatting sqref="B7">
    <cfRule type="expression" priority="1" dxfId="0">
      <formula>B7&gt;0</formula>
    </cfRule>
  </conditionalFormatting>
  <conditionalFormatting sqref="L10:L509">
    <cfRule type="expression" priority="2" dxfId="1">
      <formula>L10="אזל"</formula>
    </cfRule>
    <cfRule type="expression" priority="3" dxfId="2">
      <formula>L10="להזמין"</formula>
    </cfRule>
    <cfRule type="expression" priority="4" dxfId="3">
      <formula>L10="תקין"</formula>
    </cfRule>
  </conditionalFormatting>
  <dataValidations count="1">
    <dataValidation sqref="E10:I509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2026-10-13T06:01:54Z</dcterms:created>
  <dcterms:modified xmlns:dcterms="http://purl.org/dc/terms/" xmlns:xsi="http://www.w3.org/2001/XMLSchema-instance" xsi:type="dcterms:W3CDTF">2026-10-13T06:01:55Z</dcterms:modified>
</cp:coreProperties>
</file>