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עקב מלאי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<sst xmlns="http://schemas.openxmlformats.org/spreadsheetml/2006/main" count="24" uniqueCount="24">
  <si>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מעקב מלאי</t>
  </si>
  <si>
    <t xml:space="preserve">מלאו את התאים הצהובים (כמות במלאי, נקודת הזמנה מחדש, עלות ליחידה) — שווי המלאי והסטטוס מתעדכנים אוטומטית.</t>
  </si>
  <si>
    <t xml:space="preserve">פריט</t>
  </si>
  <si>
    <t xml:space="preserve">מק"ט</t>
  </si>
  <si>
    <t xml:space="preserve">כמות במלאי</t>
  </si>
  <si>
    <t xml:space="preserve">נקודת הזמנה מחדש</t>
  </si>
  <si>
    <t xml:space="preserve">עלות ליחידה (₪)</t>
  </si>
  <si>
    <t xml:space="preserve">שווי מלאי (₪)</t>
  </si>
  <si>
    <t xml:space="preserve">סטטוס</t>
  </si>
  <si>
    <t xml:space="preserve">חולצת כותנה לבנה</t>
  </si>
  <si>
    <t xml:space="preserve">SKU-1001</t>
  </si>
  <si>
    <t xml:space="preserve">חולצת כותנה שחורה</t>
  </si>
  <si>
    <t xml:space="preserve">SKU-1002</t>
  </si>
  <si>
    <t xml:space="preserve">מכנסי ג'ינס כחולים</t>
  </si>
  <si>
    <t xml:space="preserve">SKU-1003</t>
  </si>
  <si>
    <t xml:space="preserve">נעלי ספורט לבנות</t>
  </si>
  <si>
    <t xml:space="preserve">SKU-1004</t>
  </si>
  <si>
    <t xml:space="preserve">כובע מצחייה</t>
  </si>
  <si>
    <t xml:space="preserve">SKU-1005</t>
  </si>
  <si>
    <t xml:space="preserve">תיק גב שחור</t>
  </si>
  <si>
    <t xml:space="preserve">SKU-1006</t>
  </si>
  <si>
    <t xml:space="preserve">סיכום</t>
  </si>
  <si>
    <t xml:space="preserve">שווי מלאי כולל</t>
  </si>
  <si>
    <t xml:space="preserve">פריטים שדורשים הזמנה מחדש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</si>
</sst>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₪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22222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1F5C4E"/>
      <name val="Arial"/>
      <family val="0"/>
      <charset val="1"/>
    </font>
    <font>
      <b val="true"/>
      <sz val="11"/>
      <color rgb="FF22222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s">
        <v>10</v>
      </c>
      <c r="C5" s="5" t="n">
        <v>42</v>
      </c>
      <c r="D5" s="5" t="n">
        <v>15</v>
      </c>
      <c r="E5" s="6" t="n">
        <v>35</v>
      </c>
      <c r="F5" s="7" t="n">
        <f aca="false">C5*E5</f>
        <v>1470</v>
      </c>
      <c r="G5" s="4" t="str">
        <f aca="false">IF(C5&lt;=D5,"להזמין מחדש","תקין")</f>
        <v>תקין</v>
      </c>
    </row>
    <row r="6" customFormat="false" ht="15" hidden="false" customHeight="false" outlineLevel="0" collapsed="false">
      <c r="A6" s="4" t="s">
        <v>11</v>
      </c>
      <c r="B6" s="4" t="s">
        <v>12</v>
      </c>
      <c r="C6" s="5" t="n">
        <v>8</v>
      </c>
      <c r="D6" s="5" t="n">
        <v>15</v>
      </c>
      <c r="E6" s="6" t="n">
        <v>35</v>
      </c>
      <c r="F6" s="7" t="n">
        <f aca="false">C6*E6</f>
        <v>280</v>
      </c>
      <c r="G6" s="4" t="str">
        <f aca="false">IF(C6&lt;=D6,"להזמין מחדש","תקין")</f>
        <v>להזמין מחדש</v>
      </c>
    </row>
    <row r="7" customFormat="false" ht="15" hidden="false" customHeight="false" outlineLevel="0" collapsed="false">
      <c r="A7" s="4" t="s">
        <v>13</v>
      </c>
      <c r="B7" s="4" t="s">
        <v>14</v>
      </c>
      <c r="C7" s="5" t="n">
        <v>25</v>
      </c>
      <c r="D7" s="5" t="n">
        <v>10</v>
      </c>
      <c r="E7" s="6" t="n">
        <v>90</v>
      </c>
      <c r="F7" s="7" t="n">
        <f aca="false">C7*E7</f>
        <v>2250</v>
      </c>
      <c r="G7" s="4" t="str">
        <f aca="false">IF(C7&lt;=D7,"להזמין מחדש","תקין")</f>
        <v>תקין</v>
      </c>
    </row>
    <row r="8" customFormat="false" ht="15" hidden="false" customHeight="false" outlineLevel="0" collapsed="false">
      <c r="A8" s="4" t="s">
        <v>15</v>
      </c>
      <c r="B8" s="4" t="s">
        <v>16</v>
      </c>
      <c r="C8" s="5" t="n">
        <v>5</v>
      </c>
      <c r="D8" s="5" t="n">
        <v>8</v>
      </c>
      <c r="E8" s="6" t="n">
        <v>140</v>
      </c>
      <c r="F8" s="7" t="n">
        <f aca="false">C8*E8</f>
        <v>700</v>
      </c>
      <c r="G8" s="4" t="str">
        <f aca="false">IF(C8&lt;=D8,"להזמין מחדש","תקין")</f>
        <v>להזמין מחדש</v>
      </c>
    </row>
    <row r="9" customFormat="false" ht="15" hidden="false" customHeight="false" outlineLevel="0" collapsed="false">
      <c r="A9" s="4" t="s">
        <v>17</v>
      </c>
      <c r="B9" s="4" t="s">
        <v>18</v>
      </c>
      <c r="C9" s="5" t="n">
        <v>60</v>
      </c>
      <c r="D9" s="5" t="n">
        <v>20</v>
      </c>
      <c r="E9" s="6" t="n">
        <v>25</v>
      </c>
      <c r="F9" s="7" t="n">
        <f aca="false">C9*E9</f>
        <v>1500</v>
      </c>
      <c r="G9" s="4" t="str">
        <f aca="false">IF(C9&lt;=D9,"להזמין מחדש","תקין")</f>
        <v>תקין</v>
      </c>
    </row>
    <row r="10" customFormat="false" ht="15" hidden="false" customHeight="false" outlineLevel="0" collapsed="false">
      <c r="A10" s="4" t="s">
        <v>19</v>
      </c>
      <c r="B10" s="4" t="s">
        <v>20</v>
      </c>
      <c r="C10" s="5" t="n">
        <v>3</v>
      </c>
      <c r="D10" s="5" t="n">
        <v>5</v>
      </c>
      <c r="E10" s="6" t="n">
        <v>180</v>
      </c>
      <c r="F10" s="7" t="n">
        <f aca="false">C10*E10</f>
        <v>540</v>
      </c>
      <c r="G10" s="4" t="str">
        <f aca="false">IF(C10&lt;=D10,"להזמין מחדש","תקין")</f>
        <v>להזמין מחדש</v>
      </c>
    </row>
    <row r="12" customFormat="false" ht="16.15" hidden="false" customHeight="false" outlineLevel="0" collapsed="false">
      <c r="A12" s="8" t="s">
        <v>21</v>
      </c>
    </row>
    <row r="13" customFormat="false" ht="15" hidden="false" customHeight="false" outlineLevel="0" collapsed="false">
      <c r="A13" s="9" t="s">
        <v>22</v>
      </c>
      <c r="B13" s="10"/>
      <c r="C13" s="10"/>
      <c r="D13" s="10"/>
      <c r="E13" s="10"/>
      <c r="F13" s="11" t="n">
        <f aca="false">SUM(F5:F10)</f>
        <v>6740</v>
      </c>
      <c r="G13" s="10"/>
    </row>
    <row r="14" customFormat="false" ht="15" hidden="false" customHeight="false" outlineLevel="0" collapsed="false">
      <c r="A14" s="12" t="s">
        <v>23</v>
      </c>
      <c r="C14" s="12" t="n">
        <f aca="false">COUNTIF(G5:G10,"להזמין מחדש")</f>
        <v>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2026-09-14T13:00:15Z</dcterms:created>
  <dc:creator>openpyxl</dc:creator>
  <dc:description/>
  <dc:language>en-US</dc:language>
  <cp:lastModifiedBy/>
  <dcterms:modified xsi:type="dcterms:W3CDTF">2026-09-14T13:00:15Z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