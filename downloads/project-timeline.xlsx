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לוח זמנים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<sst xmlns="http://schemas.openxmlformats.org/spreadsheetml/2006/main" count="23" uniqueCount="21">
  <si>
    <t xml:space="preserve">לוח זמנים לפרויקט</t>
  </si>
  <si>
    <t xml:space="preserve">מלאו את התאים הצהובים (אחראי, תאריכים, אחוז השלמה) — משך המשימה והסטטוס מתעדכנים אוטומטית.</t>
  </si>
  <si>
    <t xml:space="preserve">משימה</t>
  </si>
  <si>
    <t xml:space="preserve">אחראי</t>
  </si>
  <si>
    <t xml:space="preserve">תאריך התחלה</t>
  </si>
  <si>
    <t xml:space="preserve">תאריך סיום</t>
  </si>
  <si>
    <t xml:space="preserve">משך (ימים)</t>
  </si>
  <si>
    <t xml:space="preserve">% השלמה</t>
  </si>
  <si>
    <t xml:space="preserve">סטטוס</t>
  </si>
  <si>
    <t xml:space="preserve">איסוף דרישות</t>
  </si>
  <si>
    <t xml:space="preserve">דנה</t>
  </si>
  <si>
    <t xml:space="preserve">עיצוב ראשוני</t>
  </si>
  <si>
    <t xml:space="preserve">יוסי</t>
  </si>
  <si>
    <t xml:space="preserve">פיתוח שלב א'</t>
  </si>
  <si>
    <t xml:space="preserve">בדיקות</t>
  </si>
  <si>
    <t xml:space="preserve">רותם</t>
  </si>
  <si>
    <t xml:space="preserve">השקה</t>
  </si>
  <si>
    <t xml:space="preserve">סיכום</t>
  </si>
  <si>
    <t xml:space="preserve">משך כולל לפרויקט (ימים)</t>
  </si>
  <si>
    <t xml:space="preserve">אחוז השלמה ממוצע</t>
  </si>
  <si>
    <t xml:space="preserve">משימות באיחור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</si>
</sst>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0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222222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color rgb="FF1F5C4E"/>
      <name val="Arial"/>
      <family val="0"/>
      <charset val="1"/>
    </font>
    <font>
      <b val="true"/>
      <sz val="11"/>
      <color rgb="FF22222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5C4E"/>
        <bgColor rgb="FF008080"/>
      </patternFill>
    </fill>
    <fill>
      <patternFill patternType="solid">
        <fgColor rgb="FFFFF9C4"/>
        <bgColor rgb="FFFFFF99"/>
      </patternFill>
    </fill>
    <fill>
      <patternFill patternType="solid">
        <fgColor rgb="FFC99A3B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C4E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9A3B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2.6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5" t="s">
        <v>10</v>
      </c>
      <c r="C5" s="6" t="n">
        <v>46266</v>
      </c>
      <c r="D5" s="6" t="n">
        <v>46271</v>
      </c>
      <c r="E5" s="7" t="n">
        <f aca="false">D5-C5</f>
        <v>5</v>
      </c>
      <c r="F5" s="8" t="n">
        <v>1</v>
      </c>
      <c r="G5" s="4" t="str">
        <f aca="true">IF(F5&gt;=1,"הושלם",IF(TODAY()&gt;D5,"באיחור","בתהליך"))</f>
        <v>הושלם</v>
      </c>
    </row>
    <row r="6" customFormat="false" ht="15" hidden="false" customHeight="false" outlineLevel="0" collapsed="false">
      <c r="A6" s="4" t="s">
        <v>11</v>
      </c>
      <c r="B6" s="5" t="s">
        <v>12</v>
      </c>
      <c r="C6" s="6" t="n">
        <v>46271</v>
      </c>
      <c r="D6" s="6" t="n">
        <v>46278</v>
      </c>
      <c r="E6" s="7" t="n">
        <f aca="false">D6-C6</f>
        <v>7</v>
      </c>
      <c r="F6" s="8" t="n">
        <v>1</v>
      </c>
      <c r="G6" s="4" t="str">
        <f aca="true">IF(F6&gt;=1,"הושלם",IF(TODAY()&gt;D6,"באיחור","בתהליך"))</f>
        <v>הושלם</v>
      </c>
    </row>
    <row r="7" customFormat="false" ht="15" hidden="false" customHeight="false" outlineLevel="0" collapsed="false">
      <c r="A7" s="4" t="s">
        <v>13</v>
      </c>
      <c r="B7" s="5" t="s">
        <v>10</v>
      </c>
      <c r="C7" s="6" t="n">
        <v>46278</v>
      </c>
      <c r="D7" s="6" t="n">
        <v>46292</v>
      </c>
      <c r="E7" s="7" t="n">
        <f aca="false">D7-C7</f>
        <v>14</v>
      </c>
      <c r="F7" s="8" t="n">
        <v>0.6</v>
      </c>
      <c r="G7" s="4" t="str">
        <f aca="true">IF(F7&gt;=1,"הושלם",IF(TODAY()&gt;D7,"באיחור","בתהליך"))</f>
        <v>בתהליך</v>
      </c>
    </row>
    <row r="8" customFormat="false" ht="15" hidden="false" customHeight="false" outlineLevel="0" collapsed="false">
      <c r="A8" s="4" t="s">
        <v>14</v>
      </c>
      <c r="B8" s="5" t="s">
        <v>15</v>
      </c>
      <c r="C8" s="6" t="n">
        <v>46292</v>
      </c>
      <c r="D8" s="6" t="n">
        <v>46299</v>
      </c>
      <c r="E8" s="7" t="n">
        <f aca="false">D8-C8</f>
        <v>7</v>
      </c>
      <c r="F8" s="8" t="n">
        <v>0</v>
      </c>
      <c r="G8" s="4" t="str">
        <f aca="true">IF(F8&gt;=1,"הושלם",IF(TODAY()&gt;D8,"באיחור","בתהליך"))</f>
        <v>בתהליך</v>
      </c>
    </row>
    <row r="9" customFormat="false" ht="15" hidden="false" customHeight="false" outlineLevel="0" collapsed="false">
      <c r="A9" s="4" t="s">
        <v>16</v>
      </c>
      <c r="B9" s="5" t="s">
        <v>12</v>
      </c>
      <c r="C9" s="6" t="n">
        <v>46299</v>
      </c>
      <c r="D9" s="6" t="n">
        <v>46301</v>
      </c>
      <c r="E9" s="7" t="n">
        <f aca="false">D9-C9</f>
        <v>2</v>
      </c>
      <c r="F9" s="8" t="n">
        <v>0</v>
      </c>
      <c r="G9" s="4" t="str">
        <f aca="true">IF(F9&gt;=1,"הושלם",IF(TODAY()&gt;D9,"באיחור","בתהליך"))</f>
        <v>בתהליך</v>
      </c>
    </row>
    <row r="11" customFormat="false" ht="16.15" hidden="false" customHeight="false" outlineLevel="0" collapsed="false">
      <c r="A11" s="9" t="s">
        <v>17</v>
      </c>
    </row>
    <row r="12" customFormat="false" ht="15" hidden="false" customHeight="false" outlineLevel="0" collapsed="false">
      <c r="A12" s="10" t="s">
        <v>18</v>
      </c>
      <c r="B12" s="11"/>
      <c r="C12" s="11"/>
      <c r="D12" s="11"/>
      <c r="E12" s="12" t="n">
        <f aca="false">MAX(D5:D9)-MIN(C5:C9)</f>
        <v>35</v>
      </c>
      <c r="F12" s="11"/>
      <c r="G12" s="11"/>
    </row>
    <row r="13" customFormat="false" ht="15" hidden="false" customHeight="false" outlineLevel="0" collapsed="false">
      <c r="A13" s="13" t="s">
        <v>19</v>
      </c>
      <c r="F13" s="14" t="n">
        <f aca="false">AVERAGE(F5:F9)</f>
        <v>0.52</v>
      </c>
    </row>
    <row r="14" customFormat="false" ht="15" hidden="false" customHeight="false" outlineLevel="0" collapsed="false">
      <c r="A14" s="13" t="s">
        <v>20</v>
      </c>
      <c r="G14" s="13" t="n">
        <f aca="false">COUNTIF(G5:G9,"באיחור")</f>
        <v>0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2026-09-14T13:00:37Z</dcterms:created>
  <dc:creator>openpyxl</dc:creator>
  <dc:description/>
  <dc:language>en-US</dc:language>
  <cp:lastModifiedBy/>
  <dcterms:modified xsi:type="dcterms:W3CDTF">2026-09-14T13:00:37Z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