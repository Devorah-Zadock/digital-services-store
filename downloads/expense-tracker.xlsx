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עקב הוצאות עסק" sheetId="1" state="visible" r:id="rId1"/>
  </sheets>
  <definedNames>
    <definedName name="_xlnm.Print_Area" localSheetId="0">'מעקב הוצאות עסק'!$A$1:$F$24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₪&quot;"/>
  </numFmts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color rgb="00666666"/>
      <sz val="10"/>
    </font>
    <font>
      <b val="1"/>
      <color rgb="00FFFFFF"/>
      <sz val="11"/>
    </font>
    <font>
      <color rgb="000000FF"/>
      <sz val="11"/>
    </font>
    <font>
      <b val="1"/>
      <color rgb="001F5C4E"/>
      <sz val="12"/>
    </font>
    <font>
      <b val="1"/>
      <color rgb="00222222"/>
      <sz val="11"/>
    </font>
    <font>
      <b val="1"/>
      <color rgb="00C99A3B"/>
      <sz val="13"/>
    </font>
  </fonts>
  <fills count="4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0">
      <alignment horizontal="center"/>
    </xf>
    <xf numFmtId="0" fontId="7" fillId="0" borderId="0" pivotButton="0" quotePrefix="0" xfId="0"/>
    <xf numFmtId="164" fontId="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22" customWidth="1" min="4" max="4"/>
    <col width="14" customWidth="1" min="5" max="5"/>
    <col width="12" customWidth="1" min="6" max="6"/>
  </cols>
  <sheetData>
    <row r="1" ht="32" customHeight="1">
      <c r="A1" s="1" t="inlineStr">
        <is>
          <t>מעקב הוצאות עסק</t>
        </is>
      </c>
    </row>
    <row r="2" hidden="1" ht="20" customHeight="1">
      <c r="A2" s="2" t="inlineStr">
        <is>
          <t>מלאו את השורות (התאים הצהובים) — הסיכומים למטה מתעדכנים אוטומטית</t>
        </is>
      </c>
    </row>
    <row r="4" ht="22" customHeight="1">
      <c r="A4" s="3" t="inlineStr">
        <is>
          <t>תאריך</t>
        </is>
      </c>
      <c r="B4" s="3" t="inlineStr">
        <is>
          <t>קטגוריה</t>
        </is>
      </c>
      <c r="C4" s="3" t="inlineStr">
        <is>
          <t>ספק</t>
        </is>
      </c>
      <c r="D4" s="3" t="inlineStr">
        <is>
          <t>תיאור</t>
        </is>
      </c>
      <c r="E4" s="3" t="inlineStr">
        <is>
          <t>סכום (₪)</t>
        </is>
      </c>
      <c r="F4" s="3" t="inlineStr">
        <is>
          <t>שולם?</t>
        </is>
      </c>
    </row>
    <row r="5">
      <c r="A5" s="4" t="inlineStr">
        <is>
          <t>01.09</t>
        </is>
      </c>
      <c r="B5" s="4" t="inlineStr">
        <is>
          <t>שכירות</t>
        </is>
      </c>
      <c r="C5" s="4" t="inlineStr">
        <is>
          <t>בעל הנכס</t>
        </is>
      </c>
      <c r="D5" s="5" t="inlineStr">
        <is>
          <t>שכירות משרד חודשית</t>
        </is>
      </c>
      <c r="E5" s="6" t="n">
        <v>3200</v>
      </c>
      <c r="F5" s="4" t="inlineStr">
        <is>
          <t>כן</t>
        </is>
      </c>
    </row>
    <row r="6">
      <c r="A6" s="4" t="inlineStr">
        <is>
          <t>03.09</t>
        </is>
      </c>
      <c r="B6" s="4" t="inlineStr">
        <is>
          <t>ציוד</t>
        </is>
      </c>
      <c r="C6" s="4" t="inlineStr">
        <is>
          <t>אופיס דיפו</t>
        </is>
      </c>
      <c r="D6" s="5" t="inlineStr">
        <is>
          <t>נייר וטונר למדפסת</t>
        </is>
      </c>
      <c r="E6" s="6" t="n">
        <v>340</v>
      </c>
      <c r="F6" s="4" t="inlineStr">
        <is>
          <t>כן</t>
        </is>
      </c>
    </row>
    <row r="7">
      <c r="A7" s="4" t="inlineStr">
        <is>
          <t>05.09</t>
        </is>
      </c>
      <c r="B7" s="4" t="inlineStr">
        <is>
          <t>שיווק</t>
        </is>
      </c>
      <c r="C7" s="4" t="inlineStr">
        <is>
          <t>פייסבוק</t>
        </is>
      </c>
      <c r="D7" s="5" t="inlineStr">
        <is>
          <t>קמפיין פרסום חודשי</t>
        </is>
      </c>
      <c r="E7" s="6" t="n">
        <v>600</v>
      </c>
      <c r="F7" s="4" t="inlineStr">
        <is>
          <t>כן</t>
        </is>
      </c>
    </row>
    <row r="8">
      <c r="A8" s="4" t="inlineStr">
        <is>
          <t>08.09</t>
        </is>
      </c>
      <c r="B8" s="4" t="inlineStr">
        <is>
          <t>תוכנה</t>
        </is>
      </c>
      <c r="C8" s="4" t="inlineStr">
        <is>
          <t>Adobe</t>
        </is>
      </c>
      <c r="D8" s="5" t="inlineStr">
        <is>
          <t>מנוי חודשי לתוכנות עיצוב</t>
        </is>
      </c>
      <c r="E8" s="6" t="n">
        <v>180</v>
      </c>
      <c r="F8" s="4" t="inlineStr">
        <is>
          <t>כן</t>
        </is>
      </c>
    </row>
    <row r="9">
      <c r="A9" s="4" t="inlineStr">
        <is>
          <t>10.09</t>
        </is>
      </c>
      <c r="B9" s="4" t="inlineStr">
        <is>
          <t>הובלות</t>
        </is>
      </c>
      <c r="C9" s="4" t="inlineStr">
        <is>
          <t>שליח עד</t>
        </is>
      </c>
      <c r="D9" s="5" t="inlineStr">
        <is>
          <t>משלוחים ללקוחות</t>
        </is>
      </c>
      <c r="E9" s="6" t="n">
        <v>260</v>
      </c>
      <c r="F9" s="4" t="inlineStr">
        <is>
          <t>לא</t>
        </is>
      </c>
    </row>
    <row r="10">
      <c r="A10" s="4" t="inlineStr">
        <is>
          <t>14.09</t>
        </is>
      </c>
      <c r="B10" s="4" t="inlineStr">
        <is>
          <t>ציוד</t>
        </is>
      </c>
      <c r="C10" s="4" t="inlineStr">
        <is>
          <t>איקאה</t>
        </is>
      </c>
      <c r="D10" s="5" t="inlineStr">
        <is>
          <t>ריהוט למשרד</t>
        </is>
      </c>
      <c r="E10" s="6" t="n">
        <v>890</v>
      </c>
      <c r="F10" s="4" t="inlineStr">
        <is>
          <t>כן</t>
        </is>
      </c>
    </row>
    <row r="11">
      <c r="A11" s="4" t="inlineStr">
        <is>
          <t>18.09</t>
        </is>
      </c>
      <c r="B11" s="4" t="inlineStr">
        <is>
          <t>שיווק</t>
        </is>
      </c>
      <c r="C11" s="4" t="inlineStr">
        <is>
          <t>מדפיס מקומי</t>
        </is>
      </c>
      <c r="D11" s="5" t="inlineStr">
        <is>
          <t>כרטיסי ביקור ופלייארים</t>
        </is>
      </c>
      <c r="E11" s="6" t="n">
        <v>420</v>
      </c>
      <c r="F11" s="4" t="inlineStr">
        <is>
          <t>לא</t>
        </is>
      </c>
    </row>
    <row r="12">
      <c r="A12" s="4" t="inlineStr">
        <is>
          <t>22.09</t>
        </is>
      </c>
      <c r="B12" s="4" t="inlineStr">
        <is>
          <t>תוכנה</t>
        </is>
      </c>
      <c r="C12" s="4" t="inlineStr">
        <is>
          <t>Google Workspace</t>
        </is>
      </c>
      <c r="D12" s="5" t="inlineStr">
        <is>
          <t>מנוי דואר וענן</t>
        </is>
      </c>
      <c r="E12" s="6" t="n">
        <v>95</v>
      </c>
      <c r="F12" s="4" t="inlineStr">
        <is>
          <t>כן</t>
        </is>
      </c>
    </row>
    <row r="13">
      <c r="A13" s="4" t="inlineStr">
        <is>
          <t>25.09</t>
        </is>
      </c>
      <c r="B13" s="4" t="inlineStr">
        <is>
          <t>אחר</t>
        </is>
      </c>
      <c r="C13" s="4" t="inlineStr">
        <is>
          <t>רואה חשבון</t>
        </is>
      </c>
      <c r="D13" s="5" t="inlineStr">
        <is>
          <t>ליווי חודשי</t>
        </is>
      </c>
      <c r="E13" s="6" t="n">
        <v>750</v>
      </c>
      <c r="F13" s="4" t="inlineStr">
        <is>
          <t>כן</t>
        </is>
      </c>
    </row>
    <row r="14">
      <c r="A14" s="4" t="inlineStr">
        <is>
          <t>28.09</t>
        </is>
      </c>
      <c r="B14" s="4" t="inlineStr">
        <is>
          <t>הובלות</t>
        </is>
      </c>
      <c r="C14" s="4" t="inlineStr">
        <is>
          <t>דלק</t>
        </is>
      </c>
      <c r="D14" s="5" t="inlineStr">
        <is>
          <t>נסיעות ללקוחות</t>
        </is>
      </c>
      <c r="E14" s="6" t="n">
        <v>310</v>
      </c>
      <c r="F14" s="4" t="inlineStr">
        <is>
          <t>כן</t>
        </is>
      </c>
    </row>
    <row r="15">
      <c r="A15" s="4" t="n"/>
      <c r="B15" s="4" t="n"/>
      <c r="C15" s="4" t="n"/>
      <c r="D15" s="5" t="n"/>
      <c r="E15" s="6" t="n"/>
      <c r="F15" s="4" t="n"/>
    </row>
    <row r="16">
      <c r="A16" s="4" t="n"/>
      <c r="B16" s="4" t="n"/>
      <c r="C16" s="4" t="n"/>
      <c r="D16" s="5" t="n"/>
      <c r="E16" s="6" t="n"/>
      <c r="F16" s="4" t="n"/>
    </row>
    <row r="17">
      <c r="A17" s="7" t="inlineStr">
        <is>
          <t>סיכום</t>
        </is>
      </c>
    </row>
    <row r="18">
      <c r="A18" s="8" t="inlineStr">
        <is>
          <t>סה"כ שכירות</t>
        </is>
      </c>
      <c r="E18" s="9">
        <f>SUMIF(B5:B16,"שכירות",E5:E16)</f>
        <v/>
      </c>
    </row>
    <row r="19">
      <c r="A19" s="8" t="inlineStr">
        <is>
          <t>סה"כ ציוד</t>
        </is>
      </c>
      <c r="E19" s="9">
        <f>SUMIF(B5:B16,"ציוד",E5:E16)</f>
        <v/>
      </c>
    </row>
    <row r="20">
      <c r="A20" s="8" t="inlineStr">
        <is>
          <t>סה"כ שיווק</t>
        </is>
      </c>
      <c r="E20" s="9">
        <f>SUMIF(B5:B16,"שיווק",E5:E16)</f>
        <v/>
      </c>
    </row>
    <row r="21">
      <c r="A21" s="8" t="inlineStr">
        <is>
          <t>סה"כ תוכנה</t>
        </is>
      </c>
      <c r="E21" s="9">
        <f>SUMIF(B5:B16,"תוכנה",E5:E16)</f>
        <v/>
      </c>
    </row>
    <row r="22">
      <c r="A22" s="8" t="inlineStr">
        <is>
          <t>סה"כ הובלות</t>
        </is>
      </c>
      <c r="E22" s="9">
        <f>SUMIF(B5:B16,"הובלות",E5:E16)</f>
        <v/>
      </c>
    </row>
    <row r="23">
      <c r="A23" s="8" t="inlineStr">
        <is>
          <t>סה"כ אחר</t>
        </is>
      </c>
      <c r="E23" s="9">
        <f>SUMIF(B5:B16,"אחר",E5:E16)</f>
        <v/>
      </c>
    </row>
    <row r="24">
      <c r="A24" s="10" t="inlineStr">
        <is>
          <t>סה"כ הוצאות</t>
        </is>
      </c>
      <c r="E24" s="11">
        <f>SUM(E5:E16)</f>
        <v/>
      </c>
    </row>
  </sheetData>
  <mergeCells count="2">
    <mergeCell ref="A2:F2"/>
    <mergeCell ref="A1:F1"/>
  </mergeCell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2026-09-06T17:54:31Z</dcterms:created>
  <dcterms:modified xmlns:dcterms="http://purl.org/dc/terms/" xmlns:xsi="http://www.w3.org/2001/XMLSchema-instance" xsi:type="dcterms:W3CDTF">2026-09-07T21:05:34Z</dcterms:modified>
</cp:coreProperties>
</file>