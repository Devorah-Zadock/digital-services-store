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nits &amp; sales" sheetId="1" state="visible" r:id="rId1"/>
    <sheet xmlns:r="http://schemas.openxmlformats.org/officeDocument/2006/relationships" name="Buyer payments" sheetId="2" state="visible" r:id="rId2"/>
    <sheet xmlns:r="http://schemas.openxmlformats.org/officeDocument/2006/relationships" name="Lists" sheetId="3" state="visible" r:id="rId3"/>
  </sheets>
  <definedNames>
    <definedName name="AptStatus">'Lists'!$A$5:$A$14</definedName>
    <definedName name="PayStages">'Lists'!$B$5:$B$19</definedName>
  </definedNames>
  <calcPr calcId="124519" fullCalcOnLoad="1"/>
</workbook>
</file>

<file path=xl/styles.xml><?xml version="1.0" encoding="utf-8"?>
<styleSheet xmlns="http://schemas.openxmlformats.org/spreadsheetml/2006/main">
  <numFmts count="4">
    <numFmt numFmtId="164" formatCode="#,##0;[Red]-#,##0"/>
    <numFmt numFmtId="165" formatCode="#,##0.0"/>
    <numFmt numFmtId="166" formatCode="yyyy-mm-dd"/>
    <numFmt numFmtId="167" formatCode="dd/mm/yyyy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8"/>
    </font>
    <font>
      <name val="Arial"/>
      <color rgb="00666666"/>
      <sz val="10"/>
    </font>
    <font>
      <name val="Arial"/>
      <b val="1"/>
      <color rgb="00FFFFFF"/>
      <sz val="11"/>
    </font>
    <font>
      <name val="Arial"/>
      <color rgb="000000CC"/>
      <sz val="11"/>
    </font>
    <font>
      <name val="Arial"/>
      <b val="1"/>
      <color rgb="00222222"/>
      <sz val="11"/>
    </font>
    <font>
      <name val="Arial"/>
      <b val="1"/>
      <color rgb="00222222"/>
      <sz val="12"/>
    </font>
    <font>
      <name val="Arial"/>
      <color rgb="00222222"/>
      <sz val="11"/>
    </font>
  </fonts>
  <fills count="5">
    <fill>
      <patternFill/>
    </fill>
    <fill>
      <patternFill patternType="gray125"/>
    </fill>
    <fill>
      <patternFill patternType="solid">
        <fgColor rgb="001F5C4E"/>
      </patternFill>
    </fill>
    <fill>
      <patternFill patternType="solid">
        <fgColor rgb="00FFF9C4"/>
      </patternFill>
    </fill>
    <fill>
      <patternFill patternType="solid">
        <fgColor rgb="00E8F1EE"/>
      </patternFill>
    </fill>
  </fills>
  <borders count="6">
    <border>
      <left/>
      <right/>
      <top/>
      <bottom/>
      <diagonal/>
    </border>
    <border>
      <left style="thin">
        <color rgb="00D9DED9"/>
      </left>
      <right style="thin">
        <color rgb="00D9DED9"/>
      </right>
      <top style="thin">
        <color rgb="00D9DED9"/>
      </top>
      <bottom style="thin">
        <color rgb="00D9DED9"/>
      </bottom>
    </border>
    <border>
      <left/>
      <right/>
      <top style="thin">
        <color rgb="00D9DED9"/>
      </top>
      <bottom/>
      <diagonal/>
    </border>
    <border>
      <left/>
      <right style="thin">
        <color rgb="00D9DED9"/>
      </right>
      <top style="thin">
        <color rgb="00D9DED9"/>
      </top>
      <bottom/>
      <diagonal/>
    </border>
    <border>
      <left/>
      <right/>
      <top style="thin">
        <color rgb="00D9DED9"/>
      </top>
      <bottom style="thin">
        <color rgb="00D9DED9"/>
      </bottom>
      <diagonal/>
    </border>
    <border>
      <left/>
      <right style="thin">
        <color rgb="00D9DED9"/>
      </right>
      <top style="thin">
        <color rgb="00D9DED9"/>
      </top>
      <bottom style="thin">
        <color rgb="00D9DED9"/>
      </bottom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left" vertical="center" readingOrder="1"/>
    </xf>
    <xf numFmtId="0" fontId="0" fillId="2" borderId="0" pivotButton="0" quotePrefix="0" xfId="0"/>
    <xf numFmtId="0" fontId="2" fillId="0" borderId="0" applyAlignment="1" pivotButton="0" quotePrefix="0" xfId="0">
      <alignment horizontal="left" vertical="center" wrapText="1" readingOrder="1"/>
    </xf>
    <xf numFmtId="0" fontId="5" fillId="0" borderId="1" applyAlignment="1" pivotButton="0" quotePrefix="0" xfId="0">
      <alignment horizontal="left" vertical="center" readingOrder="1"/>
    </xf>
    <xf numFmtId="0" fontId="4" fillId="3" borderId="1" applyAlignment="1" pivotButton="0" quotePrefix="0" xfId="0">
      <alignment horizontal="left" vertical="center" readingOrder="1"/>
    </xf>
    <xf numFmtId="0" fontId="0" fillId="0" borderId="4" pivotButton="0" quotePrefix="0" xfId="0"/>
    <xf numFmtId="0" fontId="0" fillId="0" borderId="5" pivotButton="0" quotePrefix="0" xfId="0"/>
    <xf numFmtId="0" fontId="5" fillId="4" borderId="1" applyAlignment="1" pivotButton="0" quotePrefix="0" xfId="0">
      <alignment horizontal="left" vertical="center" readingOrder="1"/>
    </xf>
    <xf numFmtId="3" fontId="6" fillId="4" borderId="1" applyAlignment="1" pivotButton="0" quotePrefix="0" xfId="0">
      <alignment vertical="center" readingOrder="1"/>
    </xf>
    <xf numFmtId="164" fontId="6" fillId="4" borderId="1" applyAlignment="1" pivotButton="0" quotePrefix="0" xfId="0">
      <alignment vertical="center" readingOrder="1"/>
    </xf>
    <xf numFmtId="9" fontId="6" fillId="4" borderId="1" applyAlignment="1" pivotButton="0" quotePrefix="0" xfId="0">
      <alignment vertical="center" readingOrder="1"/>
    </xf>
    <xf numFmtId="0" fontId="3" fillId="2" borderId="1" applyAlignment="1" pivotButton="0" quotePrefix="0" xfId="0">
      <alignment horizontal="center" vertical="center" wrapText="1" readingOrder="1"/>
    </xf>
    <xf numFmtId="3" fontId="4" fillId="3" borderId="1" applyAlignment="1" pivotButton="0" quotePrefix="0" xfId="0">
      <alignment horizontal="center" vertical="center" readingOrder="1"/>
    </xf>
    <xf numFmtId="0" fontId="4" fillId="3" borderId="1" applyAlignment="1" pivotButton="0" quotePrefix="0" xfId="0">
      <alignment horizontal="center" vertical="center" readingOrder="1"/>
    </xf>
    <xf numFmtId="165" fontId="4" fillId="3" borderId="1" applyAlignment="1" pivotButton="0" quotePrefix="0" xfId="0">
      <alignment horizontal="center" vertical="center" readingOrder="1"/>
    </xf>
    <xf numFmtId="3" fontId="4" fillId="3" borderId="1" applyAlignment="1" pivotButton="0" quotePrefix="0" xfId="0">
      <alignment vertical="center" readingOrder="1"/>
    </xf>
    <xf numFmtId="164" fontId="4" fillId="3" borderId="1" applyAlignment="1" pivotButton="0" quotePrefix="0" xfId="0">
      <alignment vertical="center" readingOrder="1"/>
    </xf>
    <xf numFmtId="164" fontId="7" fillId="0" borderId="1" applyAlignment="1" pivotButton="0" quotePrefix="0" xfId="0">
      <alignment vertical="center" readingOrder="1"/>
    </xf>
    <xf numFmtId="9" fontId="7" fillId="0" borderId="1" applyAlignment="1" pivotButton="0" quotePrefix="0" xfId="0">
      <alignment horizontal="center" vertical="center" readingOrder="1"/>
    </xf>
    <xf numFmtId="167" fontId="4" fillId="3" borderId="1" applyAlignment="1" pivotButton="0" quotePrefix="0" xfId="0">
      <alignment horizontal="center" vertical="center" readingOrder="1"/>
    </xf>
    <xf numFmtId="164" fontId="4" fillId="3" borderId="1" applyAlignment="1" pivotButton="0" quotePrefix="0" xfId="0">
      <alignment horizontal="left" vertical="center" readingOrder="1"/>
    </xf>
    <xf numFmtId="3" fontId="4" fillId="3" borderId="1" applyAlignment="1" pivotButton="0" quotePrefix="0" xfId="0">
      <alignment horizontal="left" vertical="center" readingOrder="1"/>
    </xf>
    <xf numFmtId="0" fontId="7" fillId="0" borderId="1" applyAlignment="1" pivotButton="0" quotePrefix="0" xfId="0">
      <alignment vertical="center" readingOrder="1"/>
    </xf>
    <xf numFmtId="0" fontId="7" fillId="0" borderId="1" applyAlignment="1" pivotButton="0" quotePrefix="0" xfId="0">
      <alignment horizontal="center" vertical="center" readingOrder="1"/>
    </xf>
  </cellXfs>
  <cellStyles count="1">
    <cellStyle name="Normal" xfId="0" builtinId="0" hidden="0"/>
  </cellStyles>
  <dxfs count="6">
    <dxf>
      <font>
        <b val="1"/>
        <color rgb="001E6B3A"/>
      </font>
      <fill>
        <patternFill patternType="solid">
          <fgColor rgb="00DCF2E3"/>
          <bgColor rgb="00DCF2E3"/>
        </patternFill>
      </fill>
    </dxf>
    <dxf>
      <font>
        <b val="1"/>
        <color rgb="008A5A00"/>
      </font>
      <fill>
        <patternFill patternType="solid">
          <fgColor rgb="00FFF1D6"/>
          <bgColor rgb="00FFF1D6"/>
        </patternFill>
      </fill>
    </dxf>
    <dxf>
      <font>
        <b val="1"/>
        <color rgb="001F4E8C"/>
      </font>
      <fill>
        <patternFill patternType="solid">
          <fgColor rgb="00DCE8F5"/>
          <bgColor rgb="00DCE8F5"/>
        </patternFill>
      </fill>
    </dxf>
    <dxf>
      <font>
        <b val="1"/>
        <color rgb="00444444"/>
      </font>
      <fill>
        <patternFill patternType="solid">
          <fgColor rgb="00ECECEC"/>
          <bgColor rgb="00ECECEC"/>
        </patternFill>
      </fill>
    </dxf>
    <dxf>
      <font>
        <color rgb="00B42318"/>
      </font>
      <fill>
        <patternFill patternType="solid">
          <fgColor rgb="00FDE2E1"/>
          <bgColor rgb="00FDE2E1"/>
        </patternFill>
      </fill>
    </dxf>
    <dxf>
      <font>
        <b val="1"/>
        <color rgb="00B42318"/>
      </font>
      <fill>
        <patternFill patternType="solid">
          <fgColor rgb="00FDE2E1"/>
          <bgColor rgb="00FDE2E1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Q311"/>
  <sheetViews>
    <sheetView showGridLines="0" rightToLeft="0" zoomScale="100" workbookViewId="0">
      <pane xSplit="3" ySplit="11" topLeftCell="D1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9" customWidth="1" min="2" max="2"/>
    <col width="10" customWidth="1" min="3" max="3"/>
    <col width="8" customWidth="1" min="4" max="4"/>
    <col width="10" customWidth="1" min="5" max="5"/>
    <col width="10" customWidth="1" min="6" max="6"/>
    <col width="15" customWidth="1" min="7" max="7"/>
    <col width="15" customWidth="1" min="8" max="8"/>
    <col width="20" customWidth="1" min="9" max="9"/>
    <col width="14" customWidth="1" min="10" max="10"/>
    <col width="15" customWidth="1" min="11" max="11"/>
    <col width="14" customWidth="1" min="12" max="12"/>
    <col width="14" customWidth="1" min="13" max="13"/>
    <col width="15" customWidth="1" min="14" max="14"/>
    <col width="11" customWidth="1" min="15" max="15"/>
    <col width="13" customWidth="1" min="16" max="16"/>
    <col width="24" customWidth="1" min="17" max="17"/>
  </cols>
  <sheetData>
    <row r="1" ht="34" customHeight="1">
      <c r="A1" s="1" t="inlineStr">
        <is>
          <t>Unit inventory &amp; sales — development project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  <c r="Q1" s="2" t="n"/>
    </row>
    <row r="2" ht="30" customHeight="1">
      <c r="A2" s="3" t="inlineStr">
        <is>
          <t>One row per unit: details, list price, status and buyer. Once signed, enter the final price and log payments on the 'Buyer payments' sheet — paid and balance update here by themselves.</t>
        </is>
      </c>
    </row>
    <row r="4">
      <c r="A4" s="4" t="inlineStr">
        <is>
          <t>Project</t>
        </is>
      </c>
      <c r="B4" s="5" t="inlineStr">
        <is>
          <t>Vine Towers</t>
        </is>
      </c>
      <c r="C4" s="6" t="n"/>
      <c r="D4" s="7" t="n"/>
    </row>
    <row r="5">
      <c r="A5" s="8" t="inlineStr">
        <is>
          <t>Units</t>
        </is>
      </c>
      <c r="C5" s="9">
        <f>COUNTA($C$12:$C$311)</f>
        <v>6</v>
      </c>
      <c r="E5" s="8" t="inlineStr">
        <is>
          <t>Sales value (signed)</t>
        </is>
      </c>
      <c r="G5" s="10">
        <f>SUMPRODUCT((($H$12:$H$311="Contract signed")+($H$12:$H$311="Handed over"))*($G$12:$G$311))</f>
        <v>8540000</v>
      </c>
    </row>
    <row r="6">
      <c r="A6" s="8" t="inlineStr">
        <is>
          <t>Sold (signed / handed over)</t>
        </is>
      </c>
      <c r="C6" s="9">
        <f>COUNTIF($H$12:$H$311,"Contract signed")+COUNTIF($H$12:$H$311,"Handed over")</f>
        <v>3</v>
      </c>
      <c r="E6" s="8" t="inlineStr">
        <is>
          <t>Collected from buyers</t>
        </is>
      </c>
      <c r="G6" s="10">
        <f>SUM($K$12:$K$311)</f>
        <v>4828000</v>
      </c>
    </row>
    <row r="7">
      <c r="A7" s="8" t="inlineStr">
        <is>
          <t>Reserved</t>
        </is>
      </c>
      <c r="C7" s="9">
        <f>COUNTIF($H$12:$H$311,"Reserved")</f>
        <v>1</v>
      </c>
      <c r="E7" s="8" t="inlineStr">
        <is>
          <t>Left to collect</t>
        </is>
      </c>
      <c r="G7" s="10">
        <f>G5-G6</f>
        <v>3712000</v>
      </c>
    </row>
    <row r="8">
      <c r="A8" s="8" t="inlineStr">
        <is>
          <t>Available</t>
        </is>
      </c>
      <c r="C8" s="9">
        <f>COUNTIF($H$12:$H$311,"Available")</f>
        <v>2</v>
      </c>
      <c r="E8" s="8" t="inlineStr">
        <is>
          <t>Unsold stock at list price</t>
        </is>
      </c>
      <c r="G8" s="10">
        <f>SUMPRODUCT(($H$12:$H$311&lt;&gt;"Contract signed")*($H$12:$H$311&lt;&gt;"Handed over")*($C$12:$C$311&lt;&gt;"")*($F$12:$F$311))</f>
        <v>6760000</v>
      </c>
    </row>
    <row r="9">
      <c r="A9" s="8" t="inlineStr">
        <is>
          <t>Sold %</t>
        </is>
      </c>
      <c r="C9" s="11">
        <f>IFERROR(C6/C5,0)</f>
        <v>0.5</v>
      </c>
      <c r="E9" s="8" t="inlineStr">
        <is>
          <t>Avg price per m² (sold)</t>
        </is>
      </c>
      <c r="G9" s="10">
        <f>IFERROR(SUMPRODUCT((($H$12:$H$311="Contract signed")+($H$12:$H$311="Handed over"))*($G$12:$G$311))/SUMPRODUCT((($H$12:$H$311="Contract signed")+($H$12:$H$311="Handed over"))*($E$12:$E$311)),0)</f>
        <v>22895.4423592493</v>
      </c>
    </row>
    <row r="11" ht="32" customHeight="1">
      <c r="A11" s="12" t="inlineStr">
        <is>
          <t>Building</t>
        </is>
      </c>
      <c r="B11" s="12" t="inlineStr">
        <is>
          <t>Floor</t>
        </is>
      </c>
      <c r="C11" s="12" t="inlineStr">
        <is>
          <t>Unit no.</t>
        </is>
      </c>
      <c r="D11" s="12" t="inlineStr">
        <is>
          <t>Rooms</t>
        </is>
      </c>
      <c r="E11" s="12" t="inlineStr">
        <is>
          <t>Area (m²)</t>
        </is>
      </c>
      <c r="F11" s="12" t="inlineStr">
        <is>
          <t>List price</t>
        </is>
      </c>
      <c r="G11" s="12" t="inlineStr">
        <is>
          <t>Final price</t>
        </is>
      </c>
      <c r="H11" s="12" t="inlineStr">
        <is>
          <t>Status</t>
        </is>
      </c>
      <c r="I11" s="12" t="inlineStr">
        <is>
          <t>Buyer</t>
        </is>
      </c>
      <c r="J11" s="12" t="inlineStr">
        <is>
          <t>Phone</t>
        </is>
      </c>
      <c r="K11" s="12" t="inlineStr">
        <is>
          <t>Paid</t>
        </is>
      </c>
      <c r="L11" s="12" t="inlineStr">
        <is>
          <t>Balance</t>
        </is>
      </c>
      <c r="M11" s="12" t="inlineStr">
        <is>
          <t>% paid</t>
        </is>
      </c>
      <c r="N11" s="12" t="inlineStr">
        <is>
          <t>Price per m²</t>
        </is>
      </c>
      <c r="O11" s="12" t="inlineStr">
        <is>
          <t>Contract date</t>
        </is>
      </c>
      <c r="P11" s="12" t="inlineStr">
        <is>
          <t>Parking / storage</t>
        </is>
      </c>
      <c r="Q11" s="12" t="inlineStr">
        <is>
          <t>Notes</t>
        </is>
      </c>
    </row>
    <row r="12">
      <c r="A12" s="5" t="inlineStr">
        <is>
          <t>Building A</t>
        </is>
      </c>
      <c r="B12" s="13" t="n">
        <v>1</v>
      </c>
      <c r="C12" s="14" t="inlineStr">
        <is>
          <t>A-1</t>
        </is>
      </c>
      <c r="D12" s="15" t="n">
        <v>4</v>
      </c>
      <c r="E12" s="16" t="n">
        <v>105</v>
      </c>
      <c r="F12" s="17" t="n">
        <v>2350000</v>
      </c>
      <c r="G12" s="17" t="n">
        <v>2290000</v>
      </c>
      <c r="H12" s="5" t="inlineStr">
        <is>
          <t>Contract signed</t>
        </is>
      </c>
      <c r="I12" s="5" t="inlineStr">
        <is>
          <t>Cohen family</t>
        </is>
      </c>
      <c r="J12" s="14" t="inlineStr">
        <is>
          <t>050-0000000</t>
        </is>
      </c>
      <c r="K12" s="18">
        <f>IF(C12="","",SUMIF('Buyer payments'!$A$8:$A$507,C12,'Buyer payments'!$F$8:$F$507))</f>
        <v>858000</v>
      </c>
      <c r="L12" s="18">
        <f>IF(OR(C12="",AND(H12&lt;&gt;"Contract signed",H12&lt;&gt;"Handed over")),"",IF(G12="",F12,G12)-N(K12))</f>
        <v>1432000</v>
      </c>
      <c r="M12" s="19">
        <f>IF(L12="","",IFERROR(N(K12)/IF(G12="",F12,G12),0))</f>
        <v>0.374672489082969</v>
      </c>
      <c r="N12" s="18">
        <f>IF(OR(C12="",N(E12)=0),"",IF(G12="",F12,G12)/E12)</f>
        <v>21809.5238095238</v>
      </c>
      <c r="O12" s="20" t="n">
        <v>46109</v>
      </c>
      <c r="P12" s="5" t="inlineStr">
        <is>
          <t>Parking 12, storage 3</t>
        </is>
      </c>
      <c r="Q12" s="5" t="n"/>
    </row>
    <row r="13">
      <c r="A13" s="5" t="inlineStr">
        <is>
          <t>Building A</t>
        </is>
      </c>
      <c r="B13" s="13" t="n">
        <v>1</v>
      </c>
      <c r="C13" s="14" t="inlineStr">
        <is>
          <t>A-2</t>
        </is>
      </c>
      <c r="D13" s="15" t="n">
        <v>3</v>
      </c>
      <c r="E13" s="16" t="n">
        <v>85</v>
      </c>
      <c r="F13" s="17" t="n">
        <v>1950000</v>
      </c>
      <c r="G13" s="21" t="n"/>
      <c r="H13" s="5" t="inlineStr">
        <is>
          <t>Reserved</t>
        </is>
      </c>
      <c r="I13" s="5" t="inlineStr">
        <is>
          <t>Dana Levi</t>
        </is>
      </c>
      <c r="J13" s="14" t="inlineStr">
        <is>
          <t>052-0000000</t>
        </is>
      </c>
      <c r="K13" s="18">
        <f>IF(C13="","",SUMIF('Buyer payments'!$A$8:$A$507,C13,'Buyer payments'!$F$8:$F$507))</f>
        <v>0</v>
      </c>
      <c r="L13" s="18" t="str">
        <f>IF(OR(C13="",AND(H13&lt;&gt;"Contract signed",H13&lt;&gt;"Handed over")),"",IF(G13="",F13,G13)-N(K13))</f>
        <v/>
      </c>
      <c r="M13" s="19" t="str">
        <f>IF(L13="","",IFERROR(N(K13)/IF(G13="",F13,G13),0))</f>
        <v/>
      </c>
      <c r="N13" s="18">
        <f>IF(OR(C13="",N(E13)=0),"",IF(G13="",F13,G13)/E13)</f>
        <v>22941.1764705882</v>
      </c>
      <c r="O13" s="20" t="n"/>
      <c r="P13" s="5" t="n"/>
      <c r="Q13" s="5" t="n"/>
    </row>
    <row r="14">
      <c r="A14" s="5" t="inlineStr">
        <is>
          <t>Building A</t>
        </is>
      </c>
      <c r="B14" s="13" t="n">
        <v>2</v>
      </c>
      <c r="C14" s="14" t="inlineStr">
        <is>
          <t>A-3</t>
        </is>
      </c>
      <c r="D14" s="15" t="n">
        <v>5</v>
      </c>
      <c r="E14" s="16" t="n">
        <v>128</v>
      </c>
      <c r="F14" s="17" t="n">
        <v>2890000</v>
      </c>
      <c r="G14" s="17" t="n">
        <v>2850000</v>
      </c>
      <c r="H14" s="5" t="inlineStr">
        <is>
          <t>Contract signed</t>
        </is>
      </c>
      <c r="I14" s="5" t="inlineStr">
        <is>
          <t>Yossi &amp; Michal Avraham</t>
        </is>
      </c>
      <c r="J14" s="14" t="inlineStr">
        <is>
          <t>054-0000000</t>
        </is>
      </c>
      <c r="K14" s="18">
        <f>IF(C14="","",SUMIF('Buyer payments'!$A$8:$A$507,C14,'Buyer payments'!$F$8:$F$507))</f>
        <v>570000</v>
      </c>
      <c r="L14" s="18">
        <f>IF(OR(C14="",AND(H14&lt;&gt;"Contract signed",H14&lt;&gt;"Handed over")),"",IF(G14="",F14,G14)-N(K14))</f>
        <v>2280000</v>
      </c>
      <c r="M14" s="19">
        <f>IF(L14="","",IFERROR(N(K14)/IF(G14="",F14,G14),0))</f>
        <v>0.2</v>
      </c>
      <c r="N14" s="18">
        <f>IF(OR(C14="",N(E14)=0),"",IF(G14="",F14,G14)/E14)</f>
        <v>22265.625</v>
      </c>
      <c r="O14" s="20" t="n">
        <v>46189</v>
      </c>
      <c r="P14" s="5" t="inlineStr">
        <is>
          <t>2 parking spaces</t>
        </is>
      </c>
      <c r="Q14" s="5" t="n"/>
    </row>
    <row r="15">
      <c r="A15" s="5" t="inlineStr">
        <is>
          <t>Building A</t>
        </is>
      </c>
      <c r="B15" s="13" t="n">
        <v>2</v>
      </c>
      <c r="C15" s="14" t="inlineStr">
        <is>
          <t>A-4</t>
        </is>
      </c>
      <c r="D15" s="15" t="n">
        <v>4</v>
      </c>
      <c r="E15" s="16" t="n">
        <v>104</v>
      </c>
      <c r="F15" s="17" t="n">
        <v>2390000</v>
      </c>
      <c r="G15" s="21" t="n"/>
      <c r="H15" s="5" t="inlineStr">
        <is>
          <t>Available</t>
        </is>
      </c>
      <c r="I15" s="5" t="n"/>
      <c r="J15" s="14" t="n"/>
      <c r="K15" s="18">
        <f>IF(C15="","",SUMIF('Buyer payments'!$A$8:$A$507,C15,'Buyer payments'!$F$8:$F$507))</f>
        <v>0</v>
      </c>
      <c r="L15" s="18" t="str">
        <f>IF(OR(C15="",AND(H15&lt;&gt;"Contract signed",H15&lt;&gt;"Handed over")),"",IF(G15="",F15,G15)-N(K15))</f>
        <v/>
      </c>
      <c r="M15" s="19" t="str">
        <f>IF(L15="","",IFERROR(N(K15)/IF(G15="",F15,G15),0))</f>
        <v/>
      </c>
      <c r="N15" s="18">
        <f>IF(OR(C15="",N(E15)=0),"",IF(G15="",F15,G15)/E15)</f>
        <v>22980.7692307692</v>
      </c>
      <c r="O15" s="20" t="n"/>
      <c r="P15" s="5" t="n"/>
      <c r="Q15" s="5" t="n"/>
    </row>
    <row r="16">
      <c r="A16" s="5" t="inlineStr">
        <is>
          <t>Building A</t>
        </is>
      </c>
      <c r="B16" s="13" t="n">
        <v>3</v>
      </c>
      <c r="C16" s="14" t="inlineStr">
        <is>
          <t>A-5</t>
        </is>
      </c>
      <c r="D16" s="15" t="n">
        <v>4</v>
      </c>
      <c r="E16" s="16" t="n">
        <v>104</v>
      </c>
      <c r="F16" s="17" t="n">
        <v>2420000</v>
      </c>
      <c r="G16" s="21" t="n"/>
      <c r="H16" s="5" t="inlineStr">
        <is>
          <t>Available</t>
        </is>
      </c>
      <c r="I16" s="5" t="n"/>
      <c r="J16" s="14" t="n"/>
      <c r="K16" s="18">
        <f>IF(C16="","",SUMIF('Buyer payments'!$A$8:$A$507,C16,'Buyer payments'!$F$8:$F$507))</f>
        <v>0</v>
      </c>
      <c r="L16" s="18" t="str">
        <f>IF(OR(C16="",AND(H16&lt;&gt;"Contract signed",H16&lt;&gt;"Handed over")),"",IF(G16="",F16,G16)-N(K16))</f>
        <v/>
      </c>
      <c r="M16" s="19" t="str">
        <f>IF(L16="","",IFERROR(N(K16)/IF(G16="",F16,G16),0))</f>
        <v/>
      </c>
      <c r="N16" s="18">
        <f>IF(OR(C16="",N(E16)=0),"",IF(G16="",F16,G16)/E16)</f>
        <v>23269.2307692308</v>
      </c>
      <c r="O16" s="20" t="n"/>
      <c r="P16" s="5" t="n"/>
      <c r="Q16" s="5" t="n"/>
    </row>
    <row r="17">
      <c r="A17" s="5" t="inlineStr">
        <is>
          <t>Building A</t>
        </is>
      </c>
      <c r="B17" s="13" t="n">
        <v>4</v>
      </c>
      <c r="C17" s="14" t="inlineStr">
        <is>
          <t>A-6</t>
        </is>
      </c>
      <c r="D17" s="15" t="n">
        <v>5</v>
      </c>
      <c r="E17" s="16" t="n">
        <v>140</v>
      </c>
      <c r="F17" s="17" t="n">
        <v>3450000</v>
      </c>
      <c r="G17" s="17" t="n">
        <v>3400000</v>
      </c>
      <c r="H17" s="5" t="inlineStr">
        <is>
          <t>Handed over</t>
        </is>
      </c>
      <c r="I17" s="5" t="inlineStr">
        <is>
          <t>Ron Golan</t>
        </is>
      </c>
      <c r="J17" s="14" t="inlineStr">
        <is>
          <t>053-0000000</t>
        </is>
      </c>
      <c r="K17" s="18">
        <f>IF(C17="","",SUMIF('Buyer payments'!$A$8:$A$507,C17,'Buyer payments'!$F$8:$F$507))</f>
        <v>3400000</v>
      </c>
      <c r="L17" s="18">
        <f>IF(OR(C17="",AND(H17&lt;&gt;"Contract signed",H17&lt;&gt;"Handed over")),"",IF(G17="",F17,G17)-N(K17))</f>
        <v>0</v>
      </c>
      <c r="M17" s="19">
        <f>IF(L17="","",IFERROR(N(K17)/IF(G17="",F17,G17),0))</f>
        <v>1</v>
      </c>
      <c r="N17" s="18">
        <f>IF(OR(C17="",N(E17)=0),"",IF(G17="",F17,G17)/E17)</f>
        <v>24285.7142857143</v>
      </c>
      <c r="O17" s="20" t="n">
        <v>45609</v>
      </c>
      <c r="P17" s="5" t="inlineStr">
        <is>
          <t>Parking 1</t>
        </is>
      </c>
      <c r="Q17" s="5" t="n"/>
    </row>
    <row r="18">
      <c r="A18" s="5" t="n"/>
      <c r="B18" s="13" t="n"/>
      <c r="C18" s="14" t="n"/>
      <c r="D18" s="15" t="n"/>
      <c r="E18" s="22" t="n"/>
      <c r="F18" s="21" t="n"/>
      <c r="G18" s="21" t="n"/>
      <c r="H18" s="5" t="n"/>
      <c r="I18" s="5" t="n"/>
      <c r="J18" s="14" t="n"/>
      <c r="K18" s="18" t="str">
        <f>IF(C18="","",SUMIF('Buyer payments'!$A$8:$A$507,C18,'Buyer payments'!$F$8:$F$507))</f>
        <v/>
      </c>
      <c r="L18" s="18" t="str">
        <f>IF(OR(C18="",AND(H18&lt;&gt;"Contract signed",H18&lt;&gt;"Handed over")),"",IF(G18="",F18,G18)-N(K18))</f>
        <v/>
      </c>
      <c r="M18" s="19" t="str">
        <f>IF(L18="","",IFERROR(N(K18)/IF(G18="",F18,G18),0))</f>
        <v/>
      </c>
      <c r="N18" s="18" t="str">
        <f>IF(OR(C18="",N(E18)=0),"",IF(G18="",F18,G18)/E18)</f>
        <v/>
      </c>
      <c r="O18" s="20" t="n"/>
      <c r="P18" s="5" t="n"/>
      <c r="Q18" s="5" t="n"/>
    </row>
    <row r="19">
      <c r="A19" s="5" t="n"/>
      <c r="B19" s="13" t="n"/>
      <c r="C19" s="14" t="n"/>
      <c r="D19" s="15" t="n"/>
      <c r="E19" s="22" t="n"/>
      <c r="F19" s="21" t="n"/>
      <c r="G19" s="21" t="n"/>
      <c r="H19" s="5" t="n"/>
      <c r="I19" s="5" t="n"/>
      <c r="J19" s="14" t="n"/>
      <c r="K19" s="18" t="str">
        <f>IF(C19="","",SUMIF('Buyer payments'!$A$8:$A$507,C19,'Buyer payments'!$F$8:$F$507))</f>
        <v/>
      </c>
      <c r="L19" s="18" t="str">
        <f>IF(OR(C19="",AND(H19&lt;&gt;"Contract signed",H19&lt;&gt;"Handed over")),"",IF(G19="",F19,G19)-N(K19))</f>
        <v/>
      </c>
      <c r="M19" s="19" t="str">
        <f>IF(L19="","",IFERROR(N(K19)/IF(G19="",F19,G19),0))</f>
        <v/>
      </c>
      <c r="N19" s="18" t="str">
        <f>IF(OR(C19="",N(E19)=0),"",IF(G19="",F19,G19)/E19)</f>
        <v/>
      </c>
      <c r="O19" s="20" t="n"/>
      <c r="P19" s="5" t="n"/>
      <c r="Q19" s="5" t="n"/>
    </row>
    <row r="20">
      <c r="A20" s="5" t="n"/>
      <c r="B20" s="13" t="n"/>
      <c r="C20" s="14" t="n"/>
      <c r="D20" s="15" t="n"/>
      <c r="E20" s="22" t="n"/>
      <c r="F20" s="21" t="n"/>
      <c r="G20" s="21" t="n"/>
      <c r="H20" s="5" t="n"/>
      <c r="I20" s="5" t="n"/>
      <c r="J20" s="14" t="n"/>
      <c r="K20" s="18" t="str">
        <f>IF(C20="","",SUMIF('Buyer payments'!$A$8:$A$507,C20,'Buyer payments'!$F$8:$F$507))</f>
        <v/>
      </c>
      <c r="L20" s="18" t="str">
        <f>IF(OR(C20="",AND(H20&lt;&gt;"Contract signed",H20&lt;&gt;"Handed over")),"",IF(G20="",F20,G20)-N(K20))</f>
        <v/>
      </c>
      <c r="M20" s="19" t="str">
        <f>IF(L20="","",IFERROR(N(K20)/IF(G20="",F20,G20),0))</f>
        <v/>
      </c>
      <c r="N20" s="18" t="str">
        <f>IF(OR(C20="",N(E20)=0),"",IF(G20="",F20,G20)/E20)</f>
        <v/>
      </c>
      <c r="O20" s="20" t="n"/>
      <c r="P20" s="5" t="n"/>
      <c r="Q20" s="5" t="n"/>
    </row>
    <row r="21">
      <c r="A21" s="5" t="n"/>
      <c r="B21" s="13" t="n"/>
      <c r="C21" s="14" t="n"/>
      <c r="D21" s="15" t="n"/>
      <c r="E21" s="22" t="n"/>
      <c r="F21" s="21" t="n"/>
      <c r="G21" s="21" t="n"/>
      <c r="H21" s="5" t="n"/>
      <c r="I21" s="5" t="n"/>
      <c r="J21" s="14" t="n"/>
      <c r="K21" s="18" t="str">
        <f>IF(C21="","",SUMIF('Buyer payments'!$A$8:$A$507,C21,'Buyer payments'!$F$8:$F$507))</f>
        <v/>
      </c>
      <c r="L21" s="18" t="str">
        <f>IF(OR(C21="",AND(H21&lt;&gt;"Contract signed",H21&lt;&gt;"Handed over")),"",IF(G21="",F21,G21)-N(K21))</f>
        <v/>
      </c>
      <c r="M21" s="19" t="str">
        <f>IF(L21="","",IFERROR(N(K21)/IF(G21="",F21,G21),0))</f>
        <v/>
      </c>
      <c r="N21" s="18" t="str">
        <f>IF(OR(C21="",N(E21)=0),"",IF(G21="",F21,G21)/E21)</f>
        <v/>
      </c>
      <c r="O21" s="20" t="n"/>
      <c r="P21" s="5" t="n"/>
      <c r="Q21" s="5" t="n"/>
    </row>
    <row r="22">
      <c r="A22" s="5" t="n"/>
      <c r="B22" s="13" t="n"/>
      <c r="C22" s="14" t="n"/>
      <c r="D22" s="15" t="n"/>
      <c r="E22" s="22" t="n"/>
      <c r="F22" s="21" t="n"/>
      <c r="G22" s="21" t="n"/>
      <c r="H22" s="5" t="n"/>
      <c r="I22" s="5" t="n"/>
      <c r="J22" s="14" t="n"/>
      <c r="K22" s="18" t="str">
        <f>IF(C22="","",SUMIF('Buyer payments'!$A$8:$A$507,C22,'Buyer payments'!$F$8:$F$507))</f>
        <v/>
      </c>
      <c r="L22" s="18" t="str">
        <f>IF(OR(C22="",AND(H22&lt;&gt;"Contract signed",H22&lt;&gt;"Handed over")),"",IF(G22="",F22,G22)-N(K22))</f>
        <v/>
      </c>
      <c r="M22" s="19" t="str">
        <f>IF(L22="","",IFERROR(N(K22)/IF(G22="",F22,G22),0))</f>
        <v/>
      </c>
      <c r="N22" s="18" t="str">
        <f>IF(OR(C22="",N(E22)=0),"",IF(G22="",F22,G22)/E22)</f>
        <v/>
      </c>
      <c r="O22" s="20" t="n"/>
      <c r="P22" s="5" t="n"/>
      <c r="Q22" s="5" t="n"/>
    </row>
    <row r="23">
      <c r="A23" s="5" t="n"/>
      <c r="B23" s="13" t="n"/>
      <c r="C23" s="14" t="n"/>
      <c r="D23" s="15" t="n"/>
      <c r="E23" s="22" t="n"/>
      <c r="F23" s="21" t="n"/>
      <c r="G23" s="21" t="n"/>
      <c r="H23" s="5" t="n"/>
      <c r="I23" s="5" t="n"/>
      <c r="J23" s="14" t="n"/>
      <c r="K23" s="18" t="str">
        <f>IF(C23="","",SUMIF('Buyer payments'!$A$8:$A$507,C23,'Buyer payments'!$F$8:$F$507))</f>
        <v/>
      </c>
      <c r="L23" s="18" t="str">
        <f>IF(OR(C23="",AND(H23&lt;&gt;"Contract signed",H23&lt;&gt;"Handed over")),"",IF(G23="",F23,G23)-N(K23))</f>
        <v/>
      </c>
      <c r="M23" s="19" t="str">
        <f>IF(L23="","",IFERROR(N(K23)/IF(G23="",F23,G23),0))</f>
        <v/>
      </c>
      <c r="N23" s="18" t="str">
        <f>IF(OR(C23="",N(E23)=0),"",IF(G23="",F23,G23)/E23)</f>
        <v/>
      </c>
      <c r="O23" s="20" t="n"/>
      <c r="P23" s="5" t="n"/>
      <c r="Q23" s="5" t="n"/>
    </row>
    <row r="24">
      <c r="A24" s="5" t="n"/>
      <c r="B24" s="13" t="n"/>
      <c r="C24" s="14" t="n"/>
      <c r="D24" s="15" t="n"/>
      <c r="E24" s="22" t="n"/>
      <c r="F24" s="21" t="n"/>
      <c r="G24" s="21" t="n"/>
      <c r="H24" s="5" t="n"/>
      <c r="I24" s="5" t="n"/>
      <c r="J24" s="14" t="n"/>
      <c r="K24" s="18" t="str">
        <f>IF(C24="","",SUMIF('Buyer payments'!$A$8:$A$507,C24,'Buyer payments'!$F$8:$F$507))</f>
        <v/>
      </c>
      <c r="L24" s="18" t="str">
        <f>IF(OR(C24="",AND(H24&lt;&gt;"Contract signed",H24&lt;&gt;"Handed over")),"",IF(G24="",F24,G24)-N(K24))</f>
        <v/>
      </c>
      <c r="M24" s="19" t="str">
        <f>IF(L24="","",IFERROR(N(K24)/IF(G24="",F24,G24),0))</f>
        <v/>
      </c>
      <c r="N24" s="18" t="str">
        <f>IF(OR(C24="",N(E24)=0),"",IF(G24="",F24,G24)/E24)</f>
        <v/>
      </c>
      <c r="O24" s="20" t="n"/>
      <c r="P24" s="5" t="n"/>
      <c r="Q24" s="5" t="n"/>
    </row>
    <row r="25">
      <c r="A25" s="5" t="n"/>
      <c r="B25" s="13" t="n"/>
      <c r="C25" s="14" t="n"/>
      <c r="D25" s="15" t="n"/>
      <c r="E25" s="22" t="n"/>
      <c r="F25" s="21" t="n"/>
      <c r="G25" s="21" t="n"/>
      <c r="H25" s="5" t="n"/>
      <c r="I25" s="5" t="n"/>
      <c r="J25" s="14" t="n"/>
      <c r="K25" s="18" t="str">
        <f>IF(C25="","",SUMIF('Buyer payments'!$A$8:$A$507,C25,'Buyer payments'!$F$8:$F$507))</f>
        <v/>
      </c>
      <c r="L25" s="18" t="str">
        <f>IF(OR(C25="",AND(H25&lt;&gt;"Contract signed",H25&lt;&gt;"Handed over")),"",IF(G25="",F25,G25)-N(K25))</f>
        <v/>
      </c>
      <c r="M25" s="19" t="str">
        <f>IF(L25="","",IFERROR(N(K25)/IF(G25="",F25,G25),0))</f>
        <v/>
      </c>
      <c r="N25" s="18" t="str">
        <f>IF(OR(C25="",N(E25)=0),"",IF(G25="",F25,G25)/E25)</f>
        <v/>
      </c>
      <c r="O25" s="20" t="n"/>
      <c r="P25" s="5" t="n"/>
      <c r="Q25" s="5" t="n"/>
    </row>
    <row r="26">
      <c r="A26" s="5" t="n"/>
      <c r="B26" s="13" t="n"/>
      <c r="C26" s="14" t="n"/>
      <c r="D26" s="15" t="n"/>
      <c r="E26" s="22" t="n"/>
      <c r="F26" s="21" t="n"/>
      <c r="G26" s="21" t="n"/>
      <c r="H26" s="5" t="n"/>
      <c r="I26" s="5" t="n"/>
      <c r="J26" s="14" t="n"/>
      <c r="K26" s="18" t="str">
        <f>IF(C26="","",SUMIF('Buyer payments'!$A$8:$A$507,C26,'Buyer payments'!$F$8:$F$507))</f>
        <v/>
      </c>
      <c r="L26" s="18" t="str">
        <f>IF(OR(C26="",AND(H26&lt;&gt;"Contract signed",H26&lt;&gt;"Handed over")),"",IF(G26="",F26,G26)-N(K26))</f>
        <v/>
      </c>
      <c r="M26" s="19" t="str">
        <f>IF(L26="","",IFERROR(N(K26)/IF(G26="",F26,G26),0))</f>
        <v/>
      </c>
      <c r="N26" s="18" t="str">
        <f>IF(OR(C26="",N(E26)=0),"",IF(G26="",F26,G26)/E26)</f>
        <v/>
      </c>
      <c r="O26" s="20" t="n"/>
      <c r="P26" s="5" t="n"/>
      <c r="Q26" s="5" t="n"/>
    </row>
    <row r="27">
      <c r="A27" s="5" t="n"/>
      <c r="B27" s="13" t="n"/>
      <c r="C27" s="14" t="n"/>
      <c r="D27" s="15" t="n"/>
      <c r="E27" s="22" t="n"/>
      <c r="F27" s="21" t="n"/>
      <c r="G27" s="21" t="n"/>
      <c r="H27" s="5" t="n"/>
      <c r="I27" s="5" t="n"/>
      <c r="J27" s="14" t="n"/>
      <c r="K27" s="18" t="str">
        <f>IF(C27="","",SUMIF('Buyer payments'!$A$8:$A$507,C27,'Buyer payments'!$F$8:$F$507))</f>
        <v/>
      </c>
      <c r="L27" s="18" t="str">
        <f>IF(OR(C27="",AND(H27&lt;&gt;"Contract signed",H27&lt;&gt;"Handed over")),"",IF(G27="",F27,G27)-N(K27))</f>
        <v/>
      </c>
      <c r="M27" s="19" t="str">
        <f>IF(L27="","",IFERROR(N(K27)/IF(G27="",F27,G27),0))</f>
        <v/>
      </c>
      <c r="N27" s="18" t="str">
        <f>IF(OR(C27="",N(E27)=0),"",IF(G27="",F27,G27)/E27)</f>
        <v/>
      </c>
      <c r="O27" s="20" t="n"/>
      <c r="P27" s="5" t="n"/>
      <c r="Q27" s="5" t="n"/>
    </row>
    <row r="28">
      <c r="A28" s="5" t="n"/>
      <c r="B28" s="13" t="n"/>
      <c r="C28" s="14" t="n"/>
      <c r="D28" s="15" t="n"/>
      <c r="E28" s="22" t="n"/>
      <c r="F28" s="21" t="n"/>
      <c r="G28" s="21" t="n"/>
      <c r="H28" s="5" t="n"/>
      <c r="I28" s="5" t="n"/>
      <c r="J28" s="14" t="n"/>
      <c r="K28" s="18" t="str">
        <f>IF(C28="","",SUMIF('Buyer payments'!$A$8:$A$507,C28,'Buyer payments'!$F$8:$F$507))</f>
        <v/>
      </c>
      <c r="L28" s="18" t="str">
        <f>IF(OR(C28="",AND(H28&lt;&gt;"Contract signed",H28&lt;&gt;"Handed over")),"",IF(G28="",F28,G28)-N(K28))</f>
        <v/>
      </c>
      <c r="M28" s="19" t="str">
        <f>IF(L28="","",IFERROR(N(K28)/IF(G28="",F28,G28),0))</f>
        <v/>
      </c>
      <c r="N28" s="18" t="str">
        <f>IF(OR(C28="",N(E28)=0),"",IF(G28="",F28,G28)/E28)</f>
        <v/>
      </c>
      <c r="O28" s="20" t="n"/>
      <c r="P28" s="5" t="n"/>
      <c r="Q28" s="5" t="n"/>
    </row>
    <row r="29">
      <c r="A29" s="5" t="n"/>
      <c r="B29" s="13" t="n"/>
      <c r="C29" s="14" t="n"/>
      <c r="D29" s="15" t="n"/>
      <c r="E29" s="22" t="n"/>
      <c r="F29" s="21" t="n"/>
      <c r="G29" s="21" t="n"/>
      <c r="H29" s="5" t="n"/>
      <c r="I29" s="5" t="n"/>
      <c r="J29" s="14" t="n"/>
      <c r="K29" s="18" t="str">
        <f>IF(C29="","",SUMIF('Buyer payments'!$A$8:$A$507,C29,'Buyer payments'!$F$8:$F$507))</f>
        <v/>
      </c>
      <c r="L29" s="18" t="str">
        <f>IF(OR(C29="",AND(H29&lt;&gt;"Contract signed",H29&lt;&gt;"Handed over")),"",IF(G29="",F29,G29)-N(K29))</f>
        <v/>
      </c>
      <c r="M29" s="19" t="str">
        <f>IF(L29="","",IFERROR(N(K29)/IF(G29="",F29,G29),0))</f>
        <v/>
      </c>
      <c r="N29" s="18" t="str">
        <f>IF(OR(C29="",N(E29)=0),"",IF(G29="",F29,G29)/E29)</f>
        <v/>
      </c>
      <c r="O29" s="20" t="n"/>
      <c r="P29" s="5" t="n"/>
      <c r="Q29" s="5" t="n"/>
    </row>
    <row r="30">
      <c r="A30" s="5" t="n"/>
      <c r="B30" s="13" t="n"/>
      <c r="C30" s="14" t="n"/>
      <c r="D30" s="15" t="n"/>
      <c r="E30" s="22" t="n"/>
      <c r="F30" s="21" t="n"/>
      <c r="G30" s="21" t="n"/>
      <c r="H30" s="5" t="n"/>
      <c r="I30" s="5" t="n"/>
      <c r="J30" s="14" t="n"/>
      <c r="K30" s="18" t="str">
        <f>IF(C30="","",SUMIF('Buyer payments'!$A$8:$A$507,C30,'Buyer payments'!$F$8:$F$507))</f>
        <v/>
      </c>
      <c r="L30" s="18" t="str">
        <f>IF(OR(C30="",AND(H30&lt;&gt;"Contract signed",H30&lt;&gt;"Handed over")),"",IF(G30="",F30,G30)-N(K30))</f>
        <v/>
      </c>
      <c r="M30" s="19" t="str">
        <f>IF(L30="","",IFERROR(N(K30)/IF(G30="",F30,G30),0))</f>
        <v/>
      </c>
      <c r="N30" s="18" t="str">
        <f>IF(OR(C30="",N(E30)=0),"",IF(G30="",F30,G30)/E30)</f>
        <v/>
      </c>
      <c r="O30" s="20" t="n"/>
      <c r="P30" s="5" t="n"/>
      <c r="Q30" s="5" t="n"/>
    </row>
    <row r="31">
      <c r="A31" s="5" t="n"/>
      <c r="B31" s="13" t="n"/>
      <c r="C31" s="14" t="n"/>
      <c r="D31" s="15" t="n"/>
      <c r="E31" s="22" t="n"/>
      <c r="F31" s="21" t="n"/>
      <c r="G31" s="21" t="n"/>
      <c r="H31" s="5" t="n"/>
      <c r="I31" s="5" t="n"/>
      <c r="J31" s="14" t="n"/>
      <c r="K31" s="18" t="str">
        <f>IF(C31="","",SUMIF('Buyer payments'!$A$8:$A$507,C31,'Buyer payments'!$F$8:$F$507))</f>
        <v/>
      </c>
      <c r="L31" s="18" t="str">
        <f>IF(OR(C31="",AND(H31&lt;&gt;"Contract signed",H31&lt;&gt;"Handed over")),"",IF(G31="",F31,G31)-N(K31))</f>
        <v/>
      </c>
      <c r="M31" s="19" t="str">
        <f>IF(L31="","",IFERROR(N(K31)/IF(G31="",F31,G31),0))</f>
        <v/>
      </c>
      <c r="N31" s="18" t="str">
        <f>IF(OR(C31="",N(E31)=0),"",IF(G31="",F31,G31)/E31)</f>
        <v/>
      </c>
      <c r="O31" s="20" t="n"/>
      <c r="P31" s="5" t="n"/>
      <c r="Q31" s="5" t="n"/>
    </row>
    <row r="32">
      <c r="A32" s="5" t="n"/>
      <c r="B32" s="13" t="n"/>
      <c r="C32" s="14" t="n"/>
      <c r="D32" s="15" t="n"/>
      <c r="E32" s="22" t="n"/>
      <c r="F32" s="21" t="n"/>
      <c r="G32" s="21" t="n"/>
      <c r="H32" s="5" t="n"/>
      <c r="I32" s="5" t="n"/>
      <c r="J32" s="14" t="n"/>
      <c r="K32" s="18" t="str">
        <f>IF(C32="","",SUMIF('Buyer payments'!$A$8:$A$507,C32,'Buyer payments'!$F$8:$F$507))</f>
        <v/>
      </c>
      <c r="L32" s="18" t="str">
        <f>IF(OR(C32="",AND(H32&lt;&gt;"Contract signed",H32&lt;&gt;"Handed over")),"",IF(G32="",F32,G32)-N(K32))</f>
        <v/>
      </c>
      <c r="M32" s="19" t="str">
        <f>IF(L32="","",IFERROR(N(K32)/IF(G32="",F32,G32),0))</f>
        <v/>
      </c>
      <c r="N32" s="18" t="str">
        <f>IF(OR(C32="",N(E32)=0),"",IF(G32="",F32,G32)/E32)</f>
        <v/>
      </c>
      <c r="O32" s="20" t="n"/>
      <c r="P32" s="5" t="n"/>
      <c r="Q32" s="5" t="n"/>
    </row>
    <row r="33">
      <c r="A33" s="5" t="n"/>
      <c r="B33" s="13" t="n"/>
      <c r="C33" s="14" t="n"/>
      <c r="D33" s="15" t="n"/>
      <c r="E33" s="22" t="n"/>
      <c r="F33" s="21" t="n"/>
      <c r="G33" s="21" t="n"/>
      <c r="H33" s="5" t="n"/>
      <c r="I33" s="5" t="n"/>
      <c r="J33" s="14" t="n"/>
      <c r="K33" s="18" t="str">
        <f>IF(C33="","",SUMIF('Buyer payments'!$A$8:$A$507,C33,'Buyer payments'!$F$8:$F$507))</f>
        <v/>
      </c>
      <c r="L33" s="18" t="str">
        <f>IF(OR(C33="",AND(H33&lt;&gt;"Contract signed",H33&lt;&gt;"Handed over")),"",IF(G33="",F33,G33)-N(K33))</f>
        <v/>
      </c>
      <c r="M33" s="19" t="str">
        <f>IF(L33="","",IFERROR(N(K33)/IF(G33="",F33,G33),0))</f>
        <v/>
      </c>
      <c r="N33" s="18" t="str">
        <f>IF(OR(C33="",N(E33)=0),"",IF(G33="",F33,G33)/E33)</f>
        <v/>
      </c>
      <c r="O33" s="20" t="n"/>
      <c r="P33" s="5" t="n"/>
      <c r="Q33" s="5" t="n"/>
    </row>
    <row r="34">
      <c r="A34" s="5" t="n"/>
      <c r="B34" s="13" t="n"/>
      <c r="C34" s="14" t="n"/>
      <c r="D34" s="15" t="n"/>
      <c r="E34" s="22" t="n"/>
      <c r="F34" s="21" t="n"/>
      <c r="G34" s="21" t="n"/>
      <c r="H34" s="5" t="n"/>
      <c r="I34" s="5" t="n"/>
      <c r="J34" s="14" t="n"/>
      <c r="K34" s="18" t="str">
        <f>IF(C34="","",SUMIF('Buyer payments'!$A$8:$A$507,C34,'Buyer payments'!$F$8:$F$507))</f>
        <v/>
      </c>
      <c r="L34" s="18" t="str">
        <f>IF(OR(C34="",AND(H34&lt;&gt;"Contract signed",H34&lt;&gt;"Handed over")),"",IF(G34="",F34,G34)-N(K34))</f>
        <v/>
      </c>
      <c r="M34" s="19" t="str">
        <f>IF(L34="","",IFERROR(N(K34)/IF(G34="",F34,G34),0))</f>
        <v/>
      </c>
      <c r="N34" s="18" t="str">
        <f>IF(OR(C34="",N(E34)=0),"",IF(G34="",F34,G34)/E34)</f>
        <v/>
      </c>
      <c r="O34" s="20" t="n"/>
      <c r="P34" s="5" t="n"/>
      <c r="Q34" s="5" t="n"/>
    </row>
    <row r="35">
      <c r="A35" s="5" t="n"/>
      <c r="B35" s="13" t="n"/>
      <c r="C35" s="14" t="n"/>
      <c r="D35" s="15" t="n"/>
      <c r="E35" s="22" t="n"/>
      <c r="F35" s="21" t="n"/>
      <c r="G35" s="21" t="n"/>
      <c r="H35" s="5" t="n"/>
      <c r="I35" s="5" t="n"/>
      <c r="J35" s="14" t="n"/>
      <c r="K35" s="18" t="str">
        <f>IF(C35="","",SUMIF('Buyer payments'!$A$8:$A$507,C35,'Buyer payments'!$F$8:$F$507))</f>
        <v/>
      </c>
      <c r="L35" s="18" t="str">
        <f>IF(OR(C35="",AND(H35&lt;&gt;"Contract signed",H35&lt;&gt;"Handed over")),"",IF(G35="",F35,G35)-N(K35))</f>
        <v/>
      </c>
      <c r="M35" s="19" t="str">
        <f>IF(L35="","",IFERROR(N(K35)/IF(G35="",F35,G35),0))</f>
        <v/>
      </c>
      <c r="N35" s="18" t="str">
        <f>IF(OR(C35="",N(E35)=0),"",IF(G35="",F35,G35)/E35)</f>
        <v/>
      </c>
      <c r="O35" s="20" t="n"/>
      <c r="P35" s="5" t="n"/>
      <c r="Q35" s="5" t="n"/>
    </row>
    <row r="36">
      <c r="A36" s="5" t="n"/>
      <c r="B36" s="13" t="n"/>
      <c r="C36" s="14" t="n"/>
      <c r="D36" s="15" t="n"/>
      <c r="E36" s="22" t="n"/>
      <c r="F36" s="21" t="n"/>
      <c r="G36" s="21" t="n"/>
      <c r="H36" s="5" t="n"/>
      <c r="I36" s="5" t="n"/>
      <c r="J36" s="14" t="n"/>
      <c r="K36" s="18" t="str">
        <f>IF(C36="","",SUMIF('Buyer payments'!$A$8:$A$507,C36,'Buyer payments'!$F$8:$F$507))</f>
        <v/>
      </c>
      <c r="L36" s="18" t="str">
        <f>IF(OR(C36="",AND(H36&lt;&gt;"Contract signed",H36&lt;&gt;"Handed over")),"",IF(G36="",F36,G36)-N(K36))</f>
        <v/>
      </c>
      <c r="M36" s="19" t="str">
        <f>IF(L36="","",IFERROR(N(K36)/IF(G36="",F36,G36),0))</f>
        <v/>
      </c>
      <c r="N36" s="18" t="str">
        <f>IF(OR(C36="",N(E36)=0),"",IF(G36="",F36,G36)/E36)</f>
        <v/>
      </c>
      <c r="O36" s="20" t="n"/>
      <c r="P36" s="5" t="n"/>
      <c r="Q36" s="5" t="n"/>
    </row>
    <row r="37">
      <c r="A37" s="5" t="n"/>
      <c r="B37" s="13" t="n"/>
      <c r="C37" s="14" t="n"/>
      <c r="D37" s="15" t="n"/>
      <c r="E37" s="22" t="n"/>
      <c r="F37" s="21" t="n"/>
      <c r="G37" s="21" t="n"/>
      <c r="H37" s="5" t="n"/>
      <c r="I37" s="5" t="n"/>
      <c r="J37" s="14" t="n"/>
      <c r="K37" s="18" t="str">
        <f>IF(C37="","",SUMIF('Buyer payments'!$A$8:$A$507,C37,'Buyer payments'!$F$8:$F$507))</f>
        <v/>
      </c>
      <c r="L37" s="18" t="str">
        <f>IF(OR(C37="",AND(H37&lt;&gt;"Contract signed",H37&lt;&gt;"Handed over")),"",IF(G37="",F37,G37)-N(K37))</f>
        <v/>
      </c>
      <c r="M37" s="19" t="str">
        <f>IF(L37="","",IFERROR(N(K37)/IF(G37="",F37,G37),0))</f>
        <v/>
      </c>
      <c r="N37" s="18" t="str">
        <f>IF(OR(C37="",N(E37)=0),"",IF(G37="",F37,G37)/E37)</f>
        <v/>
      </c>
      <c r="O37" s="20" t="n"/>
      <c r="P37" s="5" t="n"/>
      <c r="Q37" s="5" t="n"/>
    </row>
    <row r="38">
      <c r="A38" s="5" t="n"/>
      <c r="B38" s="13" t="n"/>
      <c r="C38" s="14" t="n"/>
      <c r="D38" s="15" t="n"/>
      <c r="E38" s="22" t="n"/>
      <c r="F38" s="21" t="n"/>
      <c r="G38" s="21" t="n"/>
      <c r="H38" s="5" t="n"/>
      <c r="I38" s="5" t="n"/>
      <c r="J38" s="14" t="n"/>
      <c r="K38" s="18" t="str">
        <f>IF(C38="","",SUMIF('Buyer payments'!$A$8:$A$507,C38,'Buyer payments'!$F$8:$F$507))</f>
        <v/>
      </c>
      <c r="L38" s="18" t="str">
        <f>IF(OR(C38="",AND(H38&lt;&gt;"Contract signed",H38&lt;&gt;"Handed over")),"",IF(G38="",F38,G38)-N(K38))</f>
        <v/>
      </c>
      <c r="M38" s="19" t="str">
        <f>IF(L38="","",IFERROR(N(K38)/IF(G38="",F38,G38),0))</f>
        <v/>
      </c>
      <c r="N38" s="18" t="str">
        <f>IF(OR(C38="",N(E38)=0),"",IF(G38="",F38,G38)/E38)</f>
        <v/>
      </c>
      <c r="O38" s="20" t="n"/>
      <c r="P38" s="5" t="n"/>
      <c r="Q38" s="5" t="n"/>
    </row>
    <row r="39">
      <c r="A39" s="5" t="n"/>
      <c r="B39" s="13" t="n"/>
      <c r="C39" s="14" t="n"/>
      <c r="D39" s="15" t="n"/>
      <c r="E39" s="22" t="n"/>
      <c r="F39" s="21" t="n"/>
      <c r="G39" s="21" t="n"/>
      <c r="H39" s="5" t="n"/>
      <c r="I39" s="5" t="n"/>
      <c r="J39" s="14" t="n"/>
      <c r="K39" s="18" t="str">
        <f>IF(C39="","",SUMIF('Buyer payments'!$A$8:$A$507,C39,'Buyer payments'!$F$8:$F$507))</f>
        <v/>
      </c>
      <c r="L39" s="18" t="str">
        <f>IF(OR(C39="",AND(H39&lt;&gt;"Contract signed",H39&lt;&gt;"Handed over")),"",IF(G39="",F39,G39)-N(K39))</f>
        <v/>
      </c>
      <c r="M39" s="19" t="str">
        <f>IF(L39="","",IFERROR(N(K39)/IF(G39="",F39,G39),0))</f>
        <v/>
      </c>
      <c r="N39" s="18" t="str">
        <f>IF(OR(C39="",N(E39)=0),"",IF(G39="",F39,G39)/E39)</f>
        <v/>
      </c>
      <c r="O39" s="20" t="n"/>
      <c r="P39" s="5" t="n"/>
      <c r="Q39" s="5" t="n"/>
    </row>
    <row r="40">
      <c r="A40" s="5" t="n"/>
      <c r="B40" s="13" t="n"/>
      <c r="C40" s="14" t="n"/>
      <c r="D40" s="15" t="n"/>
      <c r="E40" s="22" t="n"/>
      <c r="F40" s="21" t="n"/>
      <c r="G40" s="21" t="n"/>
      <c r="H40" s="5" t="n"/>
      <c r="I40" s="5" t="n"/>
      <c r="J40" s="14" t="n"/>
      <c r="K40" s="18" t="str">
        <f>IF(C40="","",SUMIF('Buyer payments'!$A$8:$A$507,C40,'Buyer payments'!$F$8:$F$507))</f>
        <v/>
      </c>
      <c r="L40" s="18" t="str">
        <f>IF(OR(C40="",AND(H40&lt;&gt;"Contract signed",H40&lt;&gt;"Handed over")),"",IF(G40="",F40,G40)-N(K40))</f>
        <v/>
      </c>
      <c r="M40" s="19" t="str">
        <f>IF(L40="","",IFERROR(N(K40)/IF(G40="",F40,G40),0))</f>
        <v/>
      </c>
      <c r="N40" s="18" t="str">
        <f>IF(OR(C40="",N(E40)=0),"",IF(G40="",F40,G40)/E40)</f>
        <v/>
      </c>
      <c r="O40" s="20" t="n"/>
      <c r="P40" s="5" t="n"/>
      <c r="Q40" s="5" t="n"/>
    </row>
    <row r="41">
      <c r="A41" s="5" t="n"/>
      <c r="B41" s="13" t="n"/>
      <c r="C41" s="14" t="n"/>
      <c r="D41" s="15" t="n"/>
      <c r="E41" s="22" t="n"/>
      <c r="F41" s="21" t="n"/>
      <c r="G41" s="21" t="n"/>
      <c r="H41" s="5" t="n"/>
      <c r="I41" s="5" t="n"/>
      <c r="J41" s="14" t="n"/>
      <c r="K41" s="18" t="str">
        <f>IF(C41="","",SUMIF('Buyer payments'!$A$8:$A$507,C41,'Buyer payments'!$F$8:$F$507))</f>
        <v/>
      </c>
      <c r="L41" s="18" t="str">
        <f>IF(OR(C41="",AND(H41&lt;&gt;"Contract signed",H41&lt;&gt;"Handed over")),"",IF(G41="",F41,G41)-N(K41))</f>
        <v/>
      </c>
      <c r="M41" s="19" t="str">
        <f>IF(L41="","",IFERROR(N(K41)/IF(G41="",F41,G41),0))</f>
        <v/>
      </c>
      <c r="N41" s="18" t="str">
        <f>IF(OR(C41="",N(E41)=0),"",IF(G41="",F41,G41)/E41)</f>
        <v/>
      </c>
      <c r="O41" s="20" t="n"/>
      <c r="P41" s="5" t="n"/>
      <c r="Q41" s="5" t="n"/>
    </row>
    <row r="42">
      <c r="A42" s="5" t="n"/>
      <c r="B42" s="13" t="n"/>
      <c r="C42" s="14" t="n"/>
      <c r="D42" s="15" t="n"/>
      <c r="E42" s="22" t="n"/>
      <c r="F42" s="21" t="n"/>
      <c r="G42" s="21" t="n"/>
      <c r="H42" s="5" t="n"/>
      <c r="I42" s="5" t="n"/>
      <c r="J42" s="14" t="n"/>
      <c r="K42" s="18" t="str">
        <f>IF(C42="","",SUMIF('Buyer payments'!$A$8:$A$507,C42,'Buyer payments'!$F$8:$F$507))</f>
        <v/>
      </c>
      <c r="L42" s="18" t="str">
        <f>IF(OR(C42="",AND(H42&lt;&gt;"Contract signed",H42&lt;&gt;"Handed over")),"",IF(G42="",F42,G42)-N(K42))</f>
        <v/>
      </c>
      <c r="M42" s="19" t="str">
        <f>IF(L42="","",IFERROR(N(K42)/IF(G42="",F42,G42),0))</f>
        <v/>
      </c>
      <c r="N42" s="18" t="str">
        <f>IF(OR(C42="",N(E42)=0),"",IF(G42="",F42,G42)/E42)</f>
        <v/>
      </c>
      <c r="O42" s="20" t="n"/>
      <c r="P42" s="5" t="n"/>
      <c r="Q42" s="5" t="n"/>
    </row>
    <row r="43">
      <c r="A43" s="5" t="n"/>
      <c r="B43" s="13" t="n"/>
      <c r="C43" s="14" t="n"/>
      <c r="D43" s="15" t="n"/>
      <c r="E43" s="22" t="n"/>
      <c r="F43" s="21" t="n"/>
      <c r="G43" s="21" t="n"/>
      <c r="H43" s="5" t="n"/>
      <c r="I43" s="5" t="n"/>
      <c r="J43" s="14" t="n"/>
      <c r="K43" s="18" t="str">
        <f>IF(C43="","",SUMIF('Buyer payments'!$A$8:$A$507,C43,'Buyer payments'!$F$8:$F$507))</f>
        <v/>
      </c>
      <c r="L43" s="18" t="str">
        <f>IF(OR(C43="",AND(H43&lt;&gt;"Contract signed",H43&lt;&gt;"Handed over")),"",IF(G43="",F43,G43)-N(K43))</f>
        <v/>
      </c>
      <c r="M43" s="19" t="str">
        <f>IF(L43="","",IFERROR(N(K43)/IF(G43="",F43,G43),0))</f>
        <v/>
      </c>
      <c r="N43" s="18" t="str">
        <f>IF(OR(C43="",N(E43)=0),"",IF(G43="",F43,G43)/E43)</f>
        <v/>
      </c>
      <c r="O43" s="20" t="n"/>
      <c r="P43" s="5" t="n"/>
      <c r="Q43" s="5" t="n"/>
    </row>
    <row r="44">
      <c r="A44" s="5" t="n"/>
      <c r="B44" s="13" t="n"/>
      <c r="C44" s="14" t="n"/>
      <c r="D44" s="15" t="n"/>
      <c r="E44" s="22" t="n"/>
      <c r="F44" s="21" t="n"/>
      <c r="G44" s="21" t="n"/>
      <c r="H44" s="5" t="n"/>
      <c r="I44" s="5" t="n"/>
      <c r="J44" s="14" t="n"/>
      <c r="K44" s="18" t="str">
        <f>IF(C44="","",SUMIF('Buyer payments'!$A$8:$A$507,C44,'Buyer payments'!$F$8:$F$507))</f>
        <v/>
      </c>
      <c r="L44" s="18" t="str">
        <f>IF(OR(C44="",AND(H44&lt;&gt;"Contract signed",H44&lt;&gt;"Handed over")),"",IF(G44="",F44,G44)-N(K44))</f>
        <v/>
      </c>
      <c r="M44" s="19" t="str">
        <f>IF(L44="","",IFERROR(N(K44)/IF(G44="",F44,G44),0))</f>
        <v/>
      </c>
      <c r="N44" s="18" t="str">
        <f>IF(OR(C44="",N(E44)=0),"",IF(G44="",F44,G44)/E44)</f>
        <v/>
      </c>
      <c r="O44" s="20" t="n"/>
      <c r="P44" s="5" t="n"/>
      <c r="Q44" s="5" t="n"/>
    </row>
    <row r="45">
      <c r="A45" s="5" t="n"/>
      <c r="B45" s="13" t="n"/>
      <c r="C45" s="14" t="n"/>
      <c r="D45" s="15" t="n"/>
      <c r="E45" s="22" t="n"/>
      <c r="F45" s="21" t="n"/>
      <c r="G45" s="21" t="n"/>
      <c r="H45" s="5" t="n"/>
      <c r="I45" s="5" t="n"/>
      <c r="J45" s="14" t="n"/>
      <c r="K45" s="18" t="str">
        <f>IF(C45="","",SUMIF('Buyer payments'!$A$8:$A$507,C45,'Buyer payments'!$F$8:$F$507))</f>
        <v/>
      </c>
      <c r="L45" s="18" t="str">
        <f>IF(OR(C45="",AND(H45&lt;&gt;"Contract signed",H45&lt;&gt;"Handed over")),"",IF(G45="",F45,G45)-N(K45))</f>
        <v/>
      </c>
      <c r="M45" s="19" t="str">
        <f>IF(L45="","",IFERROR(N(K45)/IF(G45="",F45,G45),0))</f>
        <v/>
      </c>
      <c r="N45" s="18" t="str">
        <f>IF(OR(C45="",N(E45)=0),"",IF(G45="",F45,G45)/E45)</f>
        <v/>
      </c>
      <c r="O45" s="20" t="n"/>
      <c r="P45" s="5" t="n"/>
      <c r="Q45" s="5" t="n"/>
    </row>
    <row r="46">
      <c r="A46" s="5" t="n"/>
      <c r="B46" s="13" t="n"/>
      <c r="C46" s="14" t="n"/>
      <c r="D46" s="15" t="n"/>
      <c r="E46" s="22" t="n"/>
      <c r="F46" s="21" t="n"/>
      <c r="G46" s="21" t="n"/>
      <c r="H46" s="5" t="n"/>
      <c r="I46" s="5" t="n"/>
      <c r="J46" s="14" t="n"/>
      <c r="K46" s="18" t="str">
        <f>IF(C46="","",SUMIF('Buyer payments'!$A$8:$A$507,C46,'Buyer payments'!$F$8:$F$507))</f>
        <v/>
      </c>
      <c r="L46" s="18" t="str">
        <f>IF(OR(C46="",AND(H46&lt;&gt;"Contract signed",H46&lt;&gt;"Handed over")),"",IF(G46="",F46,G46)-N(K46))</f>
        <v/>
      </c>
      <c r="M46" s="19" t="str">
        <f>IF(L46="","",IFERROR(N(K46)/IF(G46="",F46,G46),0))</f>
        <v/>
      </c>
      <c r="N46" s="18" t="str">
        <f>IF(OR(C46="",N(E46)=0),"",IF(G46="",F46,G46)/E46)</f>
        <v/>
      </c>
      <c r="O46" s="20" t="n"/>
      <c r="P46" s="5" t="n"/>
      <c r="Q46" s="5" t="n"/>
    </row>
    <row r="47">
      <c r="A47" s="5" t="n"/>
      <c r="B47" s="13" t="n"/>
      <c r="C47" s="14" t="n"/>
      <c r="D47" s="15" t="n"/>
      <c r="E47" s="22" t="n"/>
      <c r="F47" s="21" t="n"/>
      <c r="G47" s="21" t="n"/>
      <c r="H47" s="5" t="n"/>
      <c r="I47" s="5" t="n"/>
      <c r="J47" s="14" t="n"/>
      <c r="K47" s="18" t="str">
        <f>IF(C47="","",SUMIF('Buyer payments'!$A$8:$A$507,C47,'Buyer payments'!$F$8:$F$507))</f>
        <v/>
      </c>
      <c r="L47" s="18" t="str">
        <f>IF(OR(C47="",AND(H47&lt;&gt;"Contract signed",H47&lt;&gt;"Handed over")),"",IF(G47="",F47,G47)-N(K47))</f>
        <v/>
      </c>
      <c r="M47" s="19" t="str">
        <f>IF(L47="","",IFERROR(N(K47)/IF(G47="",F47,G47),0))</f>
        <v/>
      </c>
      <c r="N47" s="18" t="str">
        <f>IF(OR(C47="",N(E47)=0),"",IF(G47="",F47,G47)/E47)</f>
        <v/>
      </c>
      <c r="O47" s="20" t="n"/>
      <c r="P47" s="5" t="n"/>
      <c r="Q47" s="5" t="n"/>
    </row>
    <row r="48">
      <c r="A48" s="5" t="n"/>
      <c r="B48" s="13" t="n"/>
      <c r="C48" s="14" t="n"/>
      <c r="D48" s="15" t="n"/>
      <c r="E48" s="22" t="n"/>
      <c r="F48" s="21" t="n"/>
      <c r="G48" s="21" t="n"/>
      <c r="H48" s="5" t="n"/>
      <c r="I48" s="5" t="n"/>
      <c r="J48" s="14" t="n"/>
      <c r="K48" s="18" t="str">
        <f>IF(C48="","",SUMIF('Buyer payments'!$A$8:$A$507,C48,'Buyer payments'!$F$8:$F$507))</f>
        <v/>
      </c>
      <c r="L48" s="18" t="str">
        <f>IF(OR(C48="",AND(H48&lt;&gt;"Contract signed",H48&lt;&gt;"Handed over")),"",IF(G48="",F48,G48)-N(K48))</f>
        <v/>
      </c>
      <c r="M48" s="19" t="str">
        <f>IF(L48="","",IFERROR(N(K48)/IF(G48="",F48,G48),0))</f>
        <v/>
      </c>
      <c r="N48" s="18" t="str">
        <f>IF(OR(C48="",N(E48)=0),"",IF(G48="",F48,G48)/E48)</f>
        <v/>
      </c>
      <c r="O48" s="20" t="n"/>
      <c r="P48" s="5" t="n"/>
      <c r="Q48" s="5" t="n"/>
    </row>
    <row r="49">
      <c r="A49" s="5" t="n"/>
      <c r="B49" s="13" t="n"/>
      <c r="C49" s="14" t="n"/>
      <c r="D49" s="15" t="n"/>
      <c r="E49" s="22" t="n"/>
      <c r="F49" s="21" t="n"/>
      <c r="G49" s="21" t="n"/>
      <c r="H49" s="5" t="n"/>
      <c r="I49" s="5" t="n"/>
      <c r="J49" s="14" t="n"/>
      <c r="K49" s="18" t="str">
        <f>IF(C49="","",SUMIF('Buyer payments'!$A$8:$A$507,C49,'Buyer payments'!$F$8:$F$507))</f>
        <v/>
      </c>
      <c r="L49" s="18" t="str">
        <f>IF(OR(C49="",AND(H49&lt;&gt;"Contract signed",H49&lt;&gt;"Handed over")),"",IF(G49="",F49,G49)-N(K49))</f>
        <v/>
      </c>
      <c r="M49" s="19" t="str">
        <f>IF(L49="","",IFERROR(N(K49)/IF(G49="",F49,G49),0))</f>
        <v/>
      </c>
      <c r="N49" s="18" t="str">
        <f>IF(OR(C49="",N(E49)=0),"",IF(G49="",F49,G49)/E49)</f>
        <v/>
      </c>
      <c r="O49" s="20" t="n"/>
      <c r="P49" s="5" t="n"/>
      <c r="Q49" s="5" t="n"/>
    </row>
    <row r="50">
      <c r="A50" s="5" t="n"/>
      <c r="B50" s="13" t="n"/>
      <c r="C50" s="14" t="n"/>
      <c r="D50" s="15" t="n"/>
      <c r="E50" s="22" t="n"/>
      <c r="F50" s="21" t="n"/>
      <c r="G50" s="21" t="n"/>
      <c r="H50" s="5" t="n"/>
      <c r="I50" s="5" t="n"/>
      <c r="J50" s="14" t="n"/>
      <c r="K50" s="18" t="str">
        <f>IF(C50="","",SUMIF('Buyer payments'!$A$8:$A$507,C50,'Buyer payments'!$F$8:$F$507))</f>
        <v/>
      </c>
      <c r="L50" s="18" t="str">
        <f>IF(OR(C50="",AND(H50&lt;&gt;"Contract signed",H50&lt;&gt;"Handed over")),"",IF(G50="",F50,G50)-N(K50))</f>
        <v/>
      </c>
      <c r="M50" s="19" t="str">
        <f>IF(L50="","",IFERROR(N(K50)/IF(G50="",F50,G50),0))</f>
        <v/>
      </c>
      <c r="N50" s="18" t="str">
        <f>IF(OR(C50="",N(E50)=0),"",IF(G50="",F50,G50)/E50)</f>
        <v/>
      </c>
      <c r="O50" s="20" t="n"/>
      <c r="P50" s="5" t="n"/>
      <c r="Q50" s="5" t="n"/>
    </row>
    <row r="51">
      <c r="A51" s="5" t="n"/>
      <c r="B51" s="13" t="n"/>
      <c r="C51" s="14" t="n"/>
      <c r="D51" s="15" t="n"/>
      <c r="E51" s="22" t="n"/>
      <c r="F51" s="21" t="n"/>
      <c r="G51" s="21" t="n"/>
      <c r="H51" s="5" t="n"/>
      <c r="I51" s="5" t="n"/>
      <c r="J51" s="14" t="n"/>
      <c r="K51" s="18" t="str">
        <f>IF(C51="","",SUMIF('Buyer payments'!$A$8:$A$507,C51,'Buyer payments'!$F$8:$F$507))</f>
        <v/>
      </c>
      <c r="L51" s="18" t="str">
        <f>IF(OR(C51="",AND(H51&lt;&gt;"Contract signed",H51&lt;&gt;"Handed over")),"",IF(G51="",F51,G51)-N(K51))</f>
        <v/>
      </c>
      <c r="M51" s="19" t="str">
        <f>IF(L51="","",IFERROR(N(K51)/IF(G51="",F51,G51),0))</f>
        <v/>
      </c>
      <c r="N51" s="18" t="str">
        <f>IF(OR(C51="",N(E51)=0),"",IF(G51="",F51,G51)/E51)</f>
        <v/>
      </c>
      <c r="O51" s="20" t="n"/>
      <c r="P51" s="5" t="n"/>
      <c r="Q51" s="5" t="n"/>
    </row>
    <row r="52">
      <c r="A52" s="5" t="n"/>
      <c r="B52" s="13" t="n"/>
      <c r="C52" s="14" t="n"/>
      <c r="D52" s="15" t="n"/>
      <c r="E52" s="22" t="n"/>
      <c r="F52" s="21" t="n"/>
      <c r="G52" s="21" t="n"/>
      <c r="H52" s="5" t="n"/>
      <c r="I52" s="5" t="n"/>
      <c r="J52" s="14" t="n"/>
      <c r="K52" s="18" t="str">
        <f>IF(C52="","",SUMIF('Buyer payments'!$A$8:$A$507,C52,'Buyer payments'!$F$8:$F$507))</f>
        <v/>
      </c>
      <c r="L52" s="18" t="str">
        <f>IF(OR(C52="",AND(H52&lt;&gt;"Contract signed",H52&lt;&gt;"Handed over")),"",IF(G52="",F52,G52)-N(K52))</f>
        <v/>
      </c>
      <c r="M52" s="19" t="str">
        <f>IF(L52="","",IFERROR(N(K52)/IF(G52="",F52,G52),0))</f>
        <v/>
      </c>
      <c r="N52" s="18" t="str">
        <f>IF(OR(C52="",N(E52)=0),"",IF(G52="",F52,G52)/E52)</f>
        <v/>
      </c>
      <c r="O52" s="20" t="n"/>
      <c r="P52" s="5" t="n"/>
      <c r="Q52" s="5" t="n"/>
    </row>
    <row r="53">
      <c r="A53" s="5" t="n"/>
      <c r="B53" s="13" t="n"/>
      <c r="C53" s="14" t="n"/>
      <c r="D53" s="15" t="n"/>
      <c r="E53" s="22" t="n"/>
      <c r="F53" s="21" t="n"/>
      <c r="G53" s="21" t="n"/>
      <c r="H53" s="5" t="n"/>
      <c r="I53" s="5" t="n"/>
      <c r="J53" s="14" t="n"/>
      <c r="K53" s="18" t="str">
        <f>IF(C53="","",SUMIF('Buyer payments'!$A$8:$A$507,C53,'Buyer payments'!$F$8:$F$507))</f>
        <v/>
      </c>
      <c r="L53" s="18" t="str">
        <f>IF(OR(C53="",AND(H53&lt;&gt;"Contract signed",H53&lt;&gt;"Handed over")),"",IF(G53="",F53,G53)-N(K53))</f>
        <v/>
      </c>
      <c r="M53" s="19" t="str">
        <f>IF(L53="","",IFERROR(N(K53)/IF(G53="",F53,G53),0))</f>
        <v/>
      </c>
      <c r="N53" s="18" t="str">
        <f>IF(OR(C53="",N(E53)=0),"",IF(G53="",F53,G53)/E53)</f>
        <v/>
      </c>
      <c r="O53" s="20" t="n"/>
      <c r="P53" s="5" t="n"/>
      <c r="Q53" s="5" t="n"/>
    </row>
    <row r="54">
      <c r="A54" s="5" t="n"/>
      <c r="B54" s="13" t="n"/>
      <c r="C54" s="14" t="n"/>
      <c r="D54" s="15" t="n"/>
      <c r="E54" s="22" t="n"/>
      <c r="F54" s="21" t="n"/>
      <c r="G54" s="21" t="n"/>
      <c r="H54" s="5" t="n"/>
      <c r="I54" s="5" t="n"/>
      <c r="J54" s="14" t="n"/>
      <c r="K54" s="18" t="str">
        <f>IF(C54="","",SUMIF('Buyer payments'!$A$8:$A$507,C54,'Buyer payments'!$F$8:$F$507))</f>
        <v/>
      </c>
      <c r="L54" s="18" t="str">
        <f>IF(OR(C54="",AND(H54&lt;&gt;"Contract signed",H54&lt;&gt;"Handed over")),"",IF(G54="",F54,G54)-N(K54))</f>
        <v/>
      </c>
      <c r="M54" s="19" t="str">
        <f>IF(L54="","",IFERROR(N(K54)/IF(G54="",F54,G54),0))</f>
        <v/>
      </c>
      <c r="N54" s="18" t="str">
        <f>IF(OR(C54="",N(E54)=0),"",IF(G54="",F54,G54)/E54)</f>
        <v/>
      </c>
      <c r="O54" s="20" t="n"/>
      <c r="P54" s="5" t="n"/>
      <c r="Q54" s="5" t="n"/>
    </row>
    <row r="55">
      <c r="A55" s="5" t="n"/>
      <c r="B55" s="13" t="n"/>
      <c r="C55" s="14" t="n"/>
      <c r="D55" s="15" t="n"/>
      <c r="E55" s="22" t="n"/>
      <c r="F55" s="21" t="n"/>
      <c r="G55" s="21" t="n"/>
      <c r="H55" s="5" t="n"/>
      <c r="I55" s="5" t="n"/>
      <c r="J55" s="14" t="n"/>
      <c r="K55" s="18" t="str">
        <f>IF(C55="","",SUMIF('Buyer payments'!$A$8:$A$507,C55,'Buyer payments'!$F$8:$F$507))</f>
        <v/>
      </c>
      <c r="L55" s="18" t="str">
        <f>IF(OR(C55="",AND(H55&lt;&gt;"Contract signed",H55&lt;&gt;"Handed over")),"",IF(G55="",F55,G55)-N(K55))</f>
        <v/>
      </c>
      <c r="M55" s="19" t="str">
        <f>IF(L55="","",IFERROR(N(K55)/IF(G55="",F55,G55),0))</f>
        <v/>
      </c>
      <c r="N55" s="18" t="str">
        <f>IF(OR(C55="",N(E55)=0),"",IF(G55="",F55,G55)/E55)</f>
        <v/>
      </c>
      <c r="O55" s="20" t="n"/>
      <c r="P55" s="5" t="n"/>
      <c r="Q55" s="5" t="n"/>
    </row>
    <row r="56">
      <c r="A56" s="5" t="n"/>
      <c r="B56" s="13" t="n"/>
      <c r="C56" s="14" t="n"/>
      <c r="D56" s="15" t="n"/>
      <c r="E56" s="22" t="n"/>
      <c r="F56" s="21" t="n"/>
      <c r="G56" s="21" t="n"/>
      <c r="H56" s="5" t="n"/>
      <c r="I56" s="5" t="n"/>
      <c r="J56" s="14" t="n"/>
      <c r="K56" s="18" t="str">
        <f>IF(C56="","",SUMIF('Buyer payments'!$A$8:$A$507,C56,'Buyer payments'!$F$8:$F$507))</f>
        <v/>
      </c>
      <c r="L56" s="18" t="str">
        <f>IF(OR(C56="",AND(H56&lt;&gt;"Contract signed",H56&lt;&gt;"Handed over")),"",IF(G56="",F56,G56)-N(K56))</f>
        <v/>
      </c>
      <c r="M56" s="19" t="str">
        <f>IF(L56="","",IFERROR(N(K56)/IF(G56="",F56,G56),0))</f>
        <v/>
      </c>
      <c r="N56" s="18" t="str">
        <f>IF(OR(C56="",N(E56)=0),"",IF(G56="",F56,G56)/E56)</f>
        <v/>
      </c>
      <c r="O56" s="20" t="n"/>
      <c r="P56" s="5" t="n"/>
      <c r="Q56" s="5" t="n"/>
    </row>
    <row r="57">
      <c r="A57" s="5" t="n"/>
      <c r="B57" s="13" t="n"/>
      <c r="C57" s="14" t="n"/>
      <c r="D57" s="15" t="n"/>
      <c r="E57" s="22" t="n"/>
      <c r="F57" s="21" t="n"/>
      <c r="G57" s="21" t="n"/>
      <c r="H57" s="5" t="n"/>
      <c r="I57" s="5" t="n"/>
      <c r="J57" s="14" t="n"/>
      <c r="K57" s="18" t="str">
        <f>IF(C57="","",SUMIF('Buyer payments'!$A$8:$A$507,C57,'Buyer payments'!$F$8:$F$507))</f>
        <v/>
      </c>
      <c r="L57" s="18" t="str">
        <f>IF(OR(C57="",AND(H57&lt;&gt;"Contract signed",H57&lt;&gt;"Handed over")),"",IF(G57="",F57,G57)-N(K57))</f>
        <v/>
      </c>
      <c r="M57" s="19" t="str">
        <f>IF(L57="","",IFERROR(N(K57)/IF(G57="",F57,G57),0))</f>
        <v/>
      </c>
      <c r="N57" s="18" t="str">
        <f>IF(OR(C57="",N(E57)=0),"",IF(G57="",F57,G57)/E57)</f>
        <v/>
      </c>
      <c r="O57" s="20" t="n"/>
      <c r="P57" s="5" t="n"/>
      <c r="Q57" s="5" t="n"/>
    </row>
    <row r="58">
      <c r="A58" s="5" t="n"/>
      <c r="B58" s="13" t="n"/>
      <c r="C58" s="14" t="n"/>
      <c r="D58" s="15" t="n"/>
      <c r="E58" s="22" t="n"/>
      <c r="F58" s="21" t="n"/>
      <c r="G58" s="21" t="n"/>
      <c r="H58" s="5" t="n"/>
      <c r="I58" s="5" t="n"/>
      <c r="J58" s="14" t="n"/>
      <c r="K58" s="18" t="str">
        <f>IF(C58="","",SUMIF('Buyer payments'!$A$8:$A$507,C58,'Buyer payments'!$F$8:$F$507))</f>
        <v/>
      </c>
      <c r="L58" s="18" t="str">
        <f>IF(OR(C58="",AND(H58&lt;&gt;"Contract signed",H58&lt;&gt;"Handed over")),"",IF(G58="",F58,G58)-N(K58))</f>
        <v/>
      </c>
      <c r="M58" s="19" t="str">
        <f>IF(L58="","",IFERROR(N(K58)/IF(G58="",F58,G58),0))</f>
        <v/>
      </c>
      <c r="N58" s="18" t="str">
        <f>IF(OR(C58="",N(E58)=0),"",IF(G58="",F58,G58)/E58)</f>
        <v/>
      </c>
      <c r="O58" s="20" t="n"/>
      <c r="P58" s="5" t="n"/>
      <c r="Q58" s="5" t="n"/>
    </row>
    <row r="59">
      <c r="A59" s="5" t="n"/>
      <c r="B59" s="13" t="n"/>
      <c r="C59" s="14" t="n"/>
      <c r="D59" s="15" t="n"/>
      <c r="E59" s="22" t="n"/>
      <c r="F59" s="21" t="n"/>
      <c r="G59" s="21" t="n"/>
      <c r="H59" s="5" t="n"/>
      <c r="I59" s="5" t="n"/>
      <c r="J59" s="14" t="n"/>
      <c r="K59" s="18" t="str">
        <f>IF(C59="","",SUMIF('Buyer payments'!$A$8:$A$507,C59,'Buyer payments'!$F$8:$F$507))</f>
        <v/>
      </c>
      <c r="L59" s="18" t="str">
        <f>IF(OR(C59="",AND(H59&lt;&gt;"Contract signed",H59&lt;&gt;"Handed over")),"",IF(G59="",F59,G59)-N(K59))</f>
        <v/>
      </c>
      <c r="M59" s="19" t="str">
        <f>IF(L59="","",IFERROR(N(K59)/IF(G59="",F59,G59),0))</f>
        <v/>
      </c>
      <c r="N59" s="18" t="str">
        <f>IF(OR(C59="",N(E59)=0),"",IF(G59="",F59,G59)/E59)</f>
        <v/>
      </c>
      <c r="O59" s="20" t="n"/>
      <c r="P59" s="5" t="n"/>
      <c r="Q59" s="5" t="n"/>
    </row>
    <row r="60">
      <c r="A60" s="5" t="n"/>
      <c r="B60" s="13" t="n"/>
      <c r="C60" s="14" t="n"/>
      <c r="D60" s="15" t="n"/>
      <c r="E60" s="22" t="n"/>
      <c r="F60" s="21" t="n"/>
      <c r="G60" s="21" t="n"/>
      <c r="H60" s="5" t="n"/>
      <c r="I60" s="5" t="n"/>
      <c r="J60" s="14" t="n"/>
      <c r="K60" s="18" t="str">
        <f>IF(C60="","",SUMIF('Buyer payments'!$A$8:$A$507,C60,'Buyer payments'!$F$8:$F$507))</f>
        <v/>
      </c>
      <c r="L60" s="18" t="str">
        <f>IF(OR(C60="",AND(H60&lt;&gt;"Contract signed",H60&lt;&gt;"Handed over")),"",IF(G60="",F60,G60)-N(K60))</f>
        <v/>
      </c>
      <c r="M60" s="19" t="str">
        <f>IF(L60="","",IFERROR(N(K60)/IF(G60="",F60,G60),0))</f>
        <v/>
      </c>
      <c r="N60" s="18" t="str">
        <f>IF(OR(C60="",N(E60)=0),"",IF(G60="",F60,G60)/E60)</f>
        <v/>
      </c>
      <c r="O60" s="20" t="n"/>
      <c r="P60" s="5" t="n"/>
      <c r="Q60" s="5" t="n"/>
    </row>
    <row r="61">
      <c r="A61" s="5" t="n"/>
      <c r="B61" s="13" t="n"/>
      <c r="C61" s="14" t="n"/>
      <c r="D61" s="15" t="n"/>
      <c r="E61" s="22" t="n"/>
      <c r="F61" s="21" t="n"/>
      <c r="G61" s="21" t="n"/>
      <c r="H61" s="5" t="n"/>
      <c r="I61" s="5" t="n"/>
      <c r="J61" s="14" t="n"/>
      <c r="K61" s="18" t="str">
        <f>IF(C61="","",SUMIF('Buyer payments'!$A$8:$A$507,C61,'Buyer payments'!$F$8:$F$507))</f>
        <v/>
      </c>
      <c r="L61" s="18" t="str">
        <f>IF(OR(C61="",AND(H61&lt;&gt;"Contract signed",H61&lt;&gt;"Handed over")),"",IF(G61="",F61,G61)-N(K61))</f>
        <v/>
      </c>
      <c r="M61" s="19" t="str">
        <f>IF(L61="","",IFERROR(N(K61)/IF(G61="",F61,G61),0))</f>
        <v/>
      </c>
      <c r="N61" s="18" t="str">
        <f>IF(OR(C61="",N(E61)=0),"",IF(G61="",F61,G61)/E61)</f>
        <v/>
      </c>
      <c r="O61" s="20" t="n"/>
      <c r="P61" s="5" t="n"/>
      <c r="Q61" s="5" t="n"/>
    </row>
    <row r="62">
      <c r="A62" s="5" t="n"/>
      <c r="B62" s="13" t="n"/>
      <c r="C62" s="14" t="n"/>
      <c r="D62" s="15" t="n"/>
      <c r="E62" s="22" t="n"/>
      <c r="F62" s="21" t="n"/>
      <c r="G62" s="21" t="n"/>
      <c r="H62" s="5" t="n"/>
      <c r="I62" s="5" t="n"/>
      <c r="J62" s="14" t="n"/>
      <c r="K62" s="18" t="str">
        <f>IF(C62="","",SUMIF('Buyer payments'!$A$8:$A$507,C62,'Buyer payments'!$F$8:$F$507))</f>
        <v/>
      </c>
      <c r="L62" s="18" t="str">
        <f>IF(OR(C62="",AND(H62&lt;&gt;"Contract signed",H62&lt;&gt;"Handed over")),"",IF(G62="",F62,G62)-N(K62))</f>
        <v/>
      </c>
      <c r="M62" s="19" t="str">
        <f>IF(L62="","",IFERROR(N(K62)/IF(G62="",F62,G62),0))</f>
        <v/>
      </c>
      <c r="N62" s="18" t="str">
        <f>IF(OR(C62="",N(E62)=0),"",IF(G62="",F62,G62)/E62)</f>
        <v/>
      </c>
      <c r="O62" s="20" t="n"/>
      <c r="P62" s="5" t="n"/>
      <c r="Q62" s="5" t="n"/>
    </row>
    <row r="63">
      <c r="A63" s="5" t="n"/>
      <c r="B63" s="13" t="n"/>
      <c r="C63" s="14" t="n"/>
      <c r="D63" s="15" t="n"/>
      <c r="E63" s="22" t="n"/>
      <c r="F63" s="21" t="n"/>
      <c r="G63" s="21" t="n"/>
      <c r="H63" s="5" t="n"/>
      <c r="I63" s="5" t="n"/>
      <c r="J63" s="14" t="n"/>
      <c r="K63" s="18" t="str">
        <f>IF(C63="","",SUMIF('Buyer payments'!$A$8:$A$507,C63,'Buyer payments'!$F$8:$F$507))</f>
        <v/>
      </c>
      <c r="L63" s="18" t="str">
        <f>IF(OR(C63="",AND(H63&lt;&gt;"Contract signed",H63&lt;&gt;"Handed over")),"",IF(G63="",F63,G63)-N(K63))</f>
        <v/>
      </c>
      <c r="M63" s="19" t="str">
        <f>IF(L63="","",IFERROR(N(K63)/IF(G63="",F63,G63),0))</f>
        <v/>
      </c>
      <c r="N63" s="18" t="str">
        <f>IF(OR(C63="",N(E63)=0),"",IF(G63="",F63,G63)/E63)</f>
        <v/>
      </c>
      <c r="O63" s="20" t="n"/>
      <c r="P63" s="5" t="n"/>
      <c r="Q63" s="5" t="n"/>
    </row>
    <row r="64">
      <c r="A64" s="5" t="n"/>
      <c r="B64" s="13" t="n"/>
      <c r="C64" s="14" t="n"/>
      <c r="D64" s="15" t="n"/>
      <c r="E64" s="22" t="n"/>
      <c r="F64" s="21" t="n"/>
      <c r="G64" s="21" t="n"/>
      <c r="H64" s="5" t="n"/>
      <c r="I64" s="5" t="n"/>
      <c r="J64" s="14" t="n"/>
      <c r="K64" s="18" t="str">
        <f>IF(C64="","",SUMIF('Buyer payments'!$A$8:$A$507,C64,'Buyer payments'!$F$8:$F$507))</f>
        <v/>
      </c>
      <c r="L64" s="18" t="str">
        <f>IF(OR(C64="",AND(H64&lt;&gt;"Contract signed",H64&lt;&gt;"Handed over")),"",IF(G64="",F64,G64)-N(K64))</f>
        <v/>
      </c>
      <c r="M64" s="19" t="str">
        <f>IF(L64="","",IFERROR(N(K64)/IF(G64="",F64,G64),0))</f>
        <v/>
      </c>
      <c r="N64" s="18" t="str">
        <f>IF(OR(C64="",N(E64)=0),"",IF(G64="",F64,G64)/E64)</f>
        <v/>
      </c>
      <c r="O64" s="20" t="n"/>
      <c r="P64" s="5" t="n"/>
      <c r="Q64" s="5" t="n"/>
    </row>
    <row r="65">
      <c r="A65" s="5" t="n"/>
      <c r="B65" s="13" t="n"/>
      <c r="C65" s="14" t="n"/>
      <c r="D65" s="15" t="n"/>
      <c r="E65" s="22" t="n"/>
      <c r="F65" s="21" t="n"/>
      <c r="G65" s="21" t="n"/>
      <c r="H65" s="5" t="n"/>
      <c r="I65" s="5" t="n"/>
      <c r="J65" s="14" t="n"/>
      <c r="K65" s="18" t="str">
        <f>IF(C65="","",SUMIF('Buyer payments'!$A$8:$A$507,C65,'Buyer payments'!$F$8:$F$507))</f>
        <v/>
      </c>
      <c r="L65" s="18" t="str">
        <f>IF(OR(C65="",AND(H65&lt;&gt;"Contract signed",H65&lt;&gt;"Handed over")),"",IF(G65="",F65,G65)-N(K65))</f>
        <v/>
      </c>
      <c r="M65" s="19" t="str">
        <f>IF(L65="","",IFERROR(N(K65)/IF(G65="",F65,G65),0))</f>
        <v/>
      </c>
      <c r="N65" s="18" t="str">
        <f>IF(OR(C65="",N(E65)=0),"",IF(G65="",F65,G65)/E65)</f>
        <v/>
      </c>
      <c r="O65" s="20" t="n"/>
      <c r="P65" s="5" t="n"/>
      <c r="Q65" s="5" t="n"/>
    </row>
    <row r="66">
      <c r="A66" s="5" t="n"/>
      <c r="B66" s="13" t="n"/>
      <c r="C66" s="14" t="n"/>
      <c r="D66" s="15" t="n"/>
      <c r="E66" s="22" t="n"/>
      <c r="F66" s="21" t="n"/>
      <c r="G66" s="21" t="n"/>
      <c r="H66" s="5" t="n"/>
      <c r="I66" s="5" t="n"/>
      <c r="J66" s="14" t="n"/>
      <c r="K66" s="18" t="str">
        <f>IF(C66="","",SUMIF('Buyer payments'!$A$8:$A$507,C66,'Buyer payments'!$F$8:$F$507))</f>
        <v/>
      </c>
      <c r="L66" s="18" t="str">
        <f>IF(OR(C66="",AND(H66&lt;&gt;"Contract signed",H66&lt;&gt;"Handed over")),"",IF(G66="",F66,G66)-N(K66))</f>
        <v/>
      </c>
      <c r="M66" s="19" t="str">
        <f>IF(L66="","",IFERROR(N(K66)/IF(G66="",F66,G66),0))</f>
        <v/>
      </c>
      <c r="N66" s="18" t="str">
        <f>IF(OR(C66="",N(E66)=0),"",IF(G66="",F66,G66)/E66)</f>
        <v/>
      </c>
      <c r="O66" s="20" t="n"/>
      <c r="P66" s="5" t="n"/>
      <c r="Q66" s="5" t="n"/>
    </row>
    <row r="67">
      <c r="A67" s="5" t="n"/>
      <c r="B67" s="13" t="n"/>
      <c r="C67" s="14" t="n"/>
      <c r="D67" s="15" t="n"/>
      <c r="E67" s="22" t="n"/>
      <c r="F67" s="21" t="n"/>
      <c r="G67" s="21" t="n"/>
      <c r="H67" s="5" t="n"/>
      <c r="I67" s="5" t="n"/>
      <c r="J67" s="14" t="n"/>
      <c r="K67" s="18" t="str">
        <f>IF(C67="","",SUMIF('Buyer payments'!$A$8:$A$507,C67,'Buyer payments'!$F$8:$F$507))</f>
        <v/>
      </c>
      <c r="L67" s="18" t="str">
        <f>IF(OR(C67="",AND(H67&lt;&gt;"Contract signed",H67&lt;&gt;"Handed over")),"",IF(G67="",F67,G67)-N(K67))</f>
        <v/>
      </c>
      <c r="M67" s="19" t="str">
        <f>IF(L67="","",IFERROR(N(K67)/IF(G67="",F67,G67),0))</f>
        <v/>
      </c>
      <c r="N67" s="18" t="str">
        <f>IF(OR(C67="",N(E67)=0),"",IF(G67="",F67,G67)/E67)</f>
        <v/>
      </c>
      <c r="O67" s="20" t="n"/>
      <c r="P67" s="5" t="n"/>
      <c r="Q67" s="5" t="n"/>
    </row>
    <row r="68">
      <c r="A68" s="5" t="n"/>
      <c r="B68" s="13" t="n"/>
      <c r="C68" s="14" t="n"/>
      <c r="D68" s="15" t="n"/>
      <c r="E68" s="22" t="n"/>
      <c r="F68" s="21" t="n"/>
      <c r="G68" s="21" t="n"/>
      <c r="H68" s="5" t="n"/>
      <c r="I68" s="5" t="n"/>
      <c r="J68" s="14" t="n"/>
      <c r="K68" s="18" t="str">
        <f>IF(C68="","",SUMIF('Buyer payments'!$A$8:$A$507,C68,'Buyer payments'!$F$8:$F$507))</f>
        <v/>
      </c>
      <c r="L68" s="18" t="str">
        <f>IF(OR(C68="",AND(H68&lt;&gt;"Contract signed",H68&lt;&gt;"Handed over")),"",IF(G68="",F68,G68)-N(K68))</f>
        <v/>
      </c>
      <c r="M68" s="19" t="str">
        <f>IF(L68="","",IFERROR(N(K68)/IF(G68="",F68,G68),0))</f>
        <v/>
      </c>
      <c r="N68" s="18" t="str">
        <f>IF(OR(C68="",N(E68)=0),"",IF(G68="",F68,G68)/E68)</f>
        <v/>
      </c>
      <c r="O68" s="20" t="n"/>
      <c r="P68" s="5" t="n"/>
      <c r="Q68" s="5" t="n"/>
    </row>
    <row r="69">
      <c r="A69" s="5" t="n"/>
      <c r="B69" s="13" t="n"/>
      <c r="C69" s="14" t="n"/>
      <c r="D69" s="15" t="n"/>
      <c r="E69" s="22" t="n"/>
      <c r="F69" s="21" t="n"/>
      <c r="G69" s="21" t="n"/>
      <c r="H69" s="5" t="n"/>
      <c r="I69" s="5" t="n"/>
      <c r="J69" s="14" t="n"/>
      <c r="K69" s="18" t="str">
        <f>IF(C69="","",SUMIF('Buyer payments'!$A$8:$A$507,C69,'Buyer payments'!$F$8:$F$507))</f>
        <v/>
      </c>
      <c r="L69" s="18" t="str">
        <f>IF(OR(C69="",AND(H69&lt;&gt;"Contract signed",H69&lt;&gt;"Handed over")),"",IF(G69="",F69,G69)-N(K69))</f>
        <v/>
      </c>
      <c r="M69" s="19" t="str">
        <f>IF(L69="","",IFERROR(N(K69)/IF(G69="",F69,G69),0))</f>
        <v/>
      </c>
      <c r="N69" s="18" t="str">
        <f>IF(OR(C69="",N(E69)=0),"",IF(G69="",F69,G69)/E69)</f>
        <v/>
      </c>
      <c r="O69" s="20" t="n"/>
      <c r="P69" s="5" t="n"/>
      <c r="Q69" s="5" t="n"/>
    </row>
    <row r="70">
      <c r="A70" s="5" t="n"/>
      <c r="B70" s="13" t="n"/>
      <c r="C70" s="14" t="n"/>
      <c r="D70" s="15" t="n"/>
      <c r="E70" s="22" t="n"/>
      <c r="F70" s="21" t="n"/>
      <c r="G70" s="21" t="n"/>
      <c r="H70" s="5" t="n"/>
      <c r="I70" s="5" t="n"/>
      <c r="J70" s="14" t="n"/>
      <c r="K70" s="18" t="str">
        <f>IF(C70="","",SUMIF('Buyer payments'!$A$8:$A$507,C70,'Buyer payments'!$F$8:$F$507))</f>
        <v/>
      </c>
      <c r="L70" s="18" t="str">
        <f>IF(OR(C70="",AND(H70&lt;&gt;"Contract signed",H70&lt;&gt;"Handed over")),"",IF(G70="",F70,G70)-N(K70))</f>
        <v/>
      </c>
      <c r="M70" s="19" t="str">
        <f>IF(L70="","",IFERROR(N(K70)/IF(G70="",F70,G70),0))</f>
        <v/>
      </c>
      <c r="N70" s="18" t="str">
        <f>IF(OR(C70="",N(E70)=0),"",IF(G70="",F70,G70)/E70)</f>
        <v/>
      </c>
      <c r="O70" s="20" t="n"/>
      <c r="P70" s="5" t="n"/>
      <c r="Q70" s="5" t="n"/>
    </row>
    <row r="71">
      <c r="A71" s="5" t="n"/>
      <c r="B71" s="13" t="n"/>
      <c r="C71" s="14" t="n"/>
      <c r="D71" s="15" t="n"/>
      <c r="E71" s="22" t="n"/>
      <c r="F71" s="21" t="n"/>
      <c r="G71" s="21" t="n"/>
      <c r="H71" s="5" t="n"/>
      <c r="I71" s="5" t="n"/>
      <c r="J71" s="14" t="n"/>
      <c r="K71" s="18" t="str">
        <f>IF(C71="","",SUMIF('Buyer payments'!$A$8:$A$507,C71,'Buyer payments'!$F$8:$F$507))</f>
        <v/>
      </c>
      <c r="L71" s="18" t="str">
        <f>IF(OR(C71="",AND(H71&lt;&gt;"Contract signed",H71&lt;&gt;"Handed over")),"",IF(G71="",F71,G71)-N(K71))</f>
        <v/>
      </c>
      <c r="M71" s="19" t="str">
        <f>IF(L71="","",IFERROR(N(K71)/IF(G71="",F71,G71),0))</f>
        <v/>
      </c>
      <c r="N71" s="18" t="str">
        <f>IF(OR(C71="",N(E71)=0),"",IF(G71="",F71,G71)/E71)</f>
        <v/>
      </c>
      <c r="O71" s="20" t="n"/>
      <c r="P71" s="5" t="n"/>
      <c r="Q71" s="5" t="n"/>
    </row>
    <row r="72">
      <c r="A72" s="5" t="n"/>
      <c r="B72" s="13" t="n"/>
      <c r="C72" s="14" t="n"/>
      <c r="D72" s="15" t="n"/>
      <c r="E72" s="22" t="n"/>
      <c r="F72" s="21" t="n"/>
      <c r="G72" s="21" t="n"/>
      <c r="H72" s="5" t="n"/>
      <c r="I72" s="5" t="n"/>
      <c r="J72" s="14" t="n"/>
      <c r="K72" s="18" t="str">
        <f>IF(C72="","",SUMIF('Buyer payments'!$A$8:$A$507,C72,'Buyer payments'!$F$8:$F$507))</f>
        <v/>
      </c>
      <c r="L72" s="18" t="str">
        <f>IF(OR(C72="",AND(H72&lt;&gt;"Contract signed",H72&lt;&gt;"Handed over")),"",IF(G72="",F72,G72)-N(K72))</f>
        <v/>
      </c>
      <c r="M72" s="19" t="str">
        <f>IF(L72="","",IFERROR(N(K72)/IF(G72="",F72,G72),0))</f>
        <v/>
      </c>
      <c r="N72" s="18" t="str">
        <f>IF(OR(C72="",N(E72)=0),"",IF(G72="",F72,G72)/E72)</f>
        <v/>
      </c>
      <c r="O72" s="20" t="n"/>
      <c r="P72" s="5" t="n"/>
      <c r="Q72" s="5" t="n"/>
    </row>
    <row r="73">
      <c r="A73" s="5" t="n"/>
      <c r="B73" s="13" t="n"/>
      <c r="C73" s="14" t="n"/>
      <c r="D73" s="15" t="n"/>
      <c r="E73" s="22" t="n"/>
      <c r="F73" s="21" t="n"/>
      <c r="G73" s="21" t="n"/>
      <c r="H73" s="5" t="n"/>
      <c r="I73" s="5" t="n"/>
      <c r="J73" s="14" t="n"/>
      <c r="K73" s="18" t="str">
        <f>IF(C73="","",SUMIF('Buyer payments'!$A$8:$A$507,C73,'Buyer payments'!$F$8:$F$507))</f>
        <v/>
      </c>
      <c r="L73" s="18" t="str">
        <f>IF(OR(C73="",AND(H73&lt;&gt;"Contract signed",H73&lt;&gt;"Handed over")),"",IF(G73="",F73,G73)-N(K73))</f>
        <v/>
      </c>
      <c r="M73" s="19" t="str">
        <f>IF(L73="","",IFERROR(N(K73)/IF(G73="",F73,G73),0))</f>
        <v/>
      </c>
      <c r="N73" s="18" t="str">
        <f>IF(OR(C73="",N(E73)=0),"",IF(G73="",F73,G73)/E73)</f>
        <v/>
      </c>
      <c r="O73" s="20" t="n"/>
      <c r="P73" s="5" t="n"/>
      <c r="Q73" s="5" t="n"/>
    </row>
    <row r="74">
      <c r="A74" s="5" t="n"/>
      <c r="B74" s="13" t="n"/>
      <c r="C74" s="14" t="n"/>
      <c r="D74" s="15" t="n"/>
      <c r="E74" s="22" t="n"/>
      <c r="F74" s="21" t="n"/>
      <c r="G74" s="21" t="n"/>
      <c r="H74" s="5" t="n"/>
      <c r="I74" s="5" t="n"/>
      <c r="J74" s="14" t="n"/>
      <c r="K74" s="18" t="str">
        <f>IF(C74="","",SUMIF('Buyer payments'!$A$8:$A$507,C74,'Buyer payments'!$F$8:$F$507))</f>
        <v/>
      </c>
      <c r="L74" s="18" t="str">
        <f>IF(OR(C74="",AND(H74&lt;&gt;"Contract signed",H74&lt;&gt;"Handed over")),"",IF(G74="",F74,G74)-N(K74))</f>
        <v/>
      </c>
      <c r="M74" s="19" t="str">
        <f>IF(L74="","",IFERROR(N(K74)/IF(G74="",F74,G74),0))</f>
        <v/>
      </c>
      <c r="N74" s="18" t="str">
        <f>IF(OR(C74="",N(E74)=0),"",IF(G74="",F74,G74)/E74)</f>
        <v/>
      </c>
      <c r="O74" s="20" t="n"/>
      <c r="P74" s="5" t="n"/>
      <c r="Q74" s="5" t="n"/>
    </row>
    <row r="75">
      <c r="A75" s="5" t="n"/>
      <c r="B75" s="13" t="n"/>
      <c r="C75" s="14" t="n"/>
      <c r="D75" s="15" t="n"/>
      <c r="E75" s="22" t="n"/>
      <c r="F75" s="21" t="n"/>
      <c r="G75" s="21" t="n"/>
      <c r="H75" s="5" t="n"/>
      <c r="I75" s="5" t="n"/>
      <c r="J75" s="14" t="n"/>
      <c r="K75" s="18" t="str">
        <f>IF(C75="","",SUMIF('Buyer payments'!$A$8:$A$507,C75,'Buyer payments'!$F$8:$F$507))</f>
        <v/>
      </c>
      <c r="L75" s="18" t="str">
        <f>IF(OR(C75="",AND(H75&lt;&gt;"Contract signed",H75&lt;&gt;"Handed over")),"",IF(G75="",F75,G75)-N(K75))</f>
        <v/>
      </c>
      <c r="M75" s="19" t="str">
        <f>IF(L75="","",IFERROR(N(K75)/IF(G75="",F75,G75),0))</f>
        <v/>
      </c>
      <c r="N75" s="18" t="str">
        <f>IF(OR(C75="",N(E75)=0),"",IF(G75="",F75,G75)/E75)</f>
        <v/>
      </c>
      <c r="O75" s="20" t="n"/>
      <c r="P75" s="5" t="n"/>
      <c r="Q75" s="5" t="n"/>
    </row>
    <row r="76">
      <c r="A76" s="5" t="n"/>
      <c r="B76" s="13" t="n"/>
      <c r="C76" s="14" t="n"/>
      <c r="D76" s="15" t="n"/>
      <c r="E76" s="22" t="n"/>
      <c r="F76" s="21" t="n"/>
      <c r="G76" s="21" t="n"/>
      <c r="H76" s="5" t="n"/>
      <c r="I76" s="5" t="n"/>
      <c r="J76" s="14" t="n"/>
      <c r="K76" s="18" t="str">
        <f>IF(C76="","",SUMIF('Buyer payments'!$A$8:$A$507,C76,'Buyer payments'!$F$8:$F$507))</f>
        <v/>
      </c>
      <c r="L76" s="18" t="str">
        <f>IF(OR(C76="",AND(H76&lt;&gt;"Contract signed",H76&lt;&gt;"Handed over")),"",IF(G76="",F76,G76)-N(K76))</f>
        <v/>
      </c>
      <c r="M76" s="19" t="str">
        <f>IF(L76="","",IFERROR(N(K76)/IF(G76="",F76,G76),0))</f>
        <v/>
      </c>
      <c r="N76" s="18" t="str">
        <f>IF(OR(C76="",N(E76)=0),"",IF(G76="",F76,G76)/E76)</f>
        <v/>
      </c>
      <c r="O76" s="20" t="n"/>
      <c r="P76" s="5" t="n"/>
      <c r="Q76" s="5" t="n"/>
    </row>
    <row r="77">
      <c r="A77" s="5" t="n"/>
      <c r="B77" s="13" t="n"/>
      <c r="C77" s="14" t="n"/>
      <c r="D77" s="15" t="n"/>
      <c r="E77" s="22" t="n"/>
      <c r="F77" s="21" t="n"/>
      <c r="G77" s="21" t="n"/>
      <c r="H77" s="5" t="n"/>
      <c r="I77" s="5" t="n"/>
      <c r="J77" s="14" t="n"/>
      <c r="K77" s="18" t="str">
        <f>IF(C77="","",SUMIF('Buyer payments'!$A$8:$A$507,C77,'Buyer payments'!$F$8:$F$507))</f>
        <v/>
      </c>
      <c r="L77" s="18" t="str">
        <f>IF(OR(C77="",AND(H77&lt;&gt;"Contract signed",H77&lt;&gt;"Handed over")),"",IF(G77="",F77,G77)-N(K77))</f>
        <v/>
      </c>
      <c r="M77" s="19" t="str">
        <f>IF(L77="","",IFERROR(N(K77)/IF(G77="",F77,G77),0))</f>
        <v/>
      </c>
      <c r="N77" s="18" t="str">
        <f>IF(OR(C77="",N(E77)=0),"",IF(G77="",F77,G77)/E77)</f>
        <v/>
      </c>
      <c r="O77" s="20" t="n"/>
      <c r="P77" s="5" t="n"/>
      <c r="Q77" s="5" t="n"/>
    </row>
    <row r="78">
      <c r="A78" s="5" t="n"/>
      <c r="B78" s="13" t="n"/>
      <c r="C78" s="14" t="n"/>
      <c r="D78" s="15" t="n"/>
      <c r="E78" s="22" t="n"/>
      <c r="F78" s="21" t="n"/>
      <c r="G78" s="21" t="n"/>
      <c r="H78" s="5" t="n"/>
      <c r="I78" s="5" t="n"/>
      <c r="J78" s="14" t="n"/>
      <c r="K78" s="18" t="str">
        <f>IF(C78="","",SUMIF('Buyer payments'!$A$8:$A$507,C78,'Buyer payments'!$F$8:$F$507))</f>
        <v/>
      </c>
      <c r="L78" s="18" t="str">
        <f>IF(OR(C78="",AND(H78&lt;&gt;"Contract signed",H78&lt;&gt;"Handed over")),"",IF(G78="",F78,G78)-N(K78))</f>
        <v/>
      </c>
      <c r="M78" s="19" t="str">
        <f>IF(L78="","",IFERROR(N(K78)/IF(G78="",F78,G78),0))</f>
        <v/>
      </c>
      <c r="N78" s="18" t="str">
        <f>IF(OR(C78="",N(E78)=0),"",IF(G78="",F78,G78)/E78)</f>
        <v/>
      </c>
      <c r="O78" s="20" t="n"/>
      <c r="P78" s="5" t="n"/>
      <c r="Q78" s="5" t="n"/>
    </row>
    <row r="79">
      <c r="A79" s="5" t="n"/>
      <c r="B79" s="13" t="n"/>
      <c r="C79" s="14" t="n"/>
      <c r="D79" s="15" t="n"/>
      <c r="E79" s="22" t="n"/>
      <c r="F79" s="21" t="n"/>
      <c r="G79" s="21" t="n"/>
      <c r="H79" s="5" t="n"/>
      <c r="I79" s="5" t="n"/>
      <c r="J79" s="14" t="n"/>
      <c r="K79" s="18" t="str">
        <f>IF(C79="","",SUMIF('Buyer payments'!$A$8:$A$507,C79,'Buyer payments'!$F$8:$F$507))</f>
        <v/>
      </c>
      <c r="L79" s="18" t="str">
        <f>IF(OR(C79="",AND(H79&lt;&gt;"Contract signed",H79&lt;&gt;"Handed over")),"",IF(G79="",F79,G79)-N(K79))</f>
        <v/>
      </c>
      <c r="M79" s="19" t="str">
        <f>IF(L79="","",IFERROR(N(K79)/IF(G79="",F79,G79),0))</f>
        <v/>
      </c>
      <c r="N79" s="18" t="str">
        <f>IF(OR(C79="",N(E79)=0),"",IF(G79="",F79,G79)/E79)</f>
        <v/>
      </c>
      <c r="O79" s="20" t="n"/>
      <c r="P79" s="5" t="n"/>
      <c r="Q79" s="5" t="n"/>
    </row>
    <row r="80">
      <c r="A80" s="5" t="n"/>
      <c r="B80" s="13" t="n"/>
      <c r="C80" s="14" t="n"/>
      <c r="D80" s="15" t="n"/>
      <c r="E80" s="22" t="n"/>
      <c r="F80" s="21" t="n"/>
      <c r="G80" s="21" t="n"/>
      <c r="H80" s="5" t="n"/>
      <c r="I80" s="5" t="n"/>
      <c r="J80" s="14" t="n"/>
      <c r="K80" s="18" t="str">
        <f>IF(C80="","",SUMIF('Buyer payments'!$A$8:$A$507,C80,'Buyer payments'!$F$8:$F$507))</f>
        <v/>
      </c>
      <c r="L80" s="18" t="str">
        <f>IF(OR(C80="",AND(H80&lt;&gt;"Contract signed",H80&lt;&gt;"Handed over")),"",IF(G80="",F80,G80)-N(K80))</f>
        <v/>
      </c>
      <c r="M80" s="19" t="str">
        <f>IF(L80="","",IFERROR(N(K80)/IF(G80="",F80,G80),0))</f>
        <v/>
      </c>
      <c r="N80" s="18" t="str">
        <f>IF(OR(C80="",N(E80)=0),"",IF(G80="",F80,G80)/E80)</f>
        <v/>
      </c>
      <c r="O80" s="20" t="n"/>
      <c r="P80" s="5" t="n"/>
      <c r="Q80" s="5" t="n"/>
    </row>
    <row r="81">
      <c r="A81" s="5" t="n"/>
      <c r="B81" s="13" t="n"/>
      <c r="C81" s="14" t="n"/>
      <c r="D81" s="15" t="n"/>
      <c r="E81" s="22" t="n"/>
      <c r="F81" s="21" t="n"/>
      <c r="G81" s="21" t="n"/>
      <c r="H81" s="5" t="n"/>
      <c r="I81" s="5" t="n"/>
      <c r="J81" s="14" t="n"/>
      <c r="K81" s="18" t="str">
        <f>IF(C81="","",SUMIF('Buyer payments'!$A$8:$A$507,C81,'Buyer payments'!$F$8:$F$507))</f>
        <v/>
      </c>
      <c r="L81" s="18" t="str">
        <f>IF(OR(C81="",AND(H81&lt;&gt;"Contract signed",H81&lt;&gt;"Handed over")),"",IF(G81="",F81,G81)-N(K81))</f>
        <v/>
      </c>
      <c r="M81" s="19" t="str">
        <f>IF(L81="","",IFERROR(N(K81)/IF(G81="",F81,G81),0))</f>
        <v/>
      </c>
      <c r="N81" s="18" t="str">
        <f>IF(OR(C81="",N(E81)=0),"",IF(G81="",F81,G81)/E81)</f>
        <v/>
      </c>
      <c r="O81" s="20" t="n"/>
      <c r="P81" s="5" t="n"/>
      <c r="Q81" s="5" t="n"/>
    </row>
    <row r="82">
      <c r="A82" s="5" t="n"/>
      <c r="B82" s="13" t="n"/>
      <c r="C82" s="14" t="n"/>
      <c r="D82" s="15" t="n"/>
      <c r="E82" s="22" t="n"/>
      <c r="F82" s="21" t="n"/>
      <c r="G82" s="21" t="n"/>
      <c r="H82" s="5" t="n"/>
      <c r="I82" s="5" t="n"/>
      <c r="J82" s="14" t="n"/>
      <c r="K82" s="18" t="str">
        <f>IF(C82="","",SUMIF('Buyer payments'!$A$8:$A$507,C82,'Buyer payments'!$F$8:$F$507))</f>
        <v/>
      </c>
      <c r="L82" s="18" t="str">
        <f>IF(OR(C82="",AND(H82&lt;&gt;"Contract signed",H82&lt;&gt;"Handed over")),"",IF(G82="",F82,G82)-N(K82))</f>
        <v/>
      </c>
      <c r="M82" s="19" t="str">
        <f>IF(L82="","",IFERROR(N(K82)/IF(G82="",F82,G82),0))</f>
        <v/>
      </c>
      <c r="N82" s="18" t="str">
        <f>IF(OR(C82="",N(E82)=0),"",IF(G82="",F82,G82)/E82)</f>
        <v/>
      </c>
      <c r="O82" s="20" t="n"/>
      <c r="P82" s="5" t="n"/>
      <c r="Q82" s="5" t="n"/>
    </row>
    <row r="83">
      <c r="A83" s="5" t="n"/>
      <c r="B83" s="13" t="n"/>
      <c r="C83" s="14" t="n"/>
      <c r="D83" s="15" t="n"/>
      <c r="E83" s="22" t="n"/>
      <c r="F83" s="21" t="n"/>
      <c r="G83" s="21" t="n"/>
      <c r="H83" s="5" t="n"/>
      <c r="I83" s="5" t="n"/>
      <c r="J83" s="14" t="n"/>
      <c r="K83" s="18" t="str">
        <f>IF(C83="","",SUMIF('Buyer payments'!$A$8:$A$507,C83,'Buyer payments'!$F$8:$F$507))</f>
        <v/>
      </c>
      <c r="L83" s="18" t="str">
        <f>IF(OR(C83="",AND(H83&lt;&gt;"Contract signed",H83&lt;&gt;"Handed over")),"",IF(G83="",F83,G83)-N(K83))</f>
        <v/>
      </c>
      <c r="M83" s="19" t="str">
        <f>IF(L83="","",IFERROR(N(K83)/IF(G83="",F83,G83),0))</f>
        <v/>
      </c>
      <c r="N83" s="18" t="str">
        <f>IF(OR(C83="",N(E83)=0),"",IF(G83="",F83,G83)/E83)</f>
        <v/>
      </c>
      <c r="O83" s="20" t="n"/>
      <c r="P83" s="5" t="n"/>
      <c r="Q83" s="5" t="n"/>
    </row>
    <row r="84">
      <c r="A84" s="5" t="n"/>
      <c r="B84" s="13" t="n"/>
      <c r="C84" s="14" t="n"/>
      <c r="D84" s="15" t="n"/>
      <c r="E84" s="22" t="n"/>
      <c r="F84" s="21" t="n"/>
      <c r="G84" s="21" t="n"/>
      <c r="H84" s="5" t="n"/>
      <c r="I84" s="5" t="n"/>
      <c r="J84" s="14" t="n"/>
      <c r="K84" s="18" t="str">
        <f>IF(C84="","",SUMIF('Buyer payments'!$A$8:$A$507,C84,'Buyer payments'!$F$8:$F$507))</f>
        <v/>
      </c>
      <c r="L84" s="18" t="str">
        <f>IF(OR(C84="",AND(H84&lt;&gt;"Contract signed",H84&lt;&gt;"Handed over")),"",IF(G84="",F84,G84)-N(K84))</f>
        <v/>
      </c>
      <c r="M84" s="19" t="str">
        <f>IF(L84="","",IFERROR(N(K84)/IF(G84="",F84,G84),0))</f>
        <v/>
      </c>
      <c r="N84" s="18" t="str">
        <f>IF(OR(C84="",N(E84)=0),"",IF(G84="",F84,G84)/E84)</f>
        <v/>
      </c>
      <c r="O84" s="20" t="n"/>
      <c r="P84" s="5" t="n"/>
      <c r="Q84" s="5" t="n"/>
    </row>
    <row r="85">
      <c r="A85" s="5" t="n"/>
      <c r="B85" s="13" t="n"/>
      <c r="C85" s="14" t="n"/>
      <c r="D85" s="15" t="n"/>
      <c r="E85" s="22" t="n"/>
      <c r="F85" s="21" t="n"/>
      <c r="G85" s="21" t="n"/>
      <c r="H85" s="5" t="n"/>
      <c r="I85" s="5" t="n"/>
      <c r="J85" s="14" t="n"/>
      <c r="K85" s="18" t="str">
        <f>IF(C85="","",SUMIF('Buyer payments'!$A$8:$A$507,C85,'Buyer payments'!$F$8:$F$507))</f>
        <v/>
      </c>
      <c r="L85" s="18" t="str">
        <f>IF(OR(C85="",AND(H85&lt;&gt;"Contract signed",H85&lt;&gt;"Handed over")),"",IF(G85="",F85,G85)-N(K85))</f>
        <v/>
      </c>
      <c r="M85" s="19" t="str">
        <f>IF(L85="","",IFERROR(N(K85)/IF(G85="",F85,G85),0))</f>
        <v/>
      </c>
      <c r="N85" s="18" t="str">
        <f>IF(OR(C85="",N(E85)=0),"",IF(G85="",F85,G85)/E85)</f>
        <v/>
      </c>
      <c r="O85" s="20" t="n"/>
      <c r="P85" s="5" t="n"/>
      <c r="Q85" s="5" t="n"/>
    </row>
    <row r="86">
      <c r="A86" s="5" t="n"/>
      <c r="B86" s="13" t="n"/>
      <c r="C86" s="14" t="n"/>
      <c r="D86" s="15" t="n"/>
      <c r="E86" s="22" t="n"/>
      <c r="F86" s="21" t="n"/>
      <c r="G86" s="21" t="n"/>
      <c r="H86" s="5" t="n"/>
      <c r="I86" s="5" t="n"/>
      <c r="J86" s="14" t="n"/>
      <c r="K86" s="18" t="str">
        <f>IF(C86="","",SUMIF('Buyer payments'!$A$8:$A$507,C86,'Buyer payments'!$F$8:$F$507))</f>
        <v/>
      </c>
      <c r="L86" s="18" t="str">
        <f>IF(OR(C86="",AND(H86&lt;&gt;"Contract signed",H86&lt;&gt;"Handed over")),"",IF(G86="",F86,G86)-N(K86))</f>
        <v/>
      </c>
      <c r="M86" s="19" t="str">
        <f>IF(L86="","",IFERROR(N(K86)/IF(G86="",F86,G86),0))</f>
        <v/>
      </c>
      <c r="N86" s="18" t="str">
        <f>IF(OR(C86="",N(E86)=0),"",IF(G86="",F86,G86)/E86)</f>
        <v/>
      </c>
      <c r="O86" s="20" t="n"/>
      <c r="P86" s="5" t="n"/>
      <c r="Q86" s="5" t="n"/>
    </row>
    <row r="87">
      <c r="A87" s="5" t="n"/>
      <c r="B87" s="13" t="n"/>
      <c r="C87" s="14" t="n"/>
      <c r="D87" s="15" t="n"/>
      <c r="E87" s="22" t="n"/>
      <c r="F87" s="21" t="n"/>
      <c r="G87" s="21" t="n"/>
      <c r="H87" s="5" t="n"/>
      <c r="I87" s="5" t="n"/>
      <c r="J87" s="14" t="n"/>
      <c r="K87" s="18" t="str">
        <f>IF(C87="","",SUMIF('Buyer payments'!$A$8:$A$507,C87,'Buyer payments'!$F$8:$F$507))</f>
        <v/>
      </c>
      <c r="L87" s="18" t="str">
        <f>IF(OR(C87="",AND(H87&lt;&gt;"Contract signed",H87&lt;&gt;"Handed over")),"",IF(G87="",F87,G87)-N(K87))</f>
        <v/>
      </c>
      <c r="M87" s="19" t="str">
        <f>IF(L87="","",IFERROR(N(K87)/IF(G87="",F87,G87),0))</f>
        <v/>
      </c>
      <c r="N87" s="18" t="str">
        <f>IF(OR(C87="",N(E87)=0),"",IF(G87="",F87,G87)/E87)</f>
        <v/>
      </c>
      <c r="O87" s="20" t="n"/>
      <c r="P87" s="5" t="n"/>
      <c r="Q87" s="5" t="n"/>
    </row>
    <row r="88">
      <c r="A88" s="5" t="n"/>
      <c r="B88" s="13" t="n"/>
      <c r="C88" s="14" t="n"/>
      <c r="D88" s="15" t="n"/>
      <c r="E88" s="22" t="n"/>
      <c r="F88" s="21" t="n"/>
      <c r="G88" s="21" t="n"/>
      <c r="H88" s="5" t="n"/>
      <c r="I88" s="5" t="n"/>
      <c r="J88" s="14" t="n"/>
      <c r="K88" s="18" t="str">
        <f>IF(C88="","",SUMIF('Buyer payments'!$A$8:$A$507,C88,'Buyer payments'!$F$8:$F$507))</f>
        <v/>
      </c>
      <c r="L88" s="18" t="str">
        <f>IF(OR(C88="",AND(H88&lt;&gt;"Contract signed",H88&lt;&gt;"Handed over")),"",IF(G88="",F88,G88)-N(K88))</f>
        <v/>
      </c>
      <c r="M88" s="19" t="str">
        <f>IF(L88="","",IFERROR(N(K88)/IF(G88="",F88,G88),0))</f>
        <v/>
      </c>
      <c r="N88" s="18" t="str">
        <f>IF(OR(C88="",N(E88)=0),"",IF(G88="",F88,G88)/E88)</f>
        <v/>
      </c>
      <c r="O88" s="20" t="n"/>
      <c r="P88" s="5" t="n"/>
      <c r="Q88" s="5" t="n"/>
    </row>
    <row r="89">
      <c r="A89" s="5" t="n"/>
      <c r="B89" s="13" t="n"/>
      <c r="C89" s="14" t="n"/>
      <c r="D89" s="15" t="n"/>
      <c r="E89" s="22" t="n"/>
      <c r="F89" s="21" t="n"/>
      <c r="G89" s="21" t="n"/>
      <c r="H89" s="5" t="n"/>
      <c r="I89" s="5" t="n"/>
      <c r="J89" s="14" t="n"/>
      <c r="K89" s="18" t="str">
        <f>IF(C89="","",SUMIF('Buyer payments'!$A$8:$A$507,C89,'Buyer payments'!$F$8:$F$507))</f>
        <v/>
      </c>
      <c r="L89" s="18" t="str">
        <f>IF(OR(C89="",AND(H89&lt;&gt;"Contract signed",H89&lt;&gt;"Handed over")),"",IF(G89="",F89,G89)-N(K89))</f>
        <v/>
      </c>
      <c r="M89" s="19" t="str">
        <f>IF(L89="","",IFERROR(N(K89)/IF(G89="",F89,G89),0))</f>
        <v/>
      </c>
      <c r="N89" s="18" t="str">
        <f>IF(OR(C89="",N(E89)=0),"",IF(G89="",F89,G89)/E89)</f>
        <v/>
      </c>
      <c r="O89" s="20" t="n"/>
      <c r="P89" s="5" t="n"/>
      <c r="Q89" s="5" t="n"/>
    </row>
    <row r="90">
      <c r="A90" s="5" t="n"/>
      <c r="B90" s="13" t="n"/>
      <c r="C90" s="14" t="n"/>
      <c r="D90" s="15" t="n"/>
      <c r="E90" s="22" t="n"/>
      <c r="F90" s="21" t="n"/>
      <c r="G90" s="21" t="n"/>
      <c r="H90" s="5" t="n"/>
      <c r="I90" s="5" t="n"/>
      <c r="J90" s="14" t="n"/>
      <c r="K90" s="18" t="str">
        <f>IF(C90="","",SUMIF('Buyer payments'!$A$8:$A$507,C90,'Buyer payments'!$F$8:$F$507))</f>
        <v/>
      </c>
      <c r="L90" s="18" t="str">
        <f>IF(OR(C90="",AND(H90&lt;&gt;"Contract signed",H90&lt;&gt;"Handed over")),"",IF(G90="",F90,G90)-N(K90))</f>
        <v/>
      </c>
      <c r="M90" s="19" t="str">
        <f>IF(L90="","",IFERROR(N(K90)/IF(G90="",F90,G90),0))</f>
        <v/>
      </c>
      <c r="N90" s="18" t="str">
        <f>IF(OR(C90="",N(E90)=0),"",IF(G90="",F90,G90)/E90)</f>
        <v/>
      </c>
      <c r="O90" s="20" t="n"/>
      <c r="P90" s="5" t="n"/>
      <c r="Q90" s="5" t="n"/>
    </row>
    <row r="91">
      <c r="A91" s="5" t="n"/>
      <c r="B91" s="13" t="n"/>
      <c r="C91" s="14" t="n"/>
      <c r="D91" s="15" t="n"/>
      <c r="E91" s="22" t="n"/>
      <c r="F91" s="21" t="n"/>
      <c r="G91" s="21" t="n"/>
      <c r="H91" s="5" t="n"/>
      <c r="I91" s="5" t="n"/>
      <c r="J91" s="14" t="n"/>
      <c r="K91" s="18" t="str">
        <f>IF(C91="","",SUMIF('Buyer payments'!$A$8:$A$507,C91,'Buyer payments'!$F$8:$F$507))</f>
        <v/>
      </c>
      <c r="L91" s="18" t="str">
        <f>IF(OR(C91="",AND(H91&lt;&gt;"Contract signed",H91&lt;&gt;"Handed over")),"",IF(G91="",F91,G91)-N(K91))</f>
        <v/>
      </c>
      <c r="M91" s="19" t="str">
        <f>IF(L91="","",IFERROR(N(K91)/IF(G91="",F91,G91),0))</f>
        <v/>
      </c>
      <c r="N91" s="18" t="str">
        <f>IF(OR(C91="",N(E91)=0),"",IF(G91="",F91,G91)/E91)</f>
        <v/>
      </c>
      <c r="O91" s="20" t="n"/>
      <c r="P91" s="5" t="n"/>
      <c r="Q91" s="5" t="n"/>
    </row>
    <row r="92">
      <c r="A92" s="5" t="n"/>
      <c r="B92" s="13" t="n"/>
      <c r="C92" s="14" t="n"/>
      <c r="D92" s="15" t="n"/>
      <c r="E92" s="22" t="n"/>
      <c r="F92" s="21" t="n"/>
      <c r="G92" s="21" t="n"/>
      <c r="H92" s="5" t="n"/>
      <c r="I92" s="5" t="n"/>
      <c r="J92" s="14" t="n"/>
      <c r="K92" s="18" t="str">
        <f>IF(C92="","",SUMIF('Buyer payments'!$A$8:$A$507,C92,'Buyer payments'!$F$8:$F$507))</f>
        <v/>
      </c>
      <c r="L92" s="18" t="str">
        <f>IF(OR(C92="",AND(H92&lt;&gt;"Contract signed",H92&lt;&gt;"Handed over")),"",IF(G92="",F92,G92)-N(K92))</f>
        <v/>
      </c>
      <c r="M92" s="19" t="str">
        <f>IF(L92="","",IFERROR(N(K92)/IF(G92="",F92,G92),0))</f>
        <v/>
      </c>
      <c r="N92" s="18" t="str">
        <f>IF(OR(C92="",N(E92)=0),"",IF(G92="",F92,G92)/E92)</f>
        <v/>
      </c>
      <c r="O92" s="20" t="n"/>
      <c r="P92" s="5" t="n"/>
      <c r="Q92" s="5" t="n"/>
    </row>
    <row r="93">
      <c r="A93" s="5" t="n"/>
      <c r="B93" s="13" t="n"/>
      <c r="C93" s="14" t="n"/>
      <c r="D93" s="15" t="n"/>
      <c r="E93" s="22" t="n"/>
      <c r="F93" s="21" t="n"/>
      <c r="G93" s="21" t="n"/>
      <c r="H93" s="5" t="n"/>
      <c r="I93" s="5" t="n"/>
      <c r="J93" s="14" t="n"/>
      <c r="K93" s="18" t="str">
        <f>IF(C93="","",SUMIF('Buyer payments'!$A$8:$A$507,C93,'Buyer payments'!$F$8:$F$507))</f>
        <v/>
      </c>
      <c r="L93" s="18" t="str">
        <f>IF(OR(C93="",AND(H93&lt;&gt;"Contract signed",H93&lt;&gt;"Handed over")),"",IF(G93="",F93,G93)-N(K93))</f>
        <v/>
      </c>
      <c r="M93" s="19" t="str">
        <f>IF(L93="","",IFERROR(N(K93)/IF(G93="",F93,G93),0))</f>
        <v/>
      </c>
      <c r="N93" s="18" t="str">
        <f>IF(OR(C93="",N(E93)=0),"",IF(G93="",F93,G93)/E93)</f>
        <v/>
      </c>
      <c r="O93" s="20" t="n"/>
      <c r="P93" s="5" t="n"/>
      <c r="Q93" s="5" t="n"/>
    </row>
    <row r="94">
      <c r="A94" s="5" t="n"/>
      <c r="B94" s="13" t="n"/>
      <c r="C94" s="14" t="n"/>
      <c r="D94" s="15" t="n"/>
      <c r="E94" s="22" t="n"/>
      <c r="F94" s="21" t="n"/>
      <c r="G94" s="21" t="n"/>
      <c r="H94" s="5" t="n"/>
      <c r="I94" s="5" t="n"/>
      <c r="J94" s="14" t="n"/>
      <c r="K94" s="18" t="str">
        <f>IF(C94="","",SUMIF('Buyer payments'!$A$8:$A$507,C94,'Buyer payments'!$F$8:$F$507))</f>
        <v/>
      </c>
      <c r="L94" s="18" t="str">
        <f>IF(OR(C94="",AND(H94&lt;&gt;"Contract signed",H94&lt;&gt;"Handed over")),"",IF(G94="",F94,G94)-N(K94))</f>
        <v/>
      </c>
      <c r="M94" s="19" t="str">
        <f>IF(L94="","",IFERROR(N(K94)/IF(G94="",F94,G94),0))</f>
        <v/>
      </c>
      <c r="N94" s="18" t="str">
        <f>IF(OR(C94="",N(E94)=0),"",IF(G94="",F94,G94)/E94)</f>
        <v/>
      </c>
      <c r="O94" s="20" t="n"/>
      <c r="P94" s="5" t="n"/>
      <c r="Q94" s="5" t="n"/>
    </row>
    <row r="95">
      <c r="A95" s="5" t="n"/>
      <c r="B95" s="13" t="n"/>
      <c r="C95" s="14" t="n"/>
      <c r="D95" s="15" t="n"/>
      <c r="E95" s="22" t="n"/>
      <c r="F95" s="21" t="n"/>
      <c r="G95" s="21" t="n"/>
      <c r="H95" s="5" t="n"/>
      <c r="I95" s="5" t="n"/>
      <c r="J95" s="14" t="n"/>
      <c r="K95" s="18" t="str">
        <f>IF(C95="","",SUMIF('Buyer payments'!$A$8:$A$507,C95,'Buyer payments'!$F$8:$F$507))</f>
        <v/>
      </c>
      <c r="L95" s="18" t="str">
        <f>IF(OR(C95="",AND(H95&lt;&gt;"Contract signed",H95&lt;&gt;"Handed over")),"",IF(G95="",F95,G95)-N(K95))</f>
        <v/>
      </c>
      <c r="M95" s="19" t="str">
        <f>IF(L95="","",IFERROR(N(K95)/IF(G95="",F95,G95),0))</f>
        <v/>
      </c>
      <c r="N95" s="18" t="str">
        <f>IF(OR(C95="",N(E95)=0),"",IF(G95="",F95,G95)/E95)</f>
        <v/>
      </c>
      <c r="O95" s="20" t="n"/>
      <c r="P95" s="5" t="n"/>
      <c r="Q95" s="5" t="n"/>
    </row>
    <row r="96">
      <c r="A96" s="5" t="n"/>
      <c r="B96" s="13" t="n"/>
      <c r="C96" s="14" t="n"/>
      <c r="D96" s="15" t="n"/>
      <c r="E96" s="22" t="n"/>
      <c r="F96" s="21" t="n"/>
      <c r="G96" s="21" t="n"/>
      <c r="H96" s="5" t="n"/>
      <c r="I96" s="5" t="n"/>
      <c r="J96" s="14" t="n"/>
      <c r="K96" s="18" t="str">
        <f>IF(C96="","",SUMIF('Buyer payments'!$A$8:$A$507,C96,'Buyer payments'!$F$8:$F$507))</f>
        <v/>
      </c>
      <c r="L96" s="18" t="str">
        <f>IF(OR(C96="",AND(H96&lt;&gt;"Contract signed",H96&lt;&gt;"Handed over")),"",IF(G96="",F96,G96)-N(K96))</f>
        <v/>
      </c>
      <c r="M96" s="19" t="str">
        <f>IF(L96="","",IFERROR(N(K96)/IF(G96="",F96,G96),0))</f>
        <v/>
      </c>
      <c r="N96" s="18" t="str">
        <f>IF(OR(C96="",N(E96)=0),"",IF(G96="",F96,G96)/E96)</f>
        <v/>
      </c>
      <c r="O96" s="20" t="n"/>
      <c r="P96" s="5" t="n"/>
      <c r="Q96" s="5" t="n"/>
    </row>
    <row r="97">
      <c r="A97" s="5" t="n"/>
      <c r="B97" s="13" t="n"/>
      <c r="C97" s="14" t="n"/>
      <c r="D97" s="15" t="n"/>
      <c r="E97" s="22" t="n"/>
      <c r="F97" s="21" t="n"/>
      <c r="G97" s="21" t="n"/>
      <c r="H97" s="5" t="n"/>
      <c r="I97" s="5" t="n"/>
      <c r="J97" s="14" t="n"/>
      <c r="K97" s="18" t="str">
        <f>IF(C97="","",SUMIF('Buyer payments'!$A$8:$A$507,C97,'Buyer payments'!$F$8:$F$507))</f>
        <v/>
      </c>
      <c r="L97" s="18" t="str">
        <f>IF(OR(C97="",AND(H97&lt;&gt;"Contract signed",H97&lt;&gt;"Handed over")),"",IF(G97="",F97,G97)-N(K97))</f>
        <v/>
      </c>
      <c r="M97" s="19" t="str">
        <f>IF(L97="","",IFERROR(N(K97)/IF(G97="",F97,G97),0))</f>
        <v/>
      </c>
      <c r="N97" s="18" t="str">
        <f>IF(OR(C97="",N(E97)=0),"",IF(G97="",F97,G97)/E97)</f>
        <v/>
      </c>
      <c r="O97" s="20" t="n"/>
      <c r="P97" s="5" t="n"/>
      <c r="Q97" s="5" t="n"/>
    </row>
    <row r="98">
      <c r="A98" s="5" t="n"/>
      <c r="B98" s="13" t="n"/>
      <c r="C98" s="14" t="n"/>
      <c r="D98" s="15" t="n"/>
      <c r="E98" s="22" t="n"/>
      <c r="F98" s="21" t="n"/>
      <c r="G98" s="21" t="n"/>
      <c r="H98" s="5" t="n"/>
      <c r="I98" s="5" t="n"/>
      <c r="J98" s="14" t="n"/>
      <c r="K98" s="18" t="str">
        <f>IF(C98="","",SUMIF('Buyer payments'!$A$8:$A$507,C98,'Buyer payments'!$F$8:$F$507))</f>
        <v/>
      </c>
      <c r="L98" s="18" t="str">
        <f>IF(OR(C98="",AND(H98&lt;&gt;"Contract signed",H98&lt;&gt;"Handed over")),"",IF(G98="",F98,G98)-N(K98))</f>
        <v/>
      </c>
      <c r="M98" s="19" t="str">
        <f>IF(L98="","",IFERROR(N(K98)/IF(G98="",F98,G98),0))</f>
        <v/>
      </c>
      <c r="N98" s="18" t="str">
        <f>IF(OR(C98="",N(E98)=0),"",IF(G98="",F98,G98)/E98)</f>
        <v/>
      </c>
      <c r="O98" s="20" t="n"/>
      <c r="P98" s="5" t="n"/>
      <c r="Q98" s="5" t="n"/>
    </row>
    <row r="99">
      <c r="A99" s="5" t="n"/>
      <c r="B99" s="13" t="n"/>
      <c r="C99" s="14" t="n"/>
      <c r="D99" s="15" t="n"/>
      <c r="E99" s="22" t="n"/>
      <c r="F99" s="21" t="n"/>
      <c r="G99" s="21" t="n"/>
      <c r="H99" s="5" t="n"/>
      <c r="I99" s="5" t="n"/>
      <c r="J99" s="14" t="n"/>
      <c r="K99" s="18" t="str">
        <f>IF(C99="","",SUMIF('Buyer payments'!$A$8:$A$507,C99,'Buyer payments'!$F$8:$F$507))</f>
        <v/>
      </c>
      <c r="L99" s="18" t="str">
        <f>IF(OR(C99="",AND(H99&lt;&gt;"Contract signed",H99&lt;&gt;"Handed over")),"",IF(G99="",F99,G99)-N(K99))</f>
        <v/>
      </c>
      <c r="M99" s="19" t="str">
        <f>IF(L99="","",IFERROR(N(K99)/IF(G99="",F99,G99),0))</f>
        <v/>
      </c>
      <c r="N99" s="18" t="str">
        <f>IF(OR(C99="",N(E99)=0),"",IF(G99="",F99,G99)/E99)</f>
        <v/>
      </c>
      <c r="O99" s="20" t="n"/>
      <c r="P99" s="5" t="n"/>
      <c r="Q99" s="5" t="n"/>
    </row>
    <row r="100">
      <c r="A100" s="5" t="n"/>
      <c r="B100" s="13" t="n"/>
      <c r="C100" s="14" t="n"/>
      <c r="D100" s="15" t="n"/>
      <c r="E100" s="22" t="n"/>
      <c r="F100" s="21" t="n"/>
      <c r="G100" s="21" t="n"/>
      <c r="H100" s="5" t="n"/>
      <c r="I100" s="5" t="n"/>
      <c r="J100" s="14" t="n"/>
      <c r="K100" s="18" t="str">
        <f>IF(C100="","",SUMIF('Buyer payments'!$A$8:$A$507,C100,'Buyer payments'!$F$8:$F$507))</f>
        <v/>
      </c>
      <c r="L100" s="18" t="str">
        <f>IF(OR(C100="",AND(H100&lt;&gt;"Contract signed",H100&lt;&gt;"Handed over")),"",IF(G100="",F100,G100)-N(K100))</f>
        <v/>
      </c>
      <c r="M100" s="19" t="str">
        <f>IF(L100="","",IFERROR(N(K100)/IF(G100="",F100,G100),0))</f>
        <v/>
      </c>
      <c r="N100" s="18" t="str">
        <f>IF(OR(C100="",N(E100)=0),"",IF(G100="",F100,G100)/E100)</f>
        <v/>
      </c>
      <c r="O100" s="20" t="n"/>
      <c r="P100" s="5" t="n"/>
      <c r="Q100" s="5" t="n"/>
    </row>
    <row r="101">
      <c r="A101" s="5" t="n"/>
      <c r="B101" s="13" t="n"/>
      <c r="C101" s="14" t="n"/>
      <c r="D101" s="15" t="n"/>
      <c r="E101" s="22" t="n"/>
      <c r="F101" s="21" t="n"/>
      <c r="G101" s="21" t="n"/>
      <c r="H101" s="5" t="n"/>
      <c r="I101" s="5" t="n"/>
      <c r="J101" s="14" t="n"/>
      <c r="K101" s="18" t="str">
        <f>IF(C101="","",SUMIF('Buyer payments'!$A$8:$A$507,C101,'Buyer payments'!$F$8:$F$507))</f>
        <v/>
      </c>
      <c r="L101" s="18" t="str">
        <f>IF(OR(C101="",AND(H101&lt;&gt;"Contract signed",H101&lt;&gt;"Handed over")),"",IF(G101="",F101,G101)-N(K101))</f>
        <v/>
      </c>
      <c r="M101" s="19" t="str">
        <f>IF(L101="","",IFERROR(N(K101)/IF(G101="",F101,G101),0))</f>
        <v/>
      </c>
      <c r="N101" s="18" t="str">
        <f>IF(OR(C101="",N(E101)=0),"",IF(G101="",F101,G101)/E101)</f>
        <v/>
      </c>
      <c r="O101" s="20" t="n"/>
      <c r="P101" s="5" t="n"/>
      <c r="Q101" s="5" t="n"/>
    </row>
    <row r="102">
      <c r="A102" s="5" t="n"/>
      <c r="B102" s="13" t="n"/>
      <c r="C102" s="14" t="n"/>
      <c r="D102" s="15" t="n"/>
      <c r="E102" s="22" t="n"/>
      <c r="F102" s="21" t="n"/>
      <c r="G102" s="21" t="n"/>
      <c r="H102" s="5" t="n"/>
      <c r="I102" s="5" t="n"/>
      <c r="J102" s="14" t="n"/>
      <c r="K102" s="18" t="str">
        <f>IF(C102="","",SUMIF('Buyer payments'!$A$8:$A$507,C102,'Buyer payments'!$F$8:$F$507))</f>
        <v/>
      </c>
      <c r="L102" s="18" t="str">
        <f>IF(OR(C102="",AND(H102&lt;&gt;"Contract signed",H102&lt;&gt;"Handed over")),"",IF(G102="",F102,G102)-N(K102))</f>
        <v/>
      </c>
      <c r="M102" s="19" t="str">
        <f>IF(L102="","",IFERROR(N(K102)/IF(G102="",F102,G102),0))</f>
        <v/>
      </c>
      <c r="N102" s="18" t="str">
        <f>IF(OR(C102="",N(E102)=0),"",IF(G102="",F102,G102)/E102)</f>
        <v/>
      </c>
      <c r="O102" s="20" t="n"/>
      <c r="P102" s="5" t="n"/>
      <c r="Q102" s="5" t="n"/>
    </row>
    <row r="103">
      <c r="A103" s="5" t="n"/>
      <c r="B103" s="13" t="n"/>
      <c r="C103" s="14" t="n"/>
      <c r="D103" s="15" t="n"/>
      <c r="E103" s="22" t="n"/>
      <c r="F103" s="21" t="n"/>
      <c r="G103" s="21" t="n"/>
      <c r="H103" s="5" t="n"/>
      <c r="I103" s="5" t="n"/>
      <c r="J103" s="14" t="n"/>
      <c r="K103" s="18" t="str">
        <f>IF(C103="","",SUMIF('Buyer payments'!$A$8:$A$507,C103,'Buyer payments'!$F$8:$F$507))</f>
        <v/>
      </c>
      <c r="L103" s="18" t="str">
        <f>IF(OR(C103="",AND(H103&lt;&gt;"Contract signed",H103&lt;&gt;"Handed over")),"",IF(G103="",F103,G103)-N(K103))</f>
        <v/>
      </c>
      <c r="M103" s="19" t="str">
        <f>IF(L103="","",IFERROR(N(K103)/IF(G103="",F103,G103),0))</f>
        <v/>
      </c>
      <c r="N103" s="18" t="str">
        <f>IF(OR(C103="",N(E103)=0),"",IF(G103="",F103,G103)/E103)</f>
        <v/>
      </c>
      <c r="O103" s="20" t="n"/>
      <c r="P103" s="5" t="n"/>
      <c r="Q103" s="5" t="n"/>
    </row>
    <row r="104">
      <c r="A104" s="5" t="n"/>
      <c r="B104" s="13" t="n"/>
      <c r="C104" s="14" t="n"/>
      <c r="D104" s="15" t="n"/>
      <c r="E104" s="22" t="n"/>
      <c r="F104" s="21" t="n"/>
      <c r="G104" s="21" t="n"/>
      <c r="H104" s="5" t="n"/>
      <c r="I104" s="5" t="n"/>
      <c r="J104" s="14" t="n"/>
      <c r="K104" s="18" t="str">
        <f>IF(C104="","",SUMIF('Buyer payments'!$A$8:$A$507,C104,'Buyer payments'!$F$8:$F$507))</f>
        <v/>
      </c>
      <c r="L104" s="18" t="str">
        <f>IF(OR(C104="",AND(H104&lt;&gt;"Contract signed",H104&lt;&gt;"Handed over")),"",IF(G104="",F104,G104)-N(K104))</f>
        <v/>
      </c>
      <c r="M104" s="19" t="str">
        <f>IF(L104="","",IFERROR(N(K104)/IF(G104="",F104,G104),0))</f>
        <v/>
      </c>
      <c r="N104" s="18" t="str">
        <f>IF(OR(C104="",N(E104)=0),"",IF(G104="",F104,G104)/E104)</f>
        <v/>
      </c>
      <c r="O104" s="20" t="n"/>
      <c r="P104" s="5" t="n"/>
      <c r="Q104" s="5" t="n"/>
    </row>
    <row r="105">
      <c r="A105" s="5" t="n"/>
      <c r="B105" s="13" t="n"/>
      <c r="C105" s="14" t="n"/>
      <c r="D105" s="15" t="n"/>
      <c r="E105" s="22" t="n"/>
      <c r="F105" s="21" t="n"/>
      <c r="G105" s="21" t="n"/>
      <c r="H105" s="5" t="n"/>
      <c r="I105" s="5" t="n"/>
      <c r="J105" s="14" t="n"/>
      <c r="K105" s="18" t="str">
        <f>IF(C105="","",SUMIF('Buyer payments'!$A$8:$A$507,C105,'Buyer payments'!$F$8:$F$507))</f>
        <v/>
      </c>
      <c r="L105" s="18" t="str">
        <f>IF(OR(C105="",AND(H105&lt;&gt;"Contract signed",H105&lt;&gt;"Handed over")),"",IF(G105="",F105,G105)-N(K105))</f>
        <v/>
      </c>
      <c r="M105" s="19" t="str">
        <f>IF(L105="","",IFERROR(N(K105)/IF(G105="",F105,G105),0))</f>
        <v/>
      </c>
      <c r="N105" s="18" t="str">
        <f>IF(OR(C105="",N(E105)=0),"",IF(G105="",F105,G105)/E105)</f>
        <v/>
      </c>
      <c r="O105" s="20" t="n"/>
      <c r="P105" s="5" t="n"/>
      <c r="Q105" s="5" t="n"/>
    </row>
    <row r="106">
      <c r="A106" s="5" t="n"/>
      <c r="B106" s="13" t="n"/>
      <c r="C106" s="14" t="n"/>
      <c r="D106" s="15" t="n"/>
      <c r="E106" s="22" t="n"/>
      <c r="F106" s="21" t="n"/>
      <c r="G106" s="21" t="n"/>
      <c r="H106" s="5" t="n"/>
      <c r="I106" s="5" t="n"/>
      <c r="J106" s="14" t="n"/>
      <c r="K106" s="18" t="str">
        <f>IF(C106="","",SUMIF('Buyer payments'!$A$8:$A$507,C106,'Buyer payments'!$F$8:$F$507))</f>
        <v/>
      </c>
      <c r="L106" s="18" t="str">
        <f>IF(OR(C106="",AND(H106&lt;&gt;"Contract signed",H106&lt;&gt;"Handed over")),"",IF(G106="",F106,G106)-N(K106))</f>
        <v/>
      </c>
      <c r="M106" s="19" t="str">
        <f>IF(L106="","",IFERROR(N(K106)/IF(G106="",F106,G106),0))</f>
        <v/>
      </c>
      <c r="N106" s="18" t="str">
        <f>IF(OR(C106="",N(E106)=0),"",IF(G106="",F106,G106)/E106)</f>
        <v/>
      </c>
      <c r="O106" s="20" t="n"/>
      <c r="P106" s="5" t="n"/>
      <c r="Q106" s="5" t="n"/>
    </row>
    <row r="107">
      <c r="A107" s="5" t="n"/>
      <c r="B107" s="13" t="n"/>
      <c r="C107" s="14" t="n"/>
      <c r="D107" s="15" t="n"/>
      <c r="E107" s="22" t="n"/>
      <c r="F107" s="21" t="n"/>
      <c r="G107" s="21" t="n"/>
      <c r="H107" s="5" t="n"/>
      <c r="I107" s="5" t="n"/>
      <c r="J107" s="14" t="n"/>
      <c r="K107" s="18" t="str">
        <f>IF(C107="","",SUMIF('Buyer payments'!$A$8:$A$507,C107,'Buyer payments'!$F$8:$F$507))</f>
        <v/>
      </c>
      <c r="L107" s="18" t="str">
        <f>IF(OR(C107="",AND(H107&lt;&gt;"Contract signed",H107&lt;&gt;"Handed over")),"",IF(G107="",F107,G107)-N(K107))</f>
        <v/>
      </c>
      <c r="M107" s="19" t="str">
        <f>IF(L107="","",IFERROR(N(K107)/IF(G107="",F107,G107),0))</f>
        <v/>
      </c>
      <c r="N107" s="18" t="str">
        <f>IF(OR(C107="",N(E107)=0),"",IF(G107="",F107,G107)/E107)</f>
        <v/>
      </c>
      <c r="O107" s="20" t="n"/>
      <c r="P107" s="5" t="n"/>
      <c r="Q107" s="5" t="n"/>
    </row>
    <row r="108">
      <c r="A108" s="5" t="n"/>
      <c r="B108" s="13" t="n"/>
      <c r="C108" s="14" t="n"/>
      <c r="D108" s="15" t="n"/>
      <c r="E108" s="22" t="n"/>
      <c r="F108" s="21" t="n"/>
      <c r="G108" s="21" t="n"/>
      <c r="H108" s="5" t="n"/>
      <c r="I108" s="5" t="n"/>
      <c r="J108" s="14" t="n"/>
      <c r="K108" s="18" t="str">
        <f>IF(C108="","",SUMIF('Buyer payments'!$A$8:$A$507,C108,'Buyer payments'!$F$8:$F$507))</f>
        <v/>
      </c>
      <c r="L108" s="18" t="str">
        <f>IF(OR(C108="",AND(H108&lt;&gt;"Contract signed",H108&lt;&gt;"Handed over")),"",IF(G108="",F108,G108)-N(K108))</f>
        <v/>
      </c>
      <c r="M108" s="19" t="str">
        <f>IF(L108="","",IFERROR(N(K108)/IF(G108="",F108,G108),0))</f>
        <v/>
      </c>
      <c r="N108" s="18" t="str">
        <f>IF(OR(C108="",N(E108)=0),"",IF(G108="",F108,G108)/E108)</f>
        <v/>
      </c>
      <c r="O108" s="20" t="n"/>
      <c r="P108" s="5" t="n"/>
      <c r="Q108" s="5" t="n"/>
    </row>
    <row r="109">
      <c r="A109" s="5" t="n"/>
      <c r="B109" s="13" t="n"/>
      <c r="C109" s="14" t="n"/>
      <c r="D109" s="15" t="n"/>
      <c r="E109" s="22" t="n"/>
      <c r="F109" s="21" t="n"/>
      <c r="G109" s="21" t="n"/>
      <c r="H109" s="5" t="n"/>
      <c r="I109" s="5" t="n"/>
      <c r="J109" s="14" t="n"/>
      <c r="K109" s="18" t="str">
        <f>IF(C109="","",SUMIF('Buyer payments'!$A$8:$A$507,C109,'Buyer payments'!$F$8:$F$507))</f>
        <v/>
      </c>
      <c r="L109" s="18" t="str">
        <f>IF(OR(C109="",AND(H109&lt;&gt;"Contract signed",H109&lt;&gt;"Handed over")),"",IF(G109="",F109,G109)-N(K109))</f>
        <v/>
      </c>
      <c r="M109" s="19" t="str">
        <f>IF(L109="","",IFERROR(N(K109)/IF(G109="",F109,G109),0))</f>
        <v/>
      </c>
      <c r="N109" s="18" t="str">
        <f>IF(OR(C109="",N(E109)=0),"",IF(G109="",F109,G109)/E109)</f>
        <v/>
      </c>
      <c r="O109" s="20" t="n"/>
      <c r="P109" s="5" t="n"/>
      <c r="Q109" s="5" t="n"/>
    </row>
    <row r="110">
      <c r="A110" s="5" t="n"/>
      <c r="B110" s="13" t="n"/>
      <c r="C110" s="14" t="n"/>
      <c r="D110" s="15" t="n"/>
      <c r="E110" s="22" t="n"/>
      <c r="F110" s="21" t="n"/>
      <c r="G110" s="21" t="n"/>
      <c r="H110" s="5" t="n"/>
      <c r="I110" s="5" t="n"/>
      <c r="J110" s="14" t="n"/>
      <c r="K110" s="18" t="str">
        <f>IF(C110="","",SUMIF('Buyer payments'!$A$8:$A$507,C110,'Buyer payments'!$F$8:$F$507))</f>
        <v/>
      </c>
      <c r="L110" s="18" t="str">
        <f>IF(OR(C110="",AND(H110&lt;&gt;"Contract signed",H110&lt;&gt;"Handed over")),"",IF(G110="",F110,G110)-N(K110))</f>
        <v/>
      </c>
      <c r="M110" s="19" t="str">
        <f>IF(L110="","",IFERROR(N(K110)/IF(G110="",F110,G110),0))</f>
        <v/>
      </c>
      <c r="N110" s="18" t="str">
        <f>IF(OR(C110="",N(E110)=0),"",IF(G110="",F110,G110)/E110)</f>
        <v/>
      </c>
      <c r="O110" s="20" t="n"/>
      <c r="P110" s="5" t="n"/>
      <c r="Q110" s="5" t="n"/>
    </row>
    <row r="111">
      <c r="A111" s="5" t="n"/>
      <c r="B111" s="13" t="n"/>
      <c r="C111" s="14" t="n"/>
      <c r="D111" s="15" t="n"/>
      <c r="E111" s="22" t="n"/>
      <c r="F111" s="21" t="n"/>
      <c r="G111" s="21" t="n"/>
      <c r="H111" s="5" t="n"/>
      <c r="I111" s="5" t="n"/>
      <c r="J111" s="14" t="n"/>
      <c r="K111" s="18" t="str">
        <f>IF(C111="","",SUMIF('Buyer payments'!$A$8:$A$507,C111,'Buyer payments'!$F$8:$F$507))</f>
        <v/>
      </c>
      <c r="L111" s="18" t="str">
        <f>IF(OR(C111="",AND(H111&lt;&gt;"Contract signed",H111&lt;&gt;"Handed over")),"",IF(G111="",F111,G111)-N(K111))</f>
        <v/>
      </c>
      <c r="M111" s="19" t="str">
        <f>IF(L111="","",IFERROR(N(K111)/IF(G111="",F111,G111),0))</f>
        <v/>
      </c>
      <c r="N111" s="18" t="str">
        <f>IF(OR(C111="",N(E111)=0),"",IF(G111="",F111,G111)/E111)</f>
        <v/>
      </c>
      <c r="O111" s="20" t="n"/>
      <c r="P111" s="5" t="n"/>
      <c r="Q111" s="5" t="n"/>
    </row>
    <row r="112">
      <c r="A112" s="5" t="n"/>
      <c r="B112" s="13" t="n"/>
      <c r="C112" s="14" t="n"/>
      <c r="D112" s="15" t="n"/>
      <c r="E112" s="22" t="n"/>
      <c r="F112" s="21" t="n"/>
      <c r="G112" s="21" t="n"/>
      <c r="H112" s="5" t="n"/>
      <c r="I112" s="5" t="n"/>
      <c r="J112" s="14" t="n"/>
      <c r="K112" s="18" t="str">
        <f>IF(C112="","",SUMIF('Buyer payments'!$A$8:$A$507,C112,'Buyer payments'!$F$8:$F$507))</f>
        <v/>
      </c>
      <c r="L112" s="18" t="str">
        <f>IF(OR(C112="",AND(H112&lt;&gt;"Contract signed",H112&lt;&gt;"Handed over")),"",IF(G112="",F112,G112)-N(K112))</f>
        <v/>
      </c>
      <c r="M112" s="19" t="str">
        <f>IF(L112="","",IFERROR(N(K112)/IF(G112="",F112,G112),0))</f>
        <v/>
      </c>
      <c r="N112" s="18" t="str">
        <f>IF(OR(C112="",N(E112)=0),"",IF(G112="",F112,G112)/E112)</f>
        <v/>
      </c>
      <c r="O112" s="20" t="n"/>
      <c r="P112" s="5" t="n"/>
      <c r="Q112" s="5" t="n"/>
    </row>
    <row r="113">
      <c r="A113" s="5" t="n"/>
      <c r="B113" s="13" t="n"/>
      <c r="C113" s="14" t="n"/>
      <c r="D113" s="15" t="n"/>
      <c r="E113" s="22" t="n"/>
      <c r="F113" s="21" t="n"/>
      <c r="G113" s="21" t="n"/>
      <c r="H113" s="5" t="n"/>
      <c r="I113" s="5" t="n"/>
      <c r="J113" s="14" t="n"/>
      <c r="K113" s="18" t="str">
        <f>IF(C113="","",SUMIF('Buyer payments'!$A$8:$A$507,C113,'Buyer payments'!$F$8:$F$507))</f>
        <v/>
      </c>
      <c r="L113" s="18" t="str">
        <f>IF(OR(C113="",AND(H113&lt;&gt;"Contract signed",H113&lt;&gt;"Handed over")),"",IF(G113="",F113,G113)-N(K113))</f>
        <v/>
      </c>
      <c r="M113" s="19" t="str">
        <f>IF(L113="","",IFERROR(N(K113)/IF(G113="",F113,G113),0))</f>
        <v/>
      </c>
      <c r="N113" s="18" t="str">
        <f>IF(OR(C113="",N(E113)=0),"",IF(G113="",F113,G113)/E113)</f>
        <v/>
      </c>
      <c r="O113" s="20" t="n"/>
      <c r="P113" s="5" t="n"/>
      <c r="Q113" s="5" t="n"/>
    </row>
    <row r="114">
      <c r="A114" s="5" t="n"/>
      <c r="B114" s="13" t="n"/>
      <c r="C114" s="14" t="n"/>
      <c r="D114" s="15" t="n"/>
      <c r="E114" s="22" t="n"/>
      <c r="F114" s="21" t="n"/>
      <c r="G114" s="21" t="n"/>
      <c r="H114" s="5" t="n"/>
      <c r="I114" s="5" t="n"/>
      <c r="J114" s="14" t="n"/>
      <c r="K114" s="18" t="str">
        <f>IF(C114="","",SUMIF('Buyer payments'!$A$8:$A$507,C114,'Buyer payments'!$F$8:$F$507))</f>
        <v/>
      </c>
      <c r="L114" s="18" t="str">
        <f>IF(OR(C114="",AND(H114&lt;&gt;"Contract signed",H114&lt;&gt;"Handed over")),"",IF(G114="",F114,G114)-N(K114))</f>
        <v/>
      </c>
      <c r="M114" s="19" t="str">
        <f>IF(L114="","",IFERROR(N(K114)/IF(G114="",F114,G114),0))</f>
        <v/>
      </c>
      <c r="N114" s="18" t="str">
        <f>IF(OR(C114="",N(E114)=0),"",IF(G114="",F114,G114)/E114)</f>
        <v/>
      </c>
      <c r="O114" s="20" t="n"/>
      <c r="P114" s="5" t="n"/>
      <c r="Q114" s="5" t="n"/>
    </row>
    <row r="115">
      <c r="A115" s="5" t="n"/>
      <c r="B115" s="13" t="n"/>
      <c r="C115" s="14" t="n"/>
      <c r="D115" s="15" t="n"/>
      <c r="E115" s="22" t="n"/>
      <c r="F115" s="21" t="n"/>
      <c r="G115" s="21" t="n"/>
      <c r="H115" s="5" t="n"/>
      <c r="I115" s="5" t="n"/>
      <c r="J115" s="14" t="n"/>
      <c r="K115" s="18" t="str">
        <f>IF(C115="","",SUMIF('Buyer payments'!$A$8:$A$507,C115,'Buyer payments'!$F$8:$F$507))</f>
        <v/>
      </c>
      <c r="L115" s="18" t="str">
        <f>IF(OR(C115="",AND(H115&lt;&gt;"Contract signed",H115&lt;&gt;"Handed over")),"",IF(G115="",F115,G115)-N(K115))</f>
        <v/>
      </c>
      <c r="M115" s="19" t="str">
        <f>IF(L115="","",IFERROR(N(K115)/IF(G115="",F115,G115),0))</f>
        <v/>
      </c>
      <c r="N115" s="18" t="str">
        <f>IF(OR(C115="",N(E115)=0),"",IF(G115="",F115,G115)/E115)</f>
        <v/>
      </c>
      <c r="O115" s="20" t="n"/>
      <c r="P115" s="5" t="n"/>
      <c r="Q115" s="5" t="n"/>
    </row>
    <row r="116">
      <c r="A116" s="5" t="n"/>
      <c r="B116" s="13" t="n"/>
      <c r="C116" s="14" t="n"/>
      <c r="D116" s="15" t="n"/>
      <c r="E116" s="22" t="n"/>
      <c r="F116" s="21" t="n"/>
      <c r="G116" s="21" t="n"/>
      <c r="H116" s="5" t="n"/>
      <c r="I116" s="5" t="n"/>
      <c r="J116" s="14" t="n"/>
      <c r="K116" s="18" t="str">
        <f>IF(C116="","",SUMIF('Buyer payments'!$A$8:$A$507,C116,'Buyer payments'!$F$8:$F$507))</f>
        <v/>
      </c>
      <c r="L116" s="18" t="str">
        <f>IF(OR(C116="",AND(H116&lt;&gt;"Contract signed",H116&lt;&gt;"Handed over")),"",IF(G116="",F116,G116)-N(K116))</f>
        <v/>
      </c>
      <c r="M116" s="19" t="str">
        <f>IF(L116="","",IFERROR(N(K116)/IF(G116="",F116,G116),0))</f>
        <v/>
      </c>
      <c r="N116" s="18" t="str">
        <f>IF(OR(C116="",N(E116)=0),"",IF(G116="",F116,G116)/E116)</f>
        <v/>
      </c>
      <c r="O116" s="20" t="n"/>
      <c r="P116" s="5" t="n"/>
      <c r="Q116" s="5" t="n"/>
    </row>
    <row r="117">
      <c r="A117" s="5" t="n"/>
      <c r="B117" s="13" t="n"/>
      <c r="C117" s="14" t="n"/>
      <c r="D117" s="15" t="n"/>
      <c r="E117" s="22" t="n"/>
      <c r="F117" s="21" t="n"/>
      <c r="G117" s="21" t="n"/>
      <c r="H117" s="5" t="n"/>
      <c r="I117" s="5" t="n"/>
      <c r="J117" s="14" t="n"/>
      <c r="K117" s="18" t="str">
        <f>IF(C117="","",SUMIF('Buyer payments'!$A$8:$A$507,C117,'Buyer payments'!$F$8:$F$507))</f>
        <v/>
      </c>
      <c r="L117" s="18" t="str">
        <f>IF(OR(C117="",AND(H117&lt;&gt;"Contract signed",H117&lt;&gt;"Handed over")),"",IF(G117="",F117,G117)-N(K117))</f>
        <v/>
      </c>
      <c r="M117" s="19" t="str">
        <f>IF(L117="","",IFERROR(N(K117)/IF(G117="",F117,G117),0))</f>
        <v/>
      </c>
      <c r="N117" s="18" t="str">
        <f>IF(OR(C117="",N(E117)=0),"",IF(G117="",F117,G117)/E117)</f>
        <v/>
      </c>
      <c r="O117" s="20" t="n"/>
      <c r="P117" s="5" t="n"/>
      <c r="Q117" s="5" t="n"/>
    </row>
    <row r="118">
      <c r="A118" s="5" t="n"/>
      <c r="B118" s="13" t="n"/>
      <c r="C118" s="14" t="n"/>
      <c r="D118" s="15" t="n"/>
      <c r="E118" s="22" t="n"/>
      <c r="F118" s="21" t="n"/>
      <c r="G118" s="21" t="n"/>
      <c r="H118" s="5" t="n"/>
      <c r="I118" s="5" t="n"/>
      <c r="J118" s="14" t="n"/>
      <c r="K118" s="18" t="str">
        <f>IF(C118="","",SUMIF('Buyer payments'!$A$8:$A$507,C118,'Buyer payments'!$F$8:$F$507))</f>
        <v/>
      </c>
      <c r="L118" s="18" t="str">
        <f>IF(OR(C118="",AND(H118&lt;&gt;"Contract signed",H118&lt;&gt;"Handed over")),"",IF(G118="",F118,G118)-N(K118))</f>
        <v/>
      </c>
      <c r="M118" s="19" t="str">
        <f>IF(L118="","",IFERROR(N(K118)/IF(G118="",F118,G118),0))</f>
        <v/>
      </c>
      <c r="N118" s="18" t="str">
        <f>IF(OR(C118="",N(E118)=0),"",IF(G118="",F118,G118)/E118)</f>
        <v/>
      </c>
      <c r="O118" s="20" t="n"/>
      <c r="P118" s="5" t="n"/>
      <c r="Q118" s="5" t="n"/>
    </row>
    <row r="119">
      <c r="A119" s="5" t="n"/>
      <c r="B119" s="13" t="n"/>
      <c r="C119" s="14" t="n"/>
      <c r="D119" s="15" t="n"/>
      <c r="E119" s="22" t="n"/>
      <c r="F119" s="21" t="n"/>
      <c r="G119" s="21" t="n"/>
      <c r="H119" s="5" t="n"/>
      <c r="I119" s="5" t="n"/>
      <c r="J119" s="14" t="n"/>
      <c r="K119" s="18" t="str">
        <f>IF(C119="","",SUMIF('Buyer payments'!$A$8:$A$507,C119,'Buyer payments'!$F$8:$F$507))</f>
        <v/>
      </c>
      <c r="L119" s="18" t="str">
        <f>IF(OR(C119="",AND(H119&lt;&gt;"Contract signed",H119&lt;&gt;"Handed over")),"",IF(G119="",F119,G119)-N(K119))</f>
        <v/>
      </c>
      <c r="M119" s="19" t="str">
        <f>IF(L119="","",IFERROR(N(K119)/IF(G119="",F119,G119),0))</f>
        <v/>
      </c>
      <c r="N119" s="18" t="str">
        <f>IF(OR(C119="",N(E119)=0),"",IF(G119="",F119,G119)/E119)</f>
        <v/>
      </c>
      <c r="O119" s="20" t="n"/>
      <c r="P119" s="5" t="n"/>
      <c r="Q119" s="5" t="n"/>
    </row>
    <row r="120">
      <c r="A120" s="5" t="n"/>
      <c r="B120" s="13" t="n"/>
      <c r="C120" s="14" t="n"/>
      <c r="D120" s="15" t="n"/>
      <c r="E120" s="22" t="n"/>
      <c r="F120" s="21" t="n"/>
      <c r="G120" s="21" t="n"/>
      <c r="H120" s="5" t="n"/>
      <c r="I120" s="5" t="n"/>
      <c r="J120" s="14" t="n"/>
      <c r="K120" s="18" t="str">
        <f>IF(C120="","",SUMIF('Buyer payments'!$A$8:$A$507,C120,'Buyer payments'!$F$8:$F$507))</f>
        <v/>
      </c>
      <c r="L120" s="18" t="str">
        <f>IF(OR(C120="",AND(H120&lt;&gt;"Contract signed",H120&lt;&gt;"Handed over")),"",IF(G120="",F120,G120)-N(K120))</f>
        <v/>
      </c>
      <c r="M120" s="19" t="str">
        <f>IF(L120="","",IFERROR(N(K120)/IF(G120="",F120,G120),0))</f>
        <v/>
      </c>
      <c r="N120" s="18" t="str">
        <f>IF(OR(C120="",N(E120)=0),"",IF(G120="",F120,G120)/E120)</f>
        <v/>
      </c>
      <c r="O120" s="20" t="n"/>
      <c r="P120" s="5" t="n"/>
      <c r="Q120" s="5" t="n"/>
    </row>
    <row r="121">
      <c r="A121" s="5" t="n"/>
      <c r="B121" s="13" t="n"/>
      <c r="C121" s="14" t="n"/>
      <c r="D121" s="15" t="n"/>
      <c r="E121" s="22" t="n"/>
      <c r="F121" s="21" t="n"/>
      <c r="G121" s="21" t="n"/>
      <c r="H121" s="5" t="n"/>
      <c r="I121" s="5" t="n"/>
      <c r="J121" s="14" t="n"/>
      <c r="K121" s="18" t="str">
        <f>IF(C121="","",SUMIF('Buyer payments'!$A$8:$A$507,C121,'Buyer payments'!$F$8:$F$507))</f>
        <v/>
      </c>
      <c r="L121" s="18" t="str">
        <f>IF(OR(C121="",AND(H121&lt;&gt;"Contract signed",H121&lt;&gt;"Handed over")),"",IF(G121="",F121,G121)-N(K121))</f>
        <v/>
      </c>
      <c r="M121" s="19" t="str">
        <f>IF(L121="","",IFERROR(N(K121)/IF(G121="",F121,G121),0))</f>
        <v/>
      </c>
      <c r="N121" s="18" t="str">
        <f>IF(OR(C121="",N(E121)=0),"",IF(G121="",F121,G121)/E121)</f>
        <v/>
      </c>
      <c r="O121" s="20" t="n"/>
      <c r="P121" s="5" t="n"/>
      <c r="Q121" s="5" t="n"/>
    </row>
    <row r="122">
      <c r="A122" s="5" t="n"/>
      <c r="B122" s="13" t="n"/>
      <c r="C122" s="14" t="n"/>
      <c r="D122" s="15" t="n"/>
      <c r="E122" s="22" t="n"/>
      <c r="F122" s="21" t="n"/>
      <c r="G122" s="21" t="n"/>
      <c r="H122" s="5" t="n"/>
      <c r="I122" s="5" t="n"/>
      <c r="J122" s="14" t="n"/>
      <c r="K122" s="18" t="str">
        <f>IF(C122="","",SUMIF('Buyer payments'!$A$8:$A$507,C122,'Buyer payments'!$F$8:$F$507))</f>
        <v/>
      </c>
      <c r="L122" s="18" t="str">
        <f>IF(OR(C122="",AND(H122&lt;&gt;"Contract signed",H122&lt;&gt;"Handed over")),"",IF(G122="",F122,G122)-N(K122))</f>
        <v/>
      </c>
      <c r="M122" s="19" t="str">
        <f>IF(L122="","",IFERROR(N(K122)/IF(G122="",F122,G122),0))</f>
        <v/>
      </c>
      <c r="N122" s="18" t="str">
        <f>IF(OR(C122="",N(E122)=0),"",IF(G122="",F122,G122)/E122)</f>
        <v/>
      </c>
      <c r="O122" s="20" t="n"/>
      <c r="P122" s="5" t="n"/>
      <c r="Q122" s="5" t="n"/>
    </row>
    <row r="123">
      <c r="A123" s="5" t="n"/>
      <c r="B123" s="13" t="n"/>
      <c r="C123" s="14" t="n"/>
      <c r="D123" s="15" t="n"/>
      <c r="E123" s="22" t="n"/>
      <c r="F123" s="21" t="n"/>
      <c r="G123" s="21" t="n"/>
      <c r="H123" s="5" t="n"/>
      <c r="I123" s="5" t="n"/>
      <c r="J123" s="14" t="n"/>
      <c r="K123" s="18" t="str">
        <f>IF(C123="","",SUMIF('Buyer payments'!$A$8:$A$507,C123,'Buyer payments'!$F$8:$F$507))</f>
        <v/>
      </c>
      <c r="L123" s="18" t="str">
        <f>IF(OR(C123="",AND(H123&lt;&gt;"Contract signed",H123&lt;&gt;"Handed over")),"",IF(G123="",F123,G123)-N(K123))</f>
        <v/>
      </c>
      <c r="M123" s="19" t="str">
        <f>IF(L123="","",IFERROR(N(K123)/IF(G123="",F123,G123),0))</f>
        <v/>
      </c>
      <c r="N123" s="18" t="str">
        <f>IF(OR(C123="",N(E123)=0),"",IF(G123="",F123,G123)/E123)</f>
        <v/>
      </c>
      <c r="O123" s="20" t="n"/>
      <c r="P123" s="5" t="n"/>
      <c r="Q123" s="5" t="n"/>
    </row>
    <row r="124">
      <c r="A124" s="5" t="n"/>
      <c r="B124" s="13" t="n"/>
      <c r="C124" s="14" t="n"/>
      <c r="D124" s="15" t="n"/>
      <c r="E124" s="22" t="n"/>
      <c r="F124" s="21" t="n"/>
      <c r="G124" s="21" t="n"/>
      <c r="H124" s="5" t="n"/>
      <c r="I124" s="5" t="n"/>
      <c r="J124" s="14" t="n"/>
      <c r="K124" s="18" t="str">
        <f>IF(C124="","",SUMIF('Buyer payments'!$A$8:$A$507,C124,'Buyer payments'!$F$8:$F$507))</f>
        <v/>
      </c>
      <c r="L124" s="18" t="str">
        <f>IF(OR(C124="",AND(H124&lt;&gt;"Contract signed",H124&lt;&gt;"Handed over")),"",IF(G124="",F124,G124)-N(K124))</f>
        <v/>
      </c>
      <c r="M124" s="19" t="str">
        <f>IF(L124="","",IFERROR(N(K124)/IF(G124="",F124,G124),0))</f>
        <v/>
      </c>
      <c r="N124" s="18" t="str">
        <f>IF(OR(C124="",N(E124)=0),"",IF(G124="",F124,G124)/E124)</f>
        <v/>
      </c>
      <c r="O124" s="20" t="n"/>
      <c r="P124" s="5" t="n"/>
      <c r="Q124" s="5" t="n"/>
    </row>
    <row r="125">
      <c r="A125" s="5" t="n"/>
      <c r="B125" s="13" t="n"/>
      <c r="C125" s="14" t="n"/>
      <c r="D125" s="15" t="n"/>
      <c r="E125" s="22" t="n"/>
      <c r="F125" s="21" t="n"/>
      <c r="G125" s="21" t="n"/>
      <c r="H125" s="5" t="n"/>
      <c r="I125" s="5" t="n"/>
      <c r="J125" s="14" t="n"/>
      <c r="K125" s="18" t="str">
        <f>IF(C125="","",SUMIF('Buyer payments'!$A$8:$A$507,C125,'Buyer payments'!$F$8:$F$507))</f>
        <v/>
      </c>
      <c r="L125" s="18" t="str">
        <f>IF(OR(C125="",AND(H125&lt;&gt;"Contract signed",H125&lt;&gt;"Handed over")),"",IF(G125="",F125,G125)-N(K125))</f>
        <v/>
      </c>
      <c r="M125" s="19" t="str">
        <f>IF(L125="","",IFERROR(N(K125)/IF(G125="",F125,G125),0))</f>
        <v/>
      </c>
      <c r="N125" s="18" t="str">
        <f>IF(OR(C125="",N(E125)=0),"",IF(G125="",F125,G125)/E125)</f>
        <v/>
      </c>
      <c r="O125" s="20" t="n"/>
      <c r="P125" s="5" t="n"/>
      <c r="Q125" s="5" t="n"/>
    </row>
    <row r="126">
      <c r="A126" s="5" t="n"/>
      <c r="B126" s="13" t="n"/>
      <c r="C126" s="14" t="n"/>
      <c r="D126" s="15" t="n"/>
      <c r="E126" s="22" t="n"/>
      <c r="F126" s="21" t="n"/>
      <c r="G126" s="21" t="n"/>
      <c r="H126" s="5" t="n"/>
      <c r="I126" s="5" t="n"/>
      <c r="J126" s="14" t="n"/>
      <c r="K126" s="18" t="str">
        <f>IF(C126="","",SUMIF('Buyer payments'!$A$8:$A$507,C126,'Buyer payments'!$F$8:$F$507))</f>
        <v/>
      </c>
      <c r="L126" s="18" t="str">
        <f>IF(OR(C126="",AND(H126&lt;&gt;"Contract signed",H126&lt;&gt;"Handed over")),"",IF(G126="",F126,G126)-N(K126))</f>
        <v/>
      </c>
      <c r="M126" s="19" t="str">
        <f>IF(L126="","",IFERROR(N(K126)/IF(G126="",F126,G126),0))</f>
        <v/>
      </c>
      <c r="N126" s="18" t="str">
        <f>IF(OR(C126="",N(E126)=0),"",IF(G126="",F126,G126)/E126)</f>
        <v/>
      </c>
      <c r="O126" s="20" t="n"/>
      <c r="P126" s="5" t="n"/>
      <c r="Q126" s="5" t="n"/>
    </row>
    <row r="127">
      <c r="A127" s="5" t="n"/>
      <c r="B127" s="13" t="n"/>
      <c r="C127" s="14" t="n"/>
      <c r="D127" s="15" t="n"/>
      <c r="E127" s="22" t="n"/>
      <c r="F127" s="21" t="n"/>
      <c r="G127" s="21" t="n"/>
      <c r="H127" s="5" t="n"/>
      <c r="I127" s="5" t="n"/>
      <c r="J127" s="14" t="n"/>
      <c r="K127" s="18" t="str">
        <f>IF(C127="","",SUMIF('Buyer payments'!$A$8:$A$507,C127,'Buyer payments'!$F$8:$F$507))</f>
        <v/>
      </c>
      <c r="L127" s="18" t="str">
        <f>IF(OR(C127="",AND(H127&lt;&gt;"Contract signed",H127&lt;&gt;"Handed over")),"",IF(G127="",F127,G127)-N(K127))</f>
        <v/>
      </c>
      <c r="M127" s="19" t="str">
        <f>IF(L127="","",IFERROR(N(K127)/IF(G127="",F127,G127),0))</f>
        <v/>
      </c>
      <c r="N127" s="18" t="str">
        <f>IF(OR(C127="",N(E127)=0),"",IF(G127="",F127,G127)/E127)</f>
        <v/>
      </c>
      <c r="O127" s="20" t="n"/>
      <c r="P127" s="5" t="n"/>
      <c r="Q127" s="5" t="n"/>
    </row>
    <row r="128">
      <c r="A128" s="5" t="n"/>
      <c r="B128" s="13" t="n"/>
      <c r="C128" s="14" t="n"/>
      <c r="D128" s="15" t="n"/>
      <c r="E128" s="22" t="n"/>
      <c r="F128" s="21" t="n"/>
      <c r="G128" s="21" t="n"/>
      <c r="H128" s="5" t="n"/>
      <c r="I128" s="5" t="n"/>
      <c r="J128" s="14" t="n"/>
      <c r="K128" s="18" t="str">
        <f>IF(C128="","",SUMIF('Buyer payments'!$A$8:$A$507,C128,'Buyer payments'!$F$8:$F$507))</f>
        <v/>
      </c>
      <c r="L128" s="18" t="str">
        <f>IF(OR(C128="",AND(H128&lt;&gt;"Contract signed",H128&lt;&gt;"Handed over")),"",IF(G128="",F128,G128)-N(K128))</f>
        <v/>
      </c>
      <c r="M128" s="19" t="str">
        <f>IF(L128="","",IFERROR(N(K128)/IF(G128="",F128,G128),0))</f>
        <v/>
      </c>
      <c r="N128" s="18" t="str">
        <f>IF(OR(C128="",N(E128)=0),"",IF(G128="",F128,G128)/E128)</f>
        <v/>
      </c>
      <c r="O128" s="20" t="n"/>
      <c r="P128" s="5" t="n"/>
      <c r="Q128" s="5" t="n"/>
    </row>
    <row r="129">
      <c r="A129" s="5" t="n"/>
      <c r="B129" s="13" t="n"/>
      <c r="C129" s="14" t="n"/>
      <c r="D129" s="15" t="n"/>
      <c r="E129" s="22" t="n"/>
      <c r="F129" s="21" t="n"/>
      <c r="G129" s="21" t="n"/>
      <c r="H129" s="5" t="n"/>
      <c r="I129" s="5" t="n"/>
      <c r="J129" s="14" t="n"/>
      <c r="K129" s="18" t="str">
        <f>IF(C129="","",SUMIF('Buyer payments'!$A$8:$A$507,C129,'Buyer payments'!$F$8:$F$507))</f>
        <v/>
      </c>
      <c r="L129" s="18" t="str">
        <f>IF(OR(C129="",AND(H129&lt;&gt;"Contract signed",H129&lt;&gt;"Handed over")),"",IF(G129="",F129,G129)-N(K129))</f>
        <v/>
      </c>
      <c r="M129" s="19" t="str">
        <f>IF(L129="","",IFERROR(N(K129)/IF(G129="",F129,G129),0))</f>
        <v/>
      </c>
      <c r="N129" s="18" t="str">
        <f>IF(OR(C129="",N(E129)=0),"",IF(G129="",F129,G129)/E129)</f>
        <v/>
      </c>
      <c r="O129" s="20" t="n"/>
      <c r="P129" s="5" t="n"/>
      <c r="Q129" s="5" t="n"/>
    </row>
    <row r="130">
      <c r="A130" s="5" t="n"/>
      <c r="B130" s="13" t="n"/>
      <c r="C130" s="14" t="n"/>
      <c r="D130" s="15" t="n"/>
      <c r="E130" s="22" t="n"/>
      <c r="F130" s="21" t="n"/>
      <c r="G130" s="21" t="n"/>
      <c r="H130" s="5" t="n"/>
      <c r="I130" s="5" t="n"/>
      <c r="J130" s="14" t="n"/>
      <c r="K130" s="18" t="str">
        <f>IF(C130="","",SUMIF('Buyer payments'!$A$8:$A$507,C130,'Buyer payments'!$F$8:$F$507))</f>
        <v/>
      </c>
      <c r="L130" s="18" t="str">
        <f>IF(OR(C130="",AND(H130&lt;&gt;"Contract signed",H130&lt;&gt;"Handed over")),"",IF(G130="",F130,G130)-N(K130))</f>
        <v/>
      </c>
      <c r="M130" s="19" t="str">
        <f>IF(L130="","",IFERROR(N(K130)/IF(G130="",F130,G130),0))</f>
        <v/>
      </c>
      <c r="N130" s="18" t="str">
        <f>IF(OR(C130="",N(E130)=0),"",IF(G130="",F130,G130)/E130)</f>
        <v/>
      </c>
      <c r="O130" s="20" t="n"/>
      <c r="P130" s="5" t="n"/>
      <c r="Q130" s="5" t="n"/>
    </row>
    <row r="131">
      <c r="A131" s="5" t="n"/>
      <c r="B131" s="13" t="n"/>
      <c r="C131" s="14" t="n"/>
      <c r="D131" s="15" t="n"/>
      <c r="E131" s="22" t="n"/>
      <c r="F131" s="21" t="n"/>
      <c r="G131" s="21" t="n"/>
      <c r="H131" s="5" t="n"/>
      <c r="I131" s="5" t="n"/>
      <c r="J131" s="14" t="n"/>
      <c r="K131" s="18" t="str">
        <f>IF(C131="","",SUMIF('Buyer payments'!$A$8:$A$507,C131,'Buyer payments'!$F$8:$F$507))</f>
        <v/>
      </c>
      <c r="L131" s="18" t="str">
        <f>IF(OR(C131="",AND(H131&lt;&gt;"Contract signed",H131&lt;&gt;"Handed over")),"",IF(G131="",F131,G131)-N(K131))</f>
        <v/>
      </c>
      <c r="M131" s="19" t="str">
        <f>IF(L131="","",IFERROR(N(K131)/IF(G131="",F131,G131),0))</f>
        <v/>
      </c>
      <c r="N131" s="18" t="str">
        <f>IF(OR(C131="",N(E131)=0),"",IF(G131="",F131,G131)/E131)</f>
        <v/>
      </c>
      <c r="O131" s="20" t="n"/>
      <c r="P131" s="5" t="n"/>
      <c r="Q131" s="5" t="n"/>
    </row>
    <row r="132">
      <c r="A132" s="5" t="n"/>
      <c r="B132" s="13" t="n"/>
      <c r="C132" s="14" t="n"/>
      <c r="D132" s="15" t="n"/>
      <c r="E132" s="22" t="n"/>
      <c r="F132" s="21" t="n"/>
      <c r="G132" s="21" t="n"/>
      <c r="H132" s="5" t="n"/>
      <c r="I132" s="5" t="n"/>
      <c r="J132" s="14" t="n"/>
      <c r="K132" s="18" t="str">
        <f>IF(C132="","",SUMIF('Buyer payments'!$A$8:$A$507,C132,'Buyer payments'!$F$8:$F$507))</f>
        <v/>
      </c>
      <c r="L132" s="18" t="str">
        <f>IF(OR(C132="",AND(H132&lt;&gt;"Contract signed",H132&lt;&gt;"Handed over")),"",IF(G132="",F132,G132)-N(K132))</f>
        <v/>
      </c>
      <c r="M132" s="19" t="str">
        <f>IF(L132="","",IFERROR(N(K132)/IF(G132="",F132,G132),0))</f>
        <v/>
      </c>
      <c r="N132" s="18" t="str">
        <f>IF(OR(C132="",N(E132)=0),"",IF(G132="",F132,G132)/E132)</f>
        <v/>
      </c>
      <c r="O132" s="20" t="n"/>
      <c r="P132" s="5" t="n"/>
      <c r="Q132" s="5" t="n"/>
    </row>
    <row r="133">
      <c r="A133" s="5" t="n"/>
      <c r="B133" s="13" t="n"/>
      <c r="C133" s="14" t="n"/>
      <c r="D133" s="15" t="n"/>
      <c r="E133" s="22" t="n"/>
      <c r="F133" s="21" t="n"/>
      <c r="G133" s="21" t="n"/>
      <c r="H133" s="5" t="n"/>
      <c r="I133" s="5" t="n"/>
      <c r="J133" s="14" t="n"/>
      <c r="K133" s="18" t="str">
        <f>IF(C133="","",SUMIF('Buyer payments'!$A$8:$A$507,C133,'Buyer payments'!$F$8:$F$507))</f>
        <v/>
      </c>
      <c r="L133" s="18" t="str">
        <f>IF(OR(C133="",AND(H133&lt;&gt;"Contract signed",H133&lt;&gt;"Handed over")),"",IF(G133="",F133,G133)-N(K133))</f>
        <v/>
      </c>
      <c r="M133" s="19" t="str">
        <f>IF(L133="","",IFERROR(N(K133)/IF(G133="",F133,G133),0))</f>
        <v/>
      </c>
      <c r="N133" s="18" t="str">
        <f>IF(OR(C133="",N(E133)=0),"",IF(G133="",F133,G133)/E133)</f>
        <v/>
      </c>
      <c r="O133" s="20" t="n"/>
      <c r="P133" s="5" t="n"/>
      <c r="Q133" s="5" t="n"/>
    </row>
    <row r="134">
      <c r="A134" s="5" t="n"/>
      <c r="B134" s="13" t="n"/>
      <c r="C134" s="14" t="n"/>
      <c r="D134" s="15" t="n"/>
      <c r="E134" s="22" t="n"/>
      <c r="F134" s="21" t="n"/>
      <c r="G134" s="21" t="n"/>
      <c r="H134" s="5" t="n"/>
      <c r="I134" s="5" t="n"/>
      <c r="J134" s="14" t="n"/>
      <c r="K134" s="18" t="str">
        <f>IF(C134="","",SUMIF('Buyer payments'!$A$8:$A$507,C134,'Buyer payments'!$F$8:$F$507))</f>
        <v/>
      </c>
      <c r="L134" s="18" t="str">
        <f>IF(OR(C134="",AND(H134&lt;&gt;"Contract signed",H134&lt;&gt;"Handed over")),"",IF(G134="",F134,G134)-N(K134))</f>
        <v/>
      </c>
      <c r="M134" s="19" t="str">
        <f>IF(L134="","",IFERROR(N(K134)/IF(G134="",F134,G134),0))</f>
        <v/>
      </c>
      <c r="N134" s="18" t="str">
        <f>IF(OR(C134="",N(E134)=0),"",IF(G134="",F134,G134)/E134)</f>
        <v/>
      </c>
      <c r="O134" s="20" t="n"/>
      <c r="P134" s="5" t="n"/>
      <c r="Q134" s="5" t="n"/>
    </row>
    <row r="135">
      <c r="A135" s="5" t="n"/>
      <c r="B135" s="13" t="n"/>
      <c r="C135" s="14" t="n"/>
      <c r="D135" s="15" t="n"/>
      <c r="E135" s="22" t="n"/>
      <c r="F135" s="21" t="n"/>
      <c r="G135" s="21" t="n"/>
      <c r="H135" s="5" t="n"/>
      <c r="I135" s="5" t="n"/>
      <c r="J135" s="14" t="n"/>
      <c r="K135" s="18" t="str">
        <f>IF(C135="","",SUMIF('Buyer payments'!$A$8:$A$507,C135,'Buyer payments'!$F$8:$F$507))</f>
        <v/>
      </c>
      <c r="L135" s="18" t="str">
        <f>IF(OR(C135="",AND(H135&lt;&gt;"Contract signed",H135&lt;&gt;"Handed over")),"",IF(G135="",F135,G135)-N(K135))</f>
        <v/>
      </c>
      <c r="M135" s="19" t="str">
        <f>IF(L135="","",IFERROR(N(K135)/IF(G135="",F135,G135),0))</f>
        <v/>
      </c>
      <c r="N135" s="18" t="str">
        <f>IF(OR(C135="",N(E135)=0),"",IF(G135="",F135,G135)/E135)</f>
        <v/>
      </c>
      <c r="O135" s="20" t="n"/>
      <c r="P135" s="5" t="n"/>
      <c r="Q135" s="5" t="n"/>
    </row>
    <row r="136">
      <c r="A136" s="5" t="n"/>
      <c r="B136" s="13" t="n"/>
      <c r="C136" s="14" t="n"/>
      <c r="D136" s="15" t="n"/>
      <c r="E136" s="22" t="n"/>
      <c r="F136" s="21" t="n"/>
      <c r="G136" s="21" t="n"/>
      <c r="H136" s="5" t="n"/>
      <c r="I136" s="5" t="n"/>
      <c r="J136" s="14" t="n"/>
      <c r="K136" s="18" t="str">
        <f>IF(C136="","",SUMIF('Buyer payments'!$A$8:$A$507,C136,'Buyer payments'!$F$8:$F$507))</f>
        <v/>
      </c>
      <c r="L136" s="18" t="str">
        <f>IF(OR(C136="",AND(H136&lt;&gt;"Contract signed",H136&lt;&gt;"Handed over")),"",IF(G136="",F136,G136)-N(K136))</f>
        <v/>
      </c>
      <c r="M136" s="19" t="str">
        <f>IF(L136="","",IFERROR(N(K136)/IF(G136="",F136,G136),0))</f>
        <v/>
      </c>
      <c r="N136" s="18" t="str">
        <f>IF(OR(C136="",N(E136)=0),"",IF(G136="",F136,G136)/E136)</f>
        <v/>
      </c>
      <c r="O136" s="20" t="n"/>
      <c r="P136" s="5" t="n"/>
      <c r="Q136" s="5" t="n"/>
    </row>
    <row r="137">
      <c r="A137" s="5" t="n"/>
      <c r="B137" s="13" t="n"/>
      <c r="C137" s="14" t="n"/>
      <c r="D137" s="15" t="n"/>
      <c r="E137" s="22" t="n"/>
      <c r="F137" s="21" t="n"/>
      <c r="G137" s="21" t="n"/>
      <c r="H137" s="5" t="n"/>
      <c r="I137" s="5" t="n"/>
      <c r="J137" s="14" t="n"/>
      <c r="K137" s="18" t="str">
        <f>IF(C137="","",SUMIF('Buyer payments'!$A$8:$A$507,C137,'Buyer payments'!$F$8:$F$507))</f>
        <v/>
      </c>
      <c r="L137" s="18" t="str">
        <f>IF(OR(C137="",AND(H137&lt;&gt;"Contract signed",H137&lt;&gt;"Handed over")),"",IF(G137="",F137,G137)-N(K137))</f>
        <v/>
      </c>
      <c r="M137" s="19" t="str">
        <f>IF(L137="","",IFERROR(N(K137)/IF(G137="",F137,G137),0))</f>
        <v/>
      </c>
      <c r="N137" s="18" t="str">
        <f>IF(OR(C137="",N(E137)=0),"",IF(G137="",F137,G137)/E137)</f>
        <v/>
      </c>
      <c r="O137" s="20" t="n"/>
      <c r="P137" s="5" t="n"/>
      <c r="Q137" s="5" t="n"/>
    </row>
    <row r="138">
      <c r="A138" s="5" t="n"/>
      <c r="B138" s="13" t="n"/>
      <c r="C138" s="14" t="n"/>
      <c r="D138" s="15" t="n"/>
      <c r="E138" s="22" t="n"/>
      <c r="F138" s="21" t="n"/>
      <c r="G138" s="21" t="n"/>
      <c r="H138" s="5" t="n"/>
      <c r="I138" s="5" t="n"/>
      <c r="J138" s="14" t="n"/>
      <c r="K138" s="18" t="str">
        <f>IF(C138="","",SUMIF('Buyer payments'!$A$8:$A$507,C138,'Buyer payments'!$F$8:$F$507))</f>
        <v/>
      </c>
      <c r="L138" s="18" t="str">
        <f>IF(OR(C138="",AND(H138&lt;&gt;"Contract signed",H138&lt;&gt;"Handed over")),"",IF(G138="",F138,G138)-N(K138))</f>
        <v/>
      </c>
      <c r="M138" s="19" t="str">
        <f>IF(L138="","",IFERROR(N(K138)/IF(G138="",F138,G138),0))</f>
        <v/>
      </c>
      <c r="N138" s="18" t="str">
        <f>IF(OR(C138="",N(E138)=0),"",IF(G138="",F138,G138)/E138)</f>
        <v/>
      </c>
      <c r="O138" s="20" t="n"/>
      <c r="P138" s="5" t="n"/>
      <c r="Q138" s="5" t="n"/>
    </row>
    <row r="139">
      <c r="A139" s="5" t="n"/>
      <c r="B139" s="13" t="n"/>
      <c r="C139" s="14" t="n"/>
      <c r="D139" s="15" t="n"/>
      <c r="E139" s="22" t="n"/>
      <c r="F139" s="21" t="n"/>
      <c r="G139" s="21" t="n"/>
      <c r="H139" s="5" t="n"/>
      <c r="I139" s="5" t="n"/>
      <c r="J139" s="14" t="n"/>
      <c r="K139" s="18" t="str">
        <f>IF(C139="","",SUMIF('Buyer payments'!$A$8:$A$507,C139,'Buyer payments'!$F$8:$F$507))</f>
        <v/>
      </c>
      <c r="L139" s="18" t="str">
        <f>IF(OR(C139="",AND(H139&lt;&gt;"Contract signed",H139&lt;&gt;"Handed over")),"",IF(G139="",F139,G139)-N(K139))</f>
        <v/>
      </c>
      <c r="M139" s="19" t="str">
        <f>IF(L139="","",IFERROR(N(K139)/IF(G139="",F139,G139),0))</f>
        <v/>
      </c>
      <c r="N139" s="18" t="str">
        <f>IF(OR(C139="",N(E139)=0),"",IF(G139="",F139,G139)/E139)</f>
        <v/>
      </c>
      <c r="O139" s="20" t="n"/>
      <c r="P139" s="5" t="n"/>
      <c r="Q139" s="5" t="n"/>
    </row>
    <row r="140">
      <c r="A140" s="5" t="n"/>
      <c r="B140" s="13" t="n"/>
      <c r="C140" s="14" t="n"/>
      <c r="D140" s="15" t="n"/>
      <c r="E140" s="22" t="n"/>
      <c r="F140" s="21" t="n"/>
      <c r="G140" s="21" t="n"/>
      <c r="H140" s="5" t="n"/>
      <c r="I140" s="5" t="n"/>
      <c r="J140" s="14" t="n"/>
      <c r="K140" s="18" t="str">
        <f>IF(C140="","",SUMIF('Buyer payments'!$A$8:$A$507,C140,'Buyer payments'!$F$8:$F$507))</f>
        <v/>
      </c>
      <c r="L140" s="18" t="str">
        <f>IF(OR(C140="",AND(H140&lt;&gt;"Contract signed",H140&lt;&gt;"Handed over")),"",IF(G140="",F140,G140)-N(K140))</f>
        <v/>
      </c>
      <c r="M140" s="19" t="str">
        <f>IF(L140="","",IFERROR(N(K140)/IF(G140="",F140,G140),0))</f>
        <v/>
      </c>
      <c r="N140" s="18" t="str">
        <f>IF(OR(C140="",N(E140)=0),"",IF(G140="",F140,G140)/E140)</f>
        <v/>
      </c>
      <c r="O140" s="20" t="n"/>
      <c r="P140" s="5" t="n"/>
      <c r="Q140" s="5" t="n"/>
    </row>
    <row r="141">
      <c r="A141" s="5" t="n"/>
      <c r="B141" s="13" t="n"/>
      <c r="C141" s="14" t="n"/>
      <c r="D141" s="15" t="n"/>
      <c r="E141" s="22" t="n"/>
      <c r="F141" s="21" t="n"/>
      <c r="G141" s="21" t="n"/>
      <c r="H141" s="5" t="n"/>
      <c r="I141" s="5" t="n"/>
      <c r="J141" s="14" t="n"/>
      <c r="K141" s="18" t="str">
        <f>IF(C141="","",SUMIF('Buyer payments'!$A$8:$A$507,C141,'Buyer payments'!$F$8:$F$507))</f>
        <v/>
      </c>
      <c r="L141" s="18" t="str">
        <f>IF(OR(C141="",AND(H141&lt;&gt;"Contract signed",H141&lt;&gt;"Handed over")),"",IF(G141="",F141,G141)-N(K141))</f>
        <v/>
      </c>
      <c r="M141" s="19" t="str">
        <f>IF(L141="","",IFERROR(N(K141)/IF(G141="",F141,G141),0))</f>
        <v/>
      </c>
      <c r="N141" s="18" t="str">
        <f>IF(OR(C141="",N(E141)=0),"",IF(G141="",F141,G141)/E141)</f>
        <v/>
      </c>
      <c r="O141" s="20" t="n"/>
      <c r="P141" s="5" t="n"/>
      <c r="Q141" s="5" t="n"/>
    </row>
    <row r="142">
      <c r="A142" s="5" t="n"/>
      <c r="B142" s="13" t="n"/>
      <c r="C142" s="14" t="n"/>
      <c r="D142" s="15" t="n"/>
      <c r="E142" s="22" t="n"/>
      <c r="F142" s="21" t="n"/>
      <c r="G142" s="21" t="n"/>
      <c r="H142" s="5" t="n"/>
      <c r="I142" s="5" t="n"/>
      <c r="J142" s="14" t="n"/>
      <c r="K142" s="18" t="str">
        <f>IF(C142="","",SUMIF('Buyer payments'!$A$8:$A$507,C142,'Buyer payments'!$F$8:$F$507))</f>
        <v/>
      </c>
      <c r="L142" s="18" t="str">
        <f>IF(OR(C142="",AND(H142&lt;&gt;"Contract signed",H142&lt;&gt;"Handed over")),"",IF(G142="",F142,G142)-N(K142))</f>
        <v/>
      </c>
      <c r="M142" s="19" t="str">
        <f>IF(L142="","",IFERROR(N(K142)/IF(G142="",F142,G142),0))</f>
        <v/>
      </c>
      <c r="N142" s="18" t="str">
        <f>IF(OR(C142="",N(E142)=0),"",IF(G142="",F142,G142)/E142)</f>
        <v/>
      </c>
      <c r="O142" s="20" t="n"/>
      <c r="P142" s="5" t="n"/>
      <c r="Q142" s="5" t="n"/>
    </row>
    <row r="143">
      <c r="A143" s="5" t="n"/>
      <c r="B143" s="13" t="n"/>
      <c r="C143" s="14" t="n"/>
      <c r="D143" s="15" t="n"/>
      <c r="E143" s="22" t="n"/>
      <c r="F143" s="21" t="n"/>
      <c r="G143" s="21" t="n"/>
      <c r="H143" s="5" t="n"/>
      <c r="I143" s="5" t="n"/>
      <c r="J143" s="14" t="n"/>
      <c r="K143" s="18" t="str">
        <f>IF(C143="","",SUMIF('Buyer payments'!$A$8:$A$507,C143,'Buyer payments'!$F$8:$F$507))</f>
        <v/>
      </c>
      <c r="L143" s="18" t="str">
        <f>IF(OR(C143="",AND(H143&lt;&gt;"Contract signed",H143&lt;&gt;"Handed over")),"",IF(G143="",F143,G143)-N(K143))</f>
        <v/>
      </c>
      <c r="M143" s="19" t="str">
        <f>IF(L143="","",IFERROR(N(K143)/IF(G143="",F143,G143),0))</f>
        <v/>
      </c>
      <c r="N143" s="18" t="str">
        <f>IF(OR(C143="",N(E143)=0),"",IF(G143="",F143,G143)/E143)</f>
        <v/>
      </c>
      <c r="O143" s="20" t="n"/>
      <c r="P143" s="5" t="n"/>
      <c r="Q143" s="5" t="n"/>
    </row>
    <row r="144">
      <c r="A144" s="5" t="n"/>
      <c r="B144" s="13" t="n"/>
      <c r="C144" s="14" t="n"/>
      <c r="D144" s="15" t="n"/>
      <c r="E144" s="22" t="n"/>
      <c r="F144" s="21" t="n"/>
      <c r="G144" s="21" t="n"/>
      <c r="H144" s="5" t="n"/>
      <c r="I144" s="5" t="n"/>
      <c r="J144" s="14" t="n"/>
      <c r="K144" s="18" t="str">
        <f>IF(C144="","",SUMIF('Buyer payments'!$A$8:$A$507,C144,'Buyer payments'!$F$8:$F$507))</f>
        <v/>
      </c>
      <c r="L144" s="18" t="str">
        <f>IF(OR(C144="",AND(H144&lt;&gt;"Contract signed",H144&lt;&gt;"Handed over")),"",IF(G144="",F144,G144)-N(K144))</f>
        <v/>
      </c>
      <c r="M144" s="19" t="str">
        <f>IF(L144="","",IFERROR(N(K144)/IF(G144="",F144,G144),0))</f>
        <v/>
      </c>
      <c r="N144" s="18" t="str">
        <f>IF(OR(C144="",N(E144)=0),"",IF(G144="",F144,G144)/E144)</f>
        <v/>
      </c>
      <c r="O144" s="20" t="n"/>
      <c r="P144" s="5" t="n"/>
      <c r="Q144" s="5" t="n"/>
    </row>
    <row r="145">
      <c r="A145" s="5" t="n"/>
      <c r="B145" s="13" t="n"/>
      <c r="C145" s="14" t="n"/>
      <c r="D145" s="15" t="n"/>
      <c r="E145" s="22" t="n"/>
      <c r="F145" s="21" t="n"/>
      <c r="G145" s="21" t="n"/>
      <c r="H145" s="5" t="n"/>
      <c r="I145" s="5" t="n"/>
      <c r="J145" s="14" t="n"/>
      <c r="K145" s="18" t="str">
        <f>IF(C145="","",SUMIF('Buyer payments'!$A$8:$A$507,C145,'Buyer payments'!$F$8:$F$507))</f>
        <v/>
      </c>
      <c r="L145" s="18" t="str">
        <f>IF(OR(C145="",AND(H145&lt;&gt;"Contract signed",H145&lt;&gt;"Handed over")),"",IF(G145="",F145,G145)-N(K145))</f>
        <v/>
      </c>
      <c r="M145" s="19" t="str">
        <f>IF(L145="","",IFERROR(N(K145)/IF(G145="",F145,G145),0))</f>
        <v/>
      </c>
      <c r="N145" s="18" t="str">
        <f>IF(OR(C145="",N(E145)=0),"",IF(G145="",F145,G145)/E145)</f>
        <v/>
      </c>
      <c r="O145" s="20" t="n"/>
      <c r="P145" s="5" t="n"/>
      <c r="Q145" s="5" t="n"/>
    </row>
    <row r="146">
      <c r="A146" s="5" t="n"/>
      <c r="B146" s="13" t="n"/>
      <c r="C146" s="14" t="n"/>
      <c r="D146" s="15" t="n"/>
      <c r="E146" s="22" t="n"/>
      <c r="F146" s="21" t="n"/>
      <c r="G146" s="21" t="n"/>
      <c r="H146" s="5" t="n"/>
      <c r="I146" s="5" t="n"/>
      <c r="J146" s="14" t="n"/>
      <c r="K146" s="18" t="str">
        <f>IF(C146="","",SUMIF('Buyer payments'!$A$8:$A$507,C146,'Buyer payments'!$F$8:$F$507))</f>
        <v/>
      </c>
      <c r="L146" s="18" t="str">
        <f>IF(OR(C146="",AND(H146&lt;&gt;"Contract signed",H146&lt;&gt;"Handed over")),"",IF(G146="",F146,G146)-N(K146))</f>
        <v/>
      </c>
      <c r="M146" s="19" t="str">
        <f>IF(L146="","",IFERROR(N(K146)/IF(G146="",F146,G146),0))</f>
        <v/>
      </c>
      <c r="N146" s="18" t="str">
        <f>IF(OR(C146="",N(E146)=0),"",IF(G146="",F146,G146)/E146)</f>
        <v/>
      </c>
      <c r="O146" s="20" t="n"/>
      <c r="P146" s="5" t="n"/>
      <c r="Q146" s="5" t="n"/>
    </row>
    <row r="147">
      <c r="A147" s="5" t="n"/>
      <c r="B147" s="13" t="n"/>
      <c r="C147" s="14" t="n"/>
      <c r="D147" s="15" t="n"/>
      <c r="E147" s="22" t="n"/>
      <c r="F147" s="21" t="n"/>
      <c r="G147" s="21" t="n"/>
      <c r="H147" s="5" t="n"/>
      <c r="I147" s="5" t="n"/>
      <c r="J147" s="14" t="n"/>
      <c r="K147" s="18" t="str">
        <f>IF(C147="","",SUMIF('Buyer payments'!$A$8:$A$507,C147,'Buyer payments'!$F$8:$F$507))</f>
        <v/>
      </c>
      <c r="L147" s="18" t="str">
        <f>IF(OR(C147="",AND(H147&lt;&gt;"Contract signed",H147&lt;&gt;"Handed over")),"",IF(G147="",F147,G147)-N(K147))</f>
        <v/>
      </c>
      <c r="M147" s="19" t="str">
        <f>IF(L147="","",IFERROR(N(K147)/IF(G147="",F147,G147),0))</f>
        <v/>
      </c>
      <c r="N147" s="18" t="str">
        <f>IF(OR(C147="",N(E147)=0),"",IF(G147="",F147,G147)/E147)</f>
        <v/>
      </c>
      <c r="O147" s="20" t="n"/>
      <c r="P147" s="5" t="n"/>
      <c r="Q147" s="5" t="n"/>
    </row>
    <row r="148">
      <c r="A148" s="5" t="n"/>
      <c r="B148" s="13" t="n"/>
      <c r="C148" s="14" t="n"/>
      <c r="D148" s="15" t="n"/>
      <c r="E148" s="22" t="n"/>
      <c r="F148" s="21" t="n"/>
      <c r="G148" s="21" t="n"/>
      <c r="H148" s="5" t="n"/>
      <c r="I148" s="5" t="n"/>
      <c r="J148" s="14" t="n"/>
      <c r="K148" s="18" t="str">
        <f>IF(C148="","",SUMIF('Buyer payments'!$A$8:$A$507,C148,'Buyer payments'!$F$8:$F$507))</f>
        <v/>
      </c>
      <c r="L148" s="18" t="str">
        <f>IF(OR(C148="",AND(H148&lt;&gt;"Contract signed",H148&lt;&gt;"Handed over")),"",IF(G148="",F148,G148)-N(K148))</f>
        <v/>
      </c>
      <c r="M148" s="19" t="str">
        <f>IF(L148="","",IFERROR(N(K148)/IF(G148="",F148,G148),0))</f>
        <v/>
      </c>
      <c r="N148" s="18" t="str">
        <f>IF(OR(C148="",N(E148)=0),"",IF(G148="",F148,G148)/E148)</f>
        <v/>
      </c>
      <c r="O148" s="20" t="n"/>
      <c r="P148" s="5" t="n"/>
      <c r="Q148" s="5" t="n"/>
    </row>
    <row r="149">
      <c r="A149" s="5" t="n"/>
      <c r="B149" s="13" t="n"/>
      <c r="C149" s="14" t="n"/>
      <c r="D149" s="15" t="n"/>
      <c r="E149" s="22" t="n"/>
      <c r="F149" s="21" t="n"/>
      <c r="G149" s="21" t="n"/>
      <c r="H149" s="5" t="n"/>
      <c r="I149" s="5" t="n"/>
      <c r="J149" s="14" t="n"/>
      <c r="K149" s="18" t="str">
        <f>IF(C149="","",SUMIF('Buyer payments'!$A$8:$A$507,C149,'Buyer payments'!$F$8:$F$507))</f>
        <v/>
      </c>
      <c r="L149" s="18" t="str">
        <f>IF(OR(C149="",AND(H149&lt;&gt;"Contract signed",H149&lt;&gt;"Handed over")),"",IF(G149="",F149,G149)-N(K149))</f>
        <v/>
      </c>
      <c r="M149" s="19" t="str">
        <f>IF(L149="","",IFERROR(N(K149)/IF(G149="",F149,G149),0))</f>
        <v/>
      </c>
      <c r="N149" s="18" t="str">
        <f>IF(OR(C149="",N(E149)=0),"",IF(G149="",F149,G149)/E149)</f>
        <v/>
      </c>
      <c r="O149" s="20" t="n"/>
      <c r="P149" s="5" t="n"/>
      <c r="Q149" s="5" t="n"/>
    </row>
    <row r="150">
      <c r="A150" s="5" t="n"/>
      <c r="B150" s="13" t="n"/>
      <c r="C150" s="14" t="n"/>
      <c r="D150" s="15" t="n"/>
      <c r="E150" s="22" t="n"/>
      <c r="F150" s="21" t="n"/>
      <c r="G150" s="21" t="n"/>
      <c r="H150" s="5" t="n"/>
      <c r="I150" s="5" t="n"/>
      <c r="J150" s="14" t="n"/>
      <c r="K150" s="18" t="str">
        <f>IF(C150="","",SUMIF('Buyer payments'!$A$8:$A$507,C150,'Buyer payments'!$F$8:$F$507))</f>
        <v/>
      </c>
      <c r="L150" s="18" t="str">
        <f>IF(OR(C150="",AND(H150&lt;&gt;"Contract signed",H150&lt;&gt;"Handed over")),"",IF(G150="",F150,G150)-N(K150))</f>
        <v/>
      </c>
      <c r="M150" s="19" t="str">
        <f>IF(L150="","",IFERROR(N(K150)/IF(G150="",F150,G150),0))</f>
        <v/>
      </c>
      <c r="N150" s="18" t="str">
        <f>IF(OR(C150="",N(E150)=0),"",IF(G150="",F150,G150)/E150)</f>
        <v/>
      </c>
      <c r="O150" s="20" t="n"/>
      <c r="P150" s="5" t="n"/>
      <c r="Q150" s="5" t="n"/>
    </row>
    <row r="151">
      <c r="A151" s="5" t="n"/>
      <c r="B151" s="13" t="n"/>
      <c r="C151" s="14" t="n"/>
      <c r="D151" s="15" t="n"/>
      <c r="E151" s="22" t="n"/>
      <c r="F151" s="21" t="n"/>
      <c r="G151" s="21" t="n"/>
      <c r="H151" s="5" t="n"/>
      <c r="I151" s="5" t="n"/>
      <c r="J151" s="14" t="n"/>
      <c r="K151" s="18" t="str">
        <f>IF(C151="","",SUMIF('Buyer payments'!$A$8:$A$507,C151,'Buyer payments'!$F$8:$F$507))</f>
        <v/>
      </c>
      <c r="L151" s="18" t="str">
        <f>IF(OR(C151="",AND(H151&lt;&gt;"Contract signed",H151&lt;&gt;"Handed over")),"",IF(G151="",F151,G151)-N(K151))</f>
        <v/>
      </c>
      <c r="M151" s="19" t="str">
        <f>IF(L151="","",IFERROR(N(K151)/IF(G151="",F151,G151),0))</f>
        <v/>
      </c>
      <c r="N151" s="18" t="str">
        <f>IF(OR(C151="",N(E151)=0),"",IF(G151="",F151,G151)/E151)</f>
        <v/>
      </c>
      <c r="O151" s="20" t="n"/>
      <c r="P151" s="5" t="n"/>
      <c r="Q151" s="5" t="n"/>
    </row>
    <row r="152">
      <c r="A152" s="5" t="n"/>
      <c r="B152" s="13" t="n"/>
      <c r="C152" s="14" t="n"/>
      <c r="D152" s="15" t="n"/>
      <c r="E152" s="22" t="n"/>
      <c r="F152" s="21" t="n"/>
      <c r="G152" s="21" t="n"/>
      <c r="H152" s="5" t="n"/>
      <c r="I152" s="5" t="n"/>
      <c r="J152" s="14" t="n"/>
      <c r="K152" s="18" t="str">
        <f>IF(C152="","",SUMIF('Buyer payments'!$A$8:$A$507,C152,'Buyer payments'!$F$8:$F$507))</f>
        <v/>
      </c>
      <c r="L152" s="18" t="str">
        <f>IF(OR(C152="",AND(H152&lt;&gt;"Contract signed",H152&lt;&gt;"Handed over")),"",IF(G152="",F152,G152)-N(K152))</f>
        <v/>
      </c>
      <c r="M152" s="19" t="str">
        <f>IF(L152="","",IFERROR(N(K152)/IF(G152="",F152,G152),0))</f>
        <v/>
      </c>
      <c r="N152" s="18" t="str">
        <f>IF(OR(C152="",N(E152)=0),"",IF(G152="",F152,G152)/E152)</f>
        <v/>
      </c>
      <c r="O152" s="20" t="n"/>
      <c r="P152" s="5" t="n"/>
      <c r="Q152" s="5" t="n"/>
    </row>
    <row r="153">
      <c r="A153" s="5" t="n"/>
      <c r="B153" s="13" t="n"/>
      <c r="C153" s="14" t="n"/>
      <c r="D153" s="15" t="n"/>
      <c r="E153" s="22" t="n"/>
      <c r="F153" s="21" t="n"/>
      <c r="G153" s="21" t="n"/>
      <c r="H153" s="5" t="n"/>
      <c r="I153" s="5" t="n"/>
      <c r="J153" s="14" t="n"/>
      <c r="K153" s="18" t="str">
        <f>IF(C153="","",SUMIF('Buyer payments'!$A$8:$A$507,C153,'Buyer payments'!$F$8:$F$507))</f>
        <v/>
      </c>
      <c r="L153" s="18" t="str">
        <f>IF(OR(C153="",AND(H153&lt;&gt;"Contract signed",H153&lt;&gt;"Handed over")),"",IF(G153="",F153,G153)-N(K153))</f>
        <v/>
      </c>
      <c r="M153" s="19" t="str">
        <f>IF(L153="","",IFERROR(N(K153)/IF(G153="",F153,G153),0))</f>
        <v/>
      </c>
      <c r="N153" s="18" t="str">
        <f>IF(OR(C153="",N(E153)=0),"",IF(G153="",F153,G153)/E153)</f>
        <v/>
      </c>
      <c r="O153" s="20" t="n"/>
      <c r="P153" s="5" t="n"/>
      <c r="Q153" s="5" t="n"/>
    </row>
    <row r="154">
      <c r="A154" s="5" t="n"/>
      <c r="B154" s="13" t="n"/>
      <c r="C154" s="14" t="n"/>
      <c r="D154" s="15" t="n"/>
      <c r="E154" s="22" t="n"/>
      <c r="F154" s="21" t="n"/>
      <c r="G154" s="21" t="n"/>
      <c r="H154" s="5" t="n"/>
      <c r="I154" s="5" t="n"/>
      <c r="J154" s="14" t="n"/>
      <c r="K154" s="18" t="str">
        <f>IF(C154="","",SUMIF('Buyer payments'!$A$8:$A$507,C154,'Buyer payments'!$F$8:$F$507))</f>
        <v/>
      </c>
      <c r="L154" s="18" t="str">
        <f>IF(OR(C154="",AND(H154&lt;&gt;"Contract signed",H154&lt;&gt;"Handed over")),"",IF(G154="",F154,G154)-N(K154))</f>
        <v/>
      </c>
      <c r="M154" s="19" t="str">
        <f>IF(L154="","",IFERROR(N(K154)/IF(G154="",F154,G154),0))</f>
        <v/>
      </c>
      <c r="N154" s="18" t="str">
        <f>IF(OR(C154="",N(E154)=0),"",IF(G154="",F154,G154)/E154)</f>
        <v/>
      </c>
      <c r="O154" s="20" t="n"/>
      <c r="P154" s="5" t="n"/>
      <c r="Q154" s="5" t="n"/>
    </row>
    <row r="155">
      <c r="A155" s="5" t="n"/>
      <c r="B155" s="13" t="n"/>
      <c r="C155" s="14" t="n"/>
      <c r="D155" s="15" t="n"/>
      <c r="E155" s="22" t="n"/>
      <c r="F155" s="21" t="n"/>
      <c r="G155" s="21" t="n"/>
      <c r="H155" s="5" t="n"/>
      <c r="I155" s="5" t="n"/>
      <c r="J155" s="14" t="n"/>
      <c r="K155" s="18" t="str">
        <f>IF(C155="","",SUMIF('Buyer payments'!$A$8:$A$507,C155,'Buyer payments'!$F$8:$F$507))</f>
        <v/>
      </c>
      <c r="L155" s="18" t="str">
        <f>IF(OR(C155="",AND(H155&lt;&gt;"Contract signed",H155&lt;&gt;"Handed over")),"",IF(G155="",F155,G155)-N(K155))</f>
        <v/>
      </c>
      <c r="M155" s="19" t="str">
        <f>IF(L155="","",IFERROR(N(K155)/IF(G155="",F155,G155),0))</f>
        <v/>
      </c>
      <c r="N155" s="18" t="str">
        <f>IF(OR(C155="",N(E155)=0),"",IF(G155="",F155,G155)/E155)</f>
        <v/>
      </c>
      <c r="O155" s="20" t="n"/>
      <c r="P155" s="5" t="n"/>
      <c r="Q155" s="5" t="n"/>
    </row>
    <row r="156">
      <c r="A156" s="5" t="n"/>
      <c r="B156" s="13" t="n"/>
      <c r="C156" s="14" t="n"/>
      <c r="D156" s="15" t="n"/>
      <c r="E156" s="22" t="n"/>
      <c r="F156" s="21" t="n"/>
      <c r="G156" s="21" t="n"/>
      <c r="H156" s="5" t="n"/>
      <c r="I156" s="5" t="n"/>
      <c r="J156" s="14" t="n"/>
      <c r="K156" s="18" t="str">
        <f>IF(C156="","",SUMIF('Buyer payments'!$A$8:$A$507,C156,'Buyer payments'!$F$8:$F$507))</f>
        <v/>
      </c>
      <c r="L156" s="18" t="str">
        <f>IF(OR(C156="",AND(H156&lt;&gt;"Contract signed",H156&lt;&gt;"Handed over")),"",IF(G156="",F156,G156)-N(K156))</f>
        <v/>
      </c>
      <c r="M156" s="19" t="str">
        <f>IF(L156="","",IFERROR(N(K156)/IF(G156="",F156,G156),0))</f>
        <v/>
      </c>
      <c r="N156" s="18" t="str">
        <f>IF(OR(C156="",N(E156)=0),"",IF(G156="",F156,G156)/E156)</f>
        <v/>
      </c>
      <c r="O156" s="20" t="n"/>
      <c r="P156" s="5" t="n"/>
      <c r="Q156" s="5" t="n"/>
    </row>
    <row r="157">
      <c r="A157" s="5" t="n"/>
      <c r="B157" s="13" t="n"/>
      <c r="C157" s="14" t="n"/>
      <c r="D157" s="15" t="n"/>
      <c r="E157" s="22" t="n"/>
      <c r="F157" s="21" t="n"/>
      <c r="G157" s="21" t="n"/>
      <c r="H157" s="5" t="n"/>
      <c r="I157" s="5" t="n"/>
      <c r="J157" s="14" t="n"/>
      <c r="K157" s="18" t="str">
        <f>IF(C157="","",SUMIF('Buyer payments'!$A$8:$A$507,C157,'Buyer payments'!$F$8:$F$507))</f>
        <v/>
      </c>
      <c r="L157" s="18" t="str">
        <f>IF(OR(C157="",AND(H157&lt;&gt;"Contract signed",H157&lt;&gt;"Handed over")),"",IF(G157="",F157,G157)-N(K157))</f>
        <v/>
      </c>
      <c r="M157" s="19" t="str">
        <f>IF(L157="","",IFERROR(N(K157)/IF(G157="",F157,G157),0))</f>
        <v/>
      </c>
      <c r="N157" s="18" t="str">
        <f>IF(OR(C157="",N(E157)=0),"",IF(G157="",F157,G157)/E157)</f>
        <v/>
      </c>
      <c r="O157" s="20" t="n"/>
      <c r="P157" s="5" t="n"/>
      <c r="Q157" s="5" t="n"/>
    </row>
    <row r="158">
      <c r="A158" s="5" t="n"/>
      <c r="B158" s="13" t="n"/>
      <c r="C158" s="14" t="n"/>
      <c r="D158" s="15" t="n"/>
      <c r="E158" s="22" t="n"/>
      <c r="F158" s="21" t="n"/>
      <c r="G158" s="21" t="n"/>
      <c r="H158" s="5" t="n"/>
      <c r="I158" s="5" t="n"/>
      <c r="J158" s="14" t="n"/>
      <c r="K158" s="18" t="str">
        <f>IF(C158="","",SUMIF('Buyer payments'!$A$8:$A$507,C158,'Buyer payments'!$F$8:$F$507))</f>
        <v/>
      </c>
      <c r="L158" s="18" t="str">
        <f>IF(OR(C158="",AND(H158&lt;&gt;"Contract signed",H158&lt;&gt;"Handed over")),"",IF(G158="",F158,G158)-N(K158))</f>
        <v/>
      </c>
      <c r="M158" s="19" t="str">
        <f>IF(L158="","",IFERROR(N(K158)/IF(G158="",F158,G158),0))</f>
        <v/>
      </c>
      <c r="N158" s="18" t="str">
        <f>IF(OR(C158="",N(E158)=0),"",IF(G158="",F158,G158)/E158)</f>
        <v/>
      </c>
      <c r="O158" s="20" t="n"/>
      <c r="P158" s="5" t="n"/>
      <c r="Q158" s="5" t="n"/>
    </row>
    <row r="159">
      <c r="A159" s="5" t="n"/>
      <c r="B159" s="13" t="n"/>
      <c r="C159" s="14" t="n"/>
      <c r="D159" s="15" t="n"/>
      <c r="E159" s="22" t="n"/>
      <c r="F159" s="21" t="n"/>
      <c r="G159" s="21" t="n"/>
      <c r="H159" s="5" t="n"/>
      <c r="I159" s="5" t="n"/>
      <c r="J159" s="14" t="n"/>
      <c r="K159" s="18" t="str">
        <f>IF(C159="","",SUMIF('Buyer payments'!$A$8:$A$507,C159,'Buyer payments'!$F$8:$F$507))</f>
        <v/>
      </c>
      <c r="L159" s="18" t="str">
        <f>IF(OR(C159="",AND(H159&lt;&gt;"Contract signed",H159&lt;&gt;"Handed over")),"",IF(G159="",F159,G159)-N(K159))</f>
        <v/>
      </c>
      <c r="M159" s="19" t="str">
        <f>IF(L159="","",IFERROR(N(K159)/IF(G159="",F159,G159),0))</f>
        <v/>
      </c>
      <c r="N159" s="18" t="str">
        <f>IF(OR(C159="",N(E159)=0),"",IF(G159="",F159,G159)/E159)</f>
        <v/>
      </c>
      <c r="O159" s="20" t="n"/>
      <c r="P159" s="5" t="n"/>
      <c r="Q159" s="5" t="n"/>
    </row>
    <row r="160">
      <c r="A160" s="5" t="n"/>
      <c r="B160" s="13" t="n"/>
      <c r="C160" s="14" t="n"/>
      <c r="D160" s="15" t="n"/>
      <c r="E160" s="22" t="n"/>
      <c r="F160" s="21" t="n"/>
      <c r="G160" s="21" t="n"/>
      <c r="H160" s="5" t="n"/>
      <c r="I160" s="5" t="n"/>
      <c r="J160" s="14" t="n"/>
      <c r="K160" s="18" t="str">
        <f>IF(C160="","",SUMIF('Buyer payments'!$A$8:$A$507,C160,'Buyer payments'!$F$8:$F$507))</f>
        <v/>
      </c>
      <c r="L160" s="18" t="str">
        <f>IF(OR(C160="",AND(H160&lt;&gt;"Contract signed",H160&lt;&gt;"Handed over")),"",IF(G160="",F160,G160)-N(K160))</f>
        <v/>
      </c>
      <c r="M160" s="19" t="str">
        <f>IF(L160="","",IFERROR(N(K160)/IF(G160="",F160,G160),0))</f>
        <v/>
      </c>
      <c r="N160" s="18" t="str">
        <f>IF(OR(C160="",N(E160)=0),"",IF(G160="",F160,G160)/E160)</f>
        <v/>
      </c>
      <c r="O160" s="20" t="n"/>
      <c r="P160" s="5" t="n"/>
      <c r="Q160" s="5" t="n"/>
    </row>
    <row r="161">
      <c r="A161" s="5" t="n"/>
      <c r="B161" s="13" t="n"/>
      <c r="C161" s="14" t="n"/>
      <c r="D161" s="15" t="n"/>
      <c r="E161" s="22" t="n"/>
      <c r="F161" s="21" t="n"/>
      <c r="G161" s="21" t="n"/>
      <c r="H161" s="5" t="n"/>
      <c r="I161" s="5" t="n"/>
      <c r="J161" s="14" t="n"/>
      <c r="K161" s="18" t="str">
        <f>IF(C161="","",SUMIF('Buyer payments'!$A$8:$A$507,C161,'Buyer payments'!$F$8:$F$507))</f>
        <v/>
      </c>
      <c r="L161" s="18" t="str">
        <f>IF(OR(C161="",AND(H161&lt;&gt;"Contract signed",H161&lt;&gt;"Handed over")),"",IF(G161="",F161,G161)-N(K161))</f>
        <v/>
      </c>
      <c r="M161" s="19" t="str">
        <f>IF(L161="","",IFERROR(N(K161)/IF(G161="",F161,G161),0))</f>
        <v/>
      </c>
      <c r="N161" s="18" t="str">
        <f>IF(OR(C161="",N(E161)=0),"",IF(G161="",F161,G161)/E161)</f>
        <v/>
      </c>
      <c r="O161" s="20" t="n"/>
      <c r="P161" s="5" t="n"/>
      <c r="Q161" s="5" t="n"/>
    </row>
    <row r="162">
      <c r="A162" s="5" t="n"/>
      <c r="B162" s="13" t="n"/>
      <c r="C162" s="14" t="n"/>
      <c r="D162" s="15" t="n"/>
      <c r="E162" s="22" t="n"/>
      <c r="F162" s="21" t="n"/>
      <c r="G162" s="21" t="n"/>
      <c r="H162" s="5" t="n"/>
      <c r="I162" s="5" t="n"/>
      <c r="J162" s="14" t="n"/>
      <c r="K162" s="18" t="str">
        <f>IF(C162="","",SUMIF('Buyer payments'!$A$8:$A$507,C162,'Buyer payments'!$F$8:$F$507))</f>
        <v/>
      </c>
      <c r="L162" s="18" t="str">
        <f>IF(OR(C162="",AND(H162&lt;&gt;"Contract signed",H162&lt;&gt;"Handed over")),"",IF(G162="",F162,G162)-N(K162))</f>
        <v/>
      </c>
      <c r="M162" s="19" t="str">
        <f>IF(L162="","",IFERROR(N(K162)/IF(G162="",F162,G162),0))</f>
        <v/>
      </c>
      <c r="N162" s="18" t="str">
        <f>IF(OR(C162="",N(E162)=0),"",IF(G162="",F162,G162)/E162)</f>
        <v/>
      </c>
      <c r="O162" s="20" t="n"/>
      <c r="P162" s="5" t="n"/>
      <c r="Q162" s="5" t="n"/>
    </row>
    <row r="163">
      <c r="A163" s="5" t="n"/>
      <c r="B163" s="13" t="n"/>
      <c r="C163" s="14" t="n"/>
      <c r="D163" s="15" t="n"/>
      <c r="E163" s="22" t="n"/>
      <c r="F163" s="21" t="n"/>
      <c r="G163" s="21" t="n"/>
      <c r="H163" s="5" t="n"/>
      <c r="I163" s="5" t="n"/>
      <c r="J163" s="14" t="n"/>
      <c r="K163" s="18" t="str">
        <f>IF(C163="","",SUMIF('Buyer payments'!$A$8:$A$507,C163,'Buyer payments'!$F$8:$F$507))</f>
        <v/>
      </c>
      <c r="L163" s="18" t="str">
        <f>IF(OR(C163="",AND(H163&lt;&gt;"Contract signed",H163&lt;&gt;"Handed over")),"",IF(G163="",F163,G163)-N(K163))</f>
        <v/>
      </c>
      <c r="M163" s="19" t="str">
        <f>IF(L163="","",IFERROR(N(K163)/IF(G163="",F163,G163),0))</f>
        <v/>
      </c>
      <c r="N163" s="18" t="str">
        <f>IF(OR(C163="",N(E163)=0),"",IF(G163="",F163,G163)/E163)</f>
        <v/>
      </c>
      <c r="O163" s="20" t="n"/>
      <c r="P163" s="5" t="n"/>
      <c r="Q163" s="5" t="n"/>
    </row>
    <row r="164">
      <c r="A164" s="5" t="n"/>
      <c r="B164" s="13" t="n"/>
      <c r="C164" s="14" t="n"/>
      <c r="D164" s="15" t="n"/>
      <c r="E164" s="22" t="n"/>
      <c r="F164" s="21" t="n"/>
      <c r="G164" s="21" t="n"/>
      <c r="H164" s="5" t="n"/>
      <c r="I164" s="5" t="n"/>
      <c r="J164" s="14" t="n"/>
      <c r="K164" s="18" t="str">
        <f>IF(C164="","",SUMIF('Buyer payments'!$A$8:$A$507,C164,'Buyer payments'!$F$8:$F$507))</f>
        <v/>
      </c>
      <c r="L164" s="18" t="str">
        <f>IF(OR(C164="",AND(H164&lt;&gt;"Contract signed",H164&lt;&gt;"Handed over")),"",IF(G164="",F164,G164)-N(K164))</f>
        <v/>
      </c>
      <c r="M164" s="19" t="str">
        <f>IF(L164="","",IFERROR(N(K164)/IF(G164="",F164,G164),0))</f>
        <v/>
      </c>
      <c r="N164" s="18" t="str">
        <f>IF(OR(C164="",N(E164)=0),"",IF(G164="",F164,G164)/E164)</f>
        <v/>
      </c>
      <c r="O164" s="20" t="n"/>
      <c r="P164" s="5" t="n"/>
      <c r="Q164" s="5" t="n"/>
    </row>
    <row r="165">
      <c r="A165" s="5" t="n"/>
      <c r="B165" s="13" t="n"/>
      <c r="C165" s="14" t="n"/>
      <c r="D165" s="15" t="n"/>
      <c r="E165" s="22" t="n"/>
      <c r="F165" s="21" t="n"/>
      <c r="G165" s="21" t="n"/>
      <c r="H165" s="5" t="n"/>
      <c r="I165" s="5" t="n"/>
      <c r="J165" s="14" t="n"/>
      <c r="K165" s="18" t="str">
        <f>IF(C165="","",SUMIF('Buyer payments'!$A$8:$A$507,C165,'Buyer payments'!$F$8:$F$507))</f>
        <v/>
      </c>
      <c r="L165" s="18" t="str">
        <f>IF(OR(C165="",AND(H165&lt;&gt;"Contract signed",H165&lt;&gt;"Handed over")),"",IF(G165="",F165,G165)-N(K165))</f>
        <v/>
      </c>
      <c r="M165" s="19" t="str">
        <f>IF(L165="","",IFERROR(N(K165)/IF(G165="",F165,G165),0))</f>
        <v/>
      </c>
      <c r="N165" s="18" t="str">
        <f>IF(OR(C165="",N(E165)=0),"",IF(G165="",F165,G165)/E165)</f>
        <v/>
      </c>
      <c r="O165" s="20" t="n"/>
      <c r="P165" s="5" t="n"/>
      <c r="Q165" s="5" t="n"/>
    </row>
    <row r="166">
      <c r="A166" s="5" t="n"/>
      <c r="B166" s="13" t="n"/>
      <c r="C166" s="14" t="n"/>
      <c r="D166" s="15" t="n"/>
      <c r="E166" s="22" t="n"/>
      <c r="F166" s="21" t="n"/>
      <c r="G166" s="21" t="n"/>
      <c r="H166" s="5" t="n"/>
      <c r="I166" s="5" t="n"/>
      <c r="J166" s="14" t="n"/>
      <c r="K166" s="18" t="str">
        <f>IF(C166="","",SUMIF('Buyer payments'!$A$8:$A$507,C166,'Buyer payments'!$F$8:$F$507))</f>
        <v/>
      </c>
      <c r="L166" s="18" t="str">
        <f>IF(OR(C166="",AND(H166&lt;&gt;"Contract signed",H166&lt;&gt;"Handed over")),"",IF(G166="",F166,G166)-N(K166))</f>
        <v/>
      </c>
      <c r="M166" s="19" t="str">
        <f>IF(L166="","",IFERROR(N(K166)/IF(G166="",F166,G166),0))</f>
        <v/>
      </c>
      <c r="N166" s="18" t="str">
        <f>IF(OR(C166="",N(E166)=0),"",IF(G166="",F166,G166)/E166)</f>
        <v/>
      </c>
      <c r="O166" s="20" t="n"/>
      <c r="P166" s="5" t="n"/>
      <c r="Q166" s="5" t="n"/>
    </row>
    <row r="167">
      <c r="A167" s="5" t="n"/>
      <c r="B167" s="13" t="n"/>
      <c r="C167" s="14" t="n"/>
      <c r="D167" s="15" t="n"/>
      <c r="E167" s="22" t="n"/>
      <c r="F167" s="21" t="n"/>
      <c r="G167" s="21" t="n"/>
      <c r="H167" s="5" t="n"/>
      <c r="I167" s="5" t="n"/>
      <c r="J167" s="14" t="n"/>
      <c r="K167" s="18" t="str">
        <f>IF(C167="","",SUMIF('Buyer payments'!$A$8:$A$507,C167,'Buyer payments'!$F$8:$F$507))</f>
        <v/>
      </c>
      <c r="L167" s="18" t="str">
        <f>IF(OR(C167="",AND(H167&lt;&gt;"Contract signed",H167&lt;&gt;"Handed over")),"",IF(G167="",F167,G167)-N(K167))</f>
        <v/>
      </c>
      <c r="M167" s="19" t="str">
        <f>IF(L167="","",IFERROR(N(K167)/IF(G167="",F167,G167),0))</f>
        <v/>
      </c>
      <c r="N167" s="18" t="str">
        <f>IF(OR(C167="",N(E167)=0),"",IF(G167="",F167,G167)/E167)</f>
        <v/>
      </c>
      <c r="O167" s="20" t="n"/>
      <c r="P167" s="5" t="n"/>
      <c r="Q167" s="5" t="n"/>
    </row>
    <row r="168">
      <c r="A168" s="5" t="n"/>
      <c r="B168" s="13" t="n"/>
      <c r="C168" s="14" t="n"/>
      <c r="D168" s="15" t="n"/>
      <c r="E168" s="22" t="n"/>
      <c r="F168" s="21" t="n"/>
      <c r="G168" s="21" t="n"/>
      <c r="H168" s="5" t="n"/>
      <c r="I168" s="5" t="n"/>
      <c r="J168" s="14" t="n"/>
      <c r="K168" s="18" t="str">
        <f>IF(C168="","",SUMIF('Buyer payments'!$A$8:$A$507,C168,'Buyer payments'!$F$8:$F$507))</f>
        <v/>
      </c>
      <c r="L168" s="18" t="str">
        <f>IF(OR(C168="",AND(H168&lt;&gt;"Contract signed",H168&lt;&gt;"Handed over")),"",IF(G168="",F168,G168)-N(K168))</f>
        <v/>
      </c>
      <c r="M168" s="19" t="str">
        <f>IF(L168="","",IFERROR(N(K168)/IF(G168="",F168,G168),0))</f>
        <v/>
      </c>
      <c r="N168" s="18" t="str">
        <f>IF(OR(C168="",N(E168)=0),"",IF(G168="",F168,G168)/E168)</f>
        <v/>
      </c>
      <c r="O168" s="20" t="n"/>
      <c r="P168" s="5" t="n"/>
      <c r="Q168" s="5" t="n"/>
    </row>
    <row r="169">
      <c r="A169" s="5" t="n"/>
      <c r="B169" s="13" t="n"/>
      <c r="C169" s="14" t="n"/>
      <c r="D169" s="15" t="n"/>
      <c r="E169" s="22" t="n"/>
      <c r="F169" s="21" t="n"/>
      <c r="G169" s="21" t="n"/>
      <c r="H169" s="5" t="n"/>
      <c r="I169" s="5" t="n"/>
      <c r="J169" s="14" t="n"/>
      <c r="K169" s="18" t="str">
        <f>IF(C169="","",SUMIF('Buyer payments'!$A$8:$A$507,C169,'Buyer payments'!$F$8:$F$507))</f>
        <v/>
      </c>
      <c r="L169" s="18" t="str">
        <f>IF(OR(C169="",AND(H169&lt;&gt;"Contract signed",H169&lt;&gt;"Handed over")),"",IF(G169="",F169,G169)-N(K169))</f>
        <v/>
      </c>
      <c r="M169" s="19" t="str">
        <f>IF(L169="","",IFERROR(N(K169)/IF(G169="",F169,G169),0))</f>
        <v/>
      </c>
      <c r="N169" s="18" t="str">
        <f>IF(OR(C169="",N(E169)=0),"",IF(G169="",F169,G169)/E169)</f>
        <v/>
      </c>
      <c r="O169" s="20" t="n"/>
      <c r="P169" s="5" t="n"/>
      <c r="Q169" s="5" t="n"/>
    </row>
    <row r="170">
      <c r="A170" s="5" t="n"/>
      <c r="B170" s="13" t="n"/>
      <c r="C170" s="14" t="n"/>
      <c r="D170" s="15" t="n"/>
      <c r="E170" s="22" t="n"/>
      <c r="F170" s="21" t="n"/>
      <c r="G170" s="21" t="n"/>
      <c r="H170" s="5" t="n"/>
      <c r="I170" s="5" t="n"/>
      <c r="J170" s="14" t="n"/>
      <c r="K170" s="18" t="str">
        <f>IF(C170="","",SUMIF('Buyer payments'!$A$8:$A$507,C170,'Buyer payments'!$F$8:$F$507))</f>
        <v/>
      </c>
      <c r="L170" s="18" t="str">
        <f>IF(OR(C170="",AND(H170&lt;&gt;"Contract signed",H170&lt;&gt;"Handed over")),"",IF(G170="",F170,G170)-N(K170))</f>
        <v/>
      </c>
      <c r="M170" s="19" t="str">
        <f>IF(L170="","",IFERROR(N(K170)/IF(G170="",F170,G170),0))</f>
        <v/>
      </c>
      <c r="N170" s="18" t="str">
        <f>IF(OR(C170="",N(E170)=0),"",IF(G170="",F170,G170)/E170)</f>
        <v/>
      </c>
      <c r="O170" s="20" t="n"/>
      <c r="P170" s="5" t="n"/>
      <c r="Q170" s="5" t="n"/>
    </row>
    <row r="171">
      <c r="A171" s="5" t="n"/>
      <c r="B171" s="13" t="n"/>
      <c r="C171" s="14" t="n"/>
      <c r="D171" s="15" t="n"/>
      <c r="E171" s="22" t="n"/>
      <c r="F171" s="21" t="n"/>
      <c r="G171" s="21" t="n"/>
      <c r="H171" s="5" t="n"/>
      <c r="I171" s="5" t="n"/>
      <c r="J171" s="14" t="n"/>
      <c r="K171" s="18" t="str">
        <f>IF(C171="","",SUMIF('Buyer payments'!$A$8:$A$507,C171,'Buyer payments'!$F$8:$F$507))</f>
        <v/>
      </c>
      <c r="L171" s="18" t="str">
        <f>IF(OR(C171="",AND(H171&lt;&gt;"Contract signed",H171&lt;&gt;"Handed over")),"",IF(G171="",F171,G171)-N(K171))</f>
        <v/>
      </c>
      <c r="M171" s="19" t="str">
        <f>IF(L171="","",IFERROR(N(K171)/IF(G171="",F171,G171),0))</f>
        <v/>
      </c>
      <c r="N171" s="18" t="str">
        <f>IF(OR(C171="",N(E171)=0),"",IF(G171="",F171,G171)/E171)</f>
        <v/>
      </c>
      <c r="O171" s="20" t="n"/>
      <c r="P171" s="5" t="n"/>
      <c r="Q171" s="5" t="n"/>
    </row>
    <row r="172">
      <c r="A172" s="5" t="n"/>
      <c r="B172" s="13" t="n"/>
      <c r="C172" s="14" t="n"/>
      <c r="D172" s="15" t="n"/>
      <c r="E172" s="22" t="n"/>
      <c r="F172" s="21" t="n"/>
      <c r="G172" s="21" t="n"/>
      <c r="H172" s="5" t="n"/>
      <c r="I172" s="5" t="n"/>
      <c r="J172" s="14" t="n"/>
      <c r="K172" s="18" t="str">
        <f>IF(C172="","",SUMIF('Buyer payments'!$A$8:$A$507,C172,'Buyer payments'!$F$8:$F$507))</f>
        <v/>
      </c>
      <c r="L172" s="18" t="str">
        <f>IF(OR(C172="",AND(H172&lt;&gt;"Contract signed",H172&lt;&gt;"Handed over")),"",IF(G172="",F172,G172)-N(K172))</f>
        <v/>
      </c>
      <c r="M172" s="19" t="str">
        <f>IF(L172="","",IFERROR(N(K172)/IF(G172="",F172,G172),0))</f>
        <v/>
      </c>
      <c r="N172" s="18" t="str">
        <f>IF(OR(C172="",N(E172)=0),"",IF(G172="",F172,G172)/E172)</f>
        <v/>
      </c>
      <c r="O172" s="20" t="n"/>
      <c r="P172" s="5" t="n"/>
      <c r="Q172" s="5" t="n"/>
    </row>
    <row r="173">
      <c r="A173" s="5" t="n"/>
      <c r="B173" s="13" t="n"/>
      <c r="C173" s="14" t="n"/>
      <c r="D173" s="15" t="n"/>
      <c r="E173" s="22" t="n"/>
      <c r="F173" s="21" t="n"/>
      <c r="G173" s="21" t="n"/>
      <c r="H173" s="5" t="n"/>
      <c r="I173" s="5" t="n"/>
      <c r="J173" s="14" t="n"/>
      <c r="K173" s="18" t="str">
        <f>IF(C173="","",SUMIF('Buyer payments'!$A$8:$A$507,C173,'Buyer payments'!$F$8:$F$507))</f>
        <v/>
      </c>
      <c r="L173" s="18" t="str">
        <f>IF(OR(C173="",AND(H173&lt;&gt;"Contract signed",H173&lt;&gt;"Handed over")),"",IF(G173="",F173,G173)-N(K173))</f>
        <v/>
      </c>
      <c r="M173" s="19" t="str">
        <f>IF(L173="","",IFERROR(N(K173)/IF(G173="",F173,G173),0))</f>
        <v/>
      </c>
      <c r="N173" s="18" t="str">
        <f>IF(OR(C173="",N(E173)=0),"",IF(G173="",F173,G173)/E173)</f>
        <v/>
      </c>
      <c r="O173" s="20" t="n"/>
      <c r="P173" s="5" t="n"/>
      <c r="Q173" s="5" t="n"/>
    </row>
    <row r="174">
      <c r="A174" s="5" t="n"/>
      <c r="B174" s="13" t="n"/>
      <c r="C174" s="14" t="n"/>
      <c r="D174" s="15" t="n"/>
      <c r="E174" s="22" t="n"/>
      <c r="F174" s="21" t="n"/>
      <c r="G174" s="21" t="n"/>
      <c r="H174" s="5" t="n"/>
      <c r="I174" s="5" t="n"/>
      <c r="J174" s="14" t="n"/>
      <c r="K174" s="18" t="str">
        <f>IF(C174="","",SUMIF('Buyer payments'!$A$8:$A$507,C174,'Buyer payments'!$F$8:$F$507))</f>
        <v/>
      </c>
      <c r="L174" s="18" t="str">
        <f>IF(OR(C174="",AND(H174&lt;&gt;"Contract signed",H174&lt;&gt;"Handed over")),"",IF(G174="",F174,G174)-N(K174))</f>
        <v/>
      </c>
      <c r="M174" s="19" t="str">
        <f>IF(L174="","",IFERROR(N(K174)/IF(G174="",F174,G174),0))</f>
        <v/>
      </c>
      <c r="N174" s="18" t="str">
        <f>IF(OR(C174="",N(E174)=0),"",IF(G174="",F174,G174)/E174)</f>
        <v/>
      </c>
      <c r="O174" s="20" t="n"/>
      <c r="P174" s="5" t="n"/>
      <c r="Q174" s="5" t="n"/>
    </row>
    <row r="175">
      <c r="A175" s="5" t="n"/>
      <c r="B175" s="13" t="n"/>
      <c r="C175" s="14" t="n"/>
      <c r="D175" s="15" t="n"/>
      <c r="E175" s="22" t="n"/>
      <c r="F175" s="21" t="n"/>
      <c r="G175" s="21" t="n"/>
      <c r="H175" s="5" t="n"/>
      <c r="I175" s="5" t="n"/>
      <c r="J175" s="14" t="n"/>
      <c r="K175" s="18" t="str">
        <f>IF(C175="","",SUMIF('Buyer payments'!$A$8:$A$507,C175,'Buyer payments'!$F$8:$F$507))</f>
        <v/>
      </c>
      <c r="L175" s="18" t="str">
        <f>IF(OR(C175="",AND(H175&lt;&gt;"Contract signed",H175&lt;&gt;"Handed over")),"",IF(G175="",F175,G175)-N(K175))</f>
        <v/>
      </c>
      <c r="M175" s="19" t="str">
        <f>IF(L175="","",IFERROR(N(K175)/IF(G175="",F175,G175),0))</f>
        <v/>
      </c>
      <c r="N175" s="18" t="str">
        <f>IF(OR(C175="",N(E175)=0),"",IF(G175="",F175,G175)/E175)</f>
        <v/>
      </c>
      <c r="O175" s="20" t="n"/>
      <c r="P175" s="5" t="n"/>
      <c r="Q175" s="5" t="n"/>
    </row>
    <row r="176">
      <c r="A176" s="5" t="n"/>
      <c r="B176" s="13" t="n"/>
      <c r="C176" s="14" t="n"/>
      <c r="D176" s="15" t="n"/>
      <c r="E176" s="22" t="n"/>
      <c r="F176" s="21" t="n"/>
      <c r="G176" s="21" t="n"/>
      <c r="H176" s="5" t="n"/>
      <c r="I176" s="5" t="n"/>
      <c r="J176" s="14" t="n"/>
      <c r="K176" s="18" t="str">
        <f>IF(C176="","",SUMIF('Buyer payments'!$A$8:$A$507,C176,'Buyer payments'!$F$8:$F$507))</f>
        <v/>
      </c>
      <c r="L176" s="18" t="str">
        <f>IF(OR(C176="",AND(H176&lt;&gt;"Contract signed",H176&lt;&gt;"Handed over")),"",IF(G176="",F176,G176)-N(K176))</f>
        <v/>
      </c>
      <c r="M176" s="19" t="str">
        <f>IF(L176="","",IFERROR(N(K176)/IF(G176="",F176,G176),0))</f>
        <v/>
      </c>
      <c r="N176" s="18" t="str">
        <f>IF(OR(C176="",N(E176)=0),"",IF(G176="",F176,G176)/E176)</f>
        <v/>
      </c>
      <c r="O176" s="20" t="n"/>
      <c r="P176" s="5" t="n"/>
      <c r="Q176" s="5" t="n"/>
    </row>
    <row r="177">
      <c r="A177" s="5" t="n"/>
      <c r="B177" s="13" t="n"/>
      <c r="C177" s="14" t="n"/>
      <c r="D177" s="15" t="n"/>
      <c r="E177" s="22" t="n"/>
      <c r="F177" s="21" t="n"/>
      <c r="G177" s="21" t="n"/>
      <c r="H177" s="5" t="n"/>
      <c r="I177" s="5" t="n"/>
      <c r="J177" s="14" t="n"/>
      <c r="K177" s="18" t="str">
        <f>IF(C177="","",SUMIF('Buyer payments'!$A$8:$A$507,C177,'Buyer payments'!$F$8:$F$507))</f>
        <v/>
      </c>
      <c r="L177" s="18" t="str">
        <f>IF(OR(C177="",AND(H177&lt;&gt;"Contract signed",H177&lt;&gt;"Handed over")),"",IF(G177="",F177,G177)-N(K177))</f>
        <v/>
      </c>
      <c r="M177" s="19" t="str">
        <f>IF(L177="","",IFERROR(N(K177)/IF(G177="",F177,G177),0))</f>
        <v/>
      </c>
      <c r="N177" s="18" t="str">
        <f>IF(OR(C177="",N(E177)=0),"",IF(G177="",F177,G177)/E177)</f>
        <v/>
      </c>
      <c r="O177" s="20" t="n"/>
      <c r="P177" s="5" t="n"/>
      <c r="Q177" s="5" t="n"/>
    </row>
    <row r="178">
      <c r="A178" s="5" t="n"/>
      <c r="B178" s="13" t="n"/>
      <c r="C178" s="14" t="n"/>
      <c r="D178" s="15" t="n"/>
      <c r="E178" s="22" t="n"/>
      <c r="F178" s="21" t="n"/>
      <c r="G178" s="21" t="n"/>
      <c r="H178" s="5" t="n"/>
      <c r="I178" s="5" t="n"/>
      <c r="J178" s="14" t="n"/>
      <c r="K178" s="18" t="str">
        <f>IF(C178="","",SUMIF('Buyer payments'!$A$8:$A$507,C178,'Buyer payments'!$F$8:$F$507))</f>
        <v/>
      </c>
      <c r="L178" s="18" t="str">
        <f>IF(OR(C178="",AND(H178&lt;&gt;"Contract signed",H178&lt;&gt;"Handed over")),"",IF(G178="",F178,G178)-N(K178))</f>
        <v/>
      </c>
      <c r="M178" s="19" t="str">
        <f>IF(L178="","",IFERROR(N(K178)/IF(G178="",F178,G178),0))</f>
        <v/>
      </c>
      <c r="N178" s="18" t="str">
        <f>IF(OR(C178="",N(E178)=0),"",IF(G178="",F178,G178)/E178)</f>
        <v/>
      </c>
      <c r="O178" s="20" t="n"/>
      <c r="P178" s="5" t="n"/>
      <c r="Q178" s="5" t="n"/>
    </row>
    <row r="179">
      <c r="A179" s="5" t="n"/>
      <c r="B179" s="13" t="n"/>
      <c r="C179" s="14" t="n"/>
      <c r="D179" s="15" t="n"/>
      <c r="E179" s="22" t="n"/>
      <c r="F179" s="21" t="n"/>
      <c r="G179" s="21" t="n"/>
      <c r="H179" s="5" t="n"/>
      <c r="I179" s="5" t="n"/>
      <c r="J179" s="14" t="n"/>
      <c r="K179" s="18" t="str">
        <f>IF(C179="","",SUMIF('Buyer payments'!$A$8:$A$507,C179,'Buyer payments'!$F$8:$F$507))</f>
        <v/>
      </c>
      <c r="L179" s="18" t="str">
        <f>IF(OR(C179="",AND(H179&lt;&gt;"Contract signed",H179&lt;&gt;"Handed over")),"",IF(G179="",F179,G179)-N(K179))</f>
        <v/>
      </c>
      <c r="M179" s="19" t="str">
        <f>IF(L179="","",IFERROR(N(K179)/IF(G179="",F179,G179),0))</f>
        <v/>
      </c>
      <c r="N179" s="18" t="str">
        <f>IF(OR(C179="",N(E179)=0),"",IF(G179="",F179,G179)/E179)</f>
        <v/>
      </c>
      <c r="O179" s="20" t="n"/>
      <c r="P179" s="5" t="n"/>
      <c r="Q179" s="5" t="n"/>
    </row>
    <row r="180">
      <c r="A180" s="5" t="n"/>
      <c r="B180" s="13" t="n"/>
      <c r="C180" s="14" t="n"/>
      <c r="D180" s="15" t="n"/>
      <c r="E180" s="22" t="n"/>
      <c r="F180" s="21" t="n"/>
      <c r="G180" s="21" t="n"/>
      <c r="H180" s="5" t="n"/>
      <c r="I180" s="5" t="n"/>
      <c r="J180" s="14" t="n"/>
      <c r="K180" s="18" t="str">
        <f>IF(C180="","",SUMIF('Buyer payments'!$A$8:$A$507,C180,'Buyer payments'!$F$8:$F$507))</f>
        <v/>
      </c>
      <c r="L180" s="18" t="str">
        <f>IF(OR(C180="",AND(H180&lt;&gt;"Contract signed",H180&lt;&gt;"Handed over")),"",IF(G180="",F180,G180)-N(K180))</f>
        <v/>
      </c>
      <c r="M180" s="19" t="str">
        <f>IF(L180="","",IFERROR(N(K180)/IF(G180="",F180,G180),0))</f>
        <v/>
      </c>
      <c r="N180" s="18" t="str">
        <f>IF(OR(C180="",N(E180)=0),"",IF(G180="",F180,G180)/E180)</f>
        <v/>
      </c>
      <c r="O180" s="20" t="n"/>
      <c r="P180" s="5" t="n"/>
      <c r="Q180" s="5" t="n"/>
    </row>
    <row r="181">
      <c r="A181" s="5" t="n"/>
      <c r="B181" s="13" t="n"/>
      <c r="C181" s="14" t="n"/>
      <c r="D181" s="15" t="n"/>
      <c r="E181" s="22" t="n"/>
      <c r="F181" s="21" t="n"/>
      <c r="G181" s="21" t="n"/>
      <c r="H181" s="5" t="n"/>
      <c r="I181" s="5" t="n"/>
      <c r="J181" s="14" t="n"/>
      <c r="K181" s="18" t="str">
        <f>IF(C181="","",SUMIF('Buyer payments'!$A$8:$A$507,C181,'Buyer payments'!$F$8:$F$507))</f>
        <v/>
      </c>
      <c r="L181" s="18" t="str">
        <f>IF(OR(C181="",AND(H181&lt;&gt;"Contract signed",H181&lt;&gt;"Handed over")),"",IF(G181="",F181,G181)-N(K181))</f>
        <v/>
      </c>
      <c r="M181" s="19" t="str">
        <f>IF(L181="","",IFERROR(N(K181)/IF(G181="",F181,G181),0))</f>
        <v/>
      </c>
      <c r="N181" s="18" t="str">
        <f>IF(OR(C181="",N(E181)=0),"",IF(G181="",F181,G181)/E181)</f>
        <v/>
      </c>
      <c r="O181" s="20" t="n"/>
      <c r="P181" s="5" t="n"/>
      <c r="Q181" s="5" t="n"/>
    </row>
    <row r="182">
      <c r="A182" s="5" t="n"/>
      <c r="B182" s="13" t="n"/>
      <c r="C182" s="14" t="n"/>
      <c r="D182" s="15" t="n"/>
      <c r="E182" s="22" t="n"/>
      <c r="F182" s="21" t="n"/>
      <c r="G182" s="21" t="n"/>
      <c r="H182" s="5" t="n"/>
      <c r="I182" s="5" t="n"/>
      <c r="J182" s="14" t="n"/>
      <c r="K182" s="18" t="str">
        <f>IF(C182="","",SUMIF('Buyer payments'!$A$8:$A$507,C182,'Buyer payments'!$F$8:$F$507))</f>
        <v/>
      </c>
      <c r="L182" s="18" t="str">
        <f>IF(OR(C182="",AND(H182&lt;&gt;"Contract signed",H182&lt;&gt;"Handed over")),"",IF(G182="",F182,G182)-N(K182))</f>
        <v/>
      </c>
      <c r="M182" s="19" t="str">
        <f>IF(L182="","",IFERROR(N(K182)/IF(G182="",F182,G182),0))</f>
        <v/>
      </c>
      <c r="N182" s="18" t="str">
        <f>IF(OR(C182="",N(E182)=0),"",IF(G182="",F182,G182)/E182)</f>
        <v/>
      </c>
      <c r="O182" s="20" t="n"/>
      <c r="P182" s="5" t="n"/>
      <c r="Q182" s="5" t="n"/>
    </row>
    <row r="183">
      <c r="A183" s="5" t="n"/>
      <c r="B183" s="13" t="n"/>
      <c r="C183" s="14" t="n"/>
      <c r="D183" s="15" t="n"/>
      <c r="E183" s="22" t="n"/>
      <c r="F183" s="21" t="n"/>
      <c r="G183" s="21" t="n"/>
      <c r="H183" s="5" t="n"/>
      <c r="I183" s="5" t="n"/>
      <c r="J183" s="14" t="n"/>
      <c r="K183" s="18" t="str">
        <f>IF(C183="","",SUMIF('Buyer payments'!$A$8:$A$507,C183,'Buyer payments'!$F$8:$F$507))</f>
        <v/>
      </c>
      <c r="L183" s="18" t="str">
        <f>IF(OR(C183="",AND(H183&lt;&gt;"Contract signed",H183&lt;&gt;"Handed over")),"",IF(G183="",F183,G183)-N(K183))</f>
        <v/>
      </c>
      <c r="M183" s="19" t="str">
        <f>IF(L183="","",IFERROR(N(K183)/IF(G183="",F183,G183),0))</f>
        <v/>
      </c>
      <c r="N183" s="18" t="str">
        <f>IF(OR(C183="",N(E183)=0),"",IF(G183="",F183,G183)/E183)</f>
        <v/>
      </c>
      <c r="O183" s="20" t="n"/>
      <c r="P183" s="5" t="n"/>
      <c r="Q183" s="5" t="n"/>
    </row>
    <row r="184">
      <c r="A184" s="5" t="n"/>
      <c r="B184" s="13" t="n"/>
      <c r="C184" s="14" t="n"/>
      <c r="D184" s="15" t="n"/>
      <c r="E184" s="22" t="n"/>
      <c r="F184" s="21" t="n"/>
      <c r="G184" s="21" t="n"/>
      <c r="H184" s="5" t="n"/>
      <c r="I184" s="5" t="n"/>
      <c r="J184" s="14" t="n"/>
      <c r="K184" s="18" t="str">
        <f>IF(C184="","",SUMIF('Buyer payments'!$A$8:$A$507,C184,'Buyer payments'!$F$8:$F$507))</f>
        <v/>
      </c>
      <c r="L184" s="18" t="str">
        <f>IF(OR(C184="",AND(H184&lt;&gt;"Contract signed",H184&lt;&gt;"Handed over")),"",IF(G184="",F184,G184)-N(K184))</f>
        <v/>
      </c>
      <c r="M184" s="19" t="str">
        <f>IF(L184="","",IFERROR(N(K184)/IF(G184="",F184,G184),0))</f>
        <v/>
      </c>
      <c r="N184" s="18" t="str">
        <f>IF(OR(C184="",N(E184)=0),"",IF(G184="",F184,G184)/E184)</f>
        <v/>
      </c>
      <c r="O184" s="20" t="n"/>
      <c r="P184" s="5" t="n"/>
      <c r="Q184" s="5" t="n"/>
    </row>
    <row r="185">
      <c r="A185" s="5" t="n"/>
      <c r="B185" s="13" t="n"/>
      <c r="C185" s="14" t="n"/>
      <c r="D185" s="15" t="n"/>
      <c r="E185" s="22" t="n"/>
      <c r="F185" s="21" t="n"/>
      <c r="G185" s="21" t="n"/>
      <c r="H185" s="5" t="n"/>
      <c r="I185" s="5" t="n"/>
      <c r="J185" s="14" t="n"/>
      <c r="K185" s="18" t="str">
        <f>IF(C185="","",SUMIF('Buyer payments'!$A$8:$A$507,C185,'Buyer payments'!$F$8:$F$507))</f>
        <v/>
      </c>
      <c r="L185" s="18" t="str">
        <f>IF(OR(C185="",AND(H185&lt;&gt;"Contract signed",H185&lt;&gt;"Handed over")),"",IF(G185="",F185,G185)-N(K185))</f>
        <v/>
      </c>
      <c r="M185" s="19" t="str">
        <f>IF(L185="","",IFERROR(N(K185)/IF(G185="",F185,G185),0))</f>
        <v/>
      </c>
      <c r="N185" s="18" t="str">
        <f>IF(OR(C185="",N(E185)=0),"",IF(G185="",F185,G185)/E185)</f>
        <v/>
      </c>
      <c r="O185" s="20" t="n"/>
      <c r="P185" s="5" t="n"/>
      <c r="Q185" s="5" t="n"/>
    </row>
    <row r="186">
      <c r="A186" s="5" t="n"/>
      <c r="B186" s="13" t="n"/>
      <c r="C186" s="14" t="n"/>
      <c r="D186" s="15" t="n"/>
      <c r="E186" s="22" t="n"/>
      <c r="F186" s="21" t="n"/>
      <c r="G186" s="21" t="n"/>
      <c r="H186" s="5" t="n"/>
      <c r="I186" s="5" t="n"/>
      <c r="J186" s="14" t="n"/>
      <c r="K186" s="18" t="str">
        <f>IF(C186="","",SUMIF('Buyer payments'!$A$8:$A$507,C186,'Buyer payments'!$F$8:$F$507))</f>
        <v/>
      </c>
      <c r="L186" s="18" t="str">
        <f>IF(OR(C186="",AND(H186&lt;&gt;"Contract signed",H186&lt;&gt;"Handed over")),"",IF(G186="",F186,G186)-N(K186))</f>
        <v/>
      </c>
      <c r="M186" s="19" t="str">
        <f>IF(L186="","",IFERROR(N(K186)/IF(G186="",F186,G186),0))</f>
        <v/>
      </c>
      <c r="N186" s="18" t="str">
        <f>IF(OR(C186="",N(E186)=0),"",IF(G186="",F186,G186)/E186)</f>
        <v/>
      </c>
      <c r="O186" s="20" t="n"/>
      <c r="P186" s="5" t="n"/>
      <c r="Q186" s="5" t="n"/>
    </row>
    <row r="187">
      <c r="A187" s="5" t="n"/>
      <c r="B187" s="13" t="n"/>
      <c r="C187" s="14" t="n"/>
      <c r="D187" s="15" t="n"/>
      <c r="E187" s="22" t="n"/>
      <c r="F187" s="21" t="n"/>
      <c r="G187" s="21" t="n"/>
      <c r="H187" s="5" t="n"/>
      <c r="I187" s="5" t="n"/>
      <c r="J187" s="14" t="n"/>
      <c r="K187" s="18" t="str">
        <f>IF(C187="","",SUMIF('Buyer payments'!$A$8:$A$507,C187,'Buyer payments'!$F$8:$F$507))</f>
        <v/>
      </c>
      <c r="L187" s="18" t="str">
        <f>IF(OR(C187="",AND(H187&lt;&gt;"Contract signed",H187&lt;&gt;"Handed over")),"",IF(G187="",F187,G187)-N(K187))</f>
        <v/>
      </c>
      <c r="M187" s="19" t="str">
        <f>IF(L187="","",IFERROR(N(K187)/IF(G187="",F187,G187),0))</f>
        <v/>
      </c>
      <c r="N187" s="18" t="str">
        <f>IF(OR(C187="",N(E187)=0),"",IF(G187="",F187,G187)/E187)</f>
        <v/>
      </c>
      <c r="O187" s="20" t="n"/>
      <c r="P187" s="5" t="n"/>
      <c r="Q187" s="5" t="n"/>
    </row>
    <row r="188">
      <c r="A188" s="5" t="n"/>
      <c r="B188" s="13" t="n"/>
      <c r="C188" s="14" t="n"/>
      <c r="D188" s="15" t="n"/>
      <c r="E188" s="22" t="n"/>
      <c r="F188" s="21" t="n"/>
      <c r="G188" s="21" t="n"/>
      <c r="H188" s="5" t="n"/>
      <c r="I188" s="5" t="n"/>
      <c r="J188" s="14" t="n"/>
      <c r="K188" s="18" t="str">
        <f>IF(C188="","",SUMIF('Buyer payments'!$A$8:$A$507,C188,'Buyer payments'!$F$8:$F$507))</f>
        <v/>
      </c>
      <c r="L188" s="18" t="str">
        <f>IF(OR(C188="",AND(H188&lt;&gt;"Contract signed",H188&lt;&gt;"Handed over")),"",IF(G188="",F188,G188)-N(K188))</f>
        <v/>
      </c>
      <c r="M188" s="19" t="str">
        <f>IF(L188="","",IFERROR(N(K188)/IF(G188="",F188,G188),0))</f>
        <v/>
      </c>
      <c r="N188" s="18" t="str">
        <f>IF(OR(C188="",N(E188)=0),"",IF(G188="",F188,G188)/E188)</f>
        <v/>
      </c>
      <c r="O188" s="20" t="n"/>
      <c r="P188" s="5" t="n"/>
      <c r="Q188" s="5" t="n"/>
    </row>
    <row r="189">
      <c r="A189" s="5" t="n"/>
      <c r="B189" s="13" t="n"/>
      <c r="C189" s="14" t="n"/>
      <c r="D189" s="15" t="n"/>
      <c r="E189" s="22" t="n"/>
      <c r="F189" s="21" t="n"/>
      <c r="G189" s="21" t="n"/>
      <c r="H189" s="5" t="n"/>
      <c r="I189" s="5" t="n"/>
      <c r="J189" s="14" t="n"/>
      <c r="K189" s="18" t="str">
        <f>IF(C189="","",SUMIF('Buyer payments'!$A$8:$A$507,C189,'Buyer payments'!$F$8:$F$507))</f>
        <v/>
      </c>
      <c r="L189" s="18" t="str">
        <f>IF(OR(C189="",AND(H189&lt;&gt;"Contract signed",H189&lt;&gt;"Handed over")),"",IF(G189="",F189,G189)-N(K189))</f>
        <v/>
      </c>
      <c r="M189" s="19" t="str">
        <f>IF(L189="","",IFERROR(N(K189)/IF(G189="",F189,G189),0))</f>
        <v/>
      </c>
      <c r="N189" s="18" t="str">
        <f>IF(OR(C189="",N(E189)=0),"",IF(G189="",F189,G189)/E189)</f>
        <v/>
      </c>
      <c r="O189" s="20" t="n"/>
      <c r="P189" s="5" t="n"/>
      <c r="Q189" s="5" t="n"/>
    </row>
    <row r="190">
      <c r="A190" s="5" t="n"/>
      <c r="B190" s="13" t="n"/>
      <c r="C190" s="14" t="n"/>
      <c r="D190" s="15" t="n"/>
      <c r="E190" s="22" t="n"/>
      <c r="F190" s="21" t="n"/>
      <c r="G190" s="21" t="n"/>
      <c r="H190" s="5" t="n"/>
      <c r="I190" s="5" t="n"/>
      <c r="J190" s="14" t="n"/>
      <c r="K190" s="18" t="str">
        <f>IF(C190="","",SUMIF('Buyer payments'!$A$8:$A$507,C190,'Buyer payments'!$F$8:$F$507))</f>
        <v/>
      </c>
      <c r="L190" s="18" t="str">
        <f>IF(OR(C190="",AND(H190&lt;&gt;"Contract signed",H190&lt;&gt;"Handed over")),"",IF(G190="",F190,G190)-N(K190))</f>
        <v/>
      </c>
      <c r="M190" s="19" t="str">
        <f>IF(L190="","",IFERROR(N(K190)/IF(G190="",F190,G190),0))</f>
        <v/>
      </c>
      <c r="N190" s="18" t="str">
        <f>IF(OR(C190="",N(E190)=0),"",IF(G190="",F190,G190)/E190)</f>
        <v/>
      </c>
      <c r="O190" s="20" t="n"/>
      <c r="P190" s="5" t="n"/>
      <c r="Q190" s="5" t="n"/>
    </row>
    <row r="191">
      <c r="A191" s="5" t="n"/>
      <c r="B191" s="13" t="n"/>
      <c r="C191" s="14" t="n"/>
      <c r="D191" s="15" t="n"/>
      <c r="E191" s="22" t="n"/>
      <c r="F191" s="21" t="n"/>
      <c r="G191" s="21" t="n"/>
      <c r="H191" s="5" t="n"/>
      <c r="I191" s="5" t="n"/>
      <c r="J191" s="14" t="n"/>
      <c r="K191" s="18" t="str">
        <f>IF(C191="","",SUMIF('Buyer payments'!$A$8:$A$507,C191,'Buyer payments'!$F$8:$F$507))</f>
        <v/>
      </c>
      <c r="L191" s="18" t="str">
        <f>IF(OR(C191="",AND(H191&lt;&gt;"Contract signed",H191&lt;&gt;"Handed over")),"",IF(G191="",F191,G191)-N(K191))</f>
        <v/>
      </c>
      <c r="M191" s="19" t="str">
        <f>IF(L191="","",IFERROR(N(K191)/IF(G191="",F191,G191),0))</f>
        <v/>
      </c>
      <c r="N191" s="18" t="str">
        <f>IF(OR(C191="",N(E191)=0),"",IF(G191="",F191,G191)/E191)</f>
        <v/>
      </c>
      <c r="O191" s="20" t="n"/>
      <c r="P191" s="5" t="n"/>
      <c r="Q191" s="5" t="n"/>
    </row>
    <row r="192">
      <c r="A192" s="5" t="n"/>
      <c r="B192" s="13" t="n"/>
      <c r="C192" s="14" t="n"/>
      <c r="D192" s="15" t="n"/>
      <c r="E192" s="22" t="n"/>
      <c r="F192" s="21" t="n"/>
      <c r="G192" s="21" t="n"/>
      <c r="H192" s="5" t="n"/>
      <c r="I192" s="5" t="n"/>
      <c r="J192" s="14" t="n"/>
      <c r="K192" s="18" t="str">
        <f>IF(C192="","",SUMIF('Buyer payments'!$A$8:$A$507,C192,'Buyer payments'!$F$8:$F$507))</f>
        <v/>
      </c>
      <c r="L192" s="18" t="str">
        <f>IF(OR(C192="",AND(H192&lt;&gt;"Contract signed",H192&lt;&gt;"Handed over")),"",IF(G192="",F192,G192)-N(K192))</f>
        <v/>
      </c>
      <c r="M192" s="19" t="str">
        <f>IF(L192="","",IFERROR(N(K192)/IF(G192="",F192,G192),0))</f>
        <v/>
      </c>
      <c r="N192" s="18" t="str">
        <f>IF(OR(C192="",N(E192)=0),"",IF(G192="",F192,G192)/E192)</f>
        <v/>
      </c>
      <c r="O192" s="20" t="n"/>
      <c r="P192" s="5" t="n"/>
      <c r="Q192" s="5" t="n"/>
    </row>
    <row r="193">
      <c r="A193" s="5" t="n"/>
      <c r="B193" s="13" t="n"/>
      <c r="C193" s="14" t="n"/>
      <c r="D193" s="15" t="n"/>
      <c r="E193" s="22" t="n"/>
      <c r="F193" s="21" t="n"/>
      <c r="G193" s="21" t="n"/>
      <c r="H193" s="5" t="n"/>
      <c r="I193" s="5" t="n"/>
      <c r="J193" s="14" t="n"/>
      <c r="K193" s="18" t="str">
        <f>IF(C193="","",SUMIF('Buyer payments'!$A$8:$A$507,C193,'Buyer payments'!$F$8:$F$507))</f>
        <v/>
      </c>
      <c r="L193" s="18" t="str">
        <f>IF(OR(C193="",AND(H193&lt;&gt;"Contract signed",H193&lt;&gt;"Handed over")),"",IF(G193="",F193,G193)-N(K193))</f>
        <v/>
      </c>
      <c r="M193" s="19" t="str">
        <f>IF(L193="","",IFERROR(N(K193)/IF(G193="",F193,G193),0))</f>
        <v/>
      </c>
      <c r="N193" s="18" t="str">
        <f>IF(OR(C193="",N(E193)=0),"",IF(G193="",F193,G193)/E193)</f>
        <v/>
      </c>
      <c r="O193" s="20" t="n"/>
      <c r="P193" s="5" t="n"/>
      <c r="Q193" s="5" t="n"/>
    </row>
    <row r="194">
      <c r="A194" s="5" t="n"/>
      <c r="B194" s="13" t="n"/>
      <c r="C194" s="14" t="n"/>
      <c r="D194" s="15" t="n"/>
      <c r="E194" s="22" t="n"/>
      <c r="F194" s="21" t="n"/>
      <c r="G194" s="21" t="n"/>
      <c r="H194" s="5" t="n"/>
      <c r="I194" s="5" t="n"/>
      <c r="J194" s="14" t="n"/>
      <c r="K194" s="18" t="str">
        <f>IF(C194="","",SUMIF('Buyer payments'!$A$8:$A$507,C194,'Buyer payments'!$F$8:$F$507))</f>
        <v/>
      </c>
      <c r="L194" s="18" t="str">
        <f>IF(OR(C194="",AND(H194&lt;&gt;"Contract signed",H194&lt;&gt;"Handed over")),"",IF(G194="",F194,G194)-N(K194))</f>
        <v/>
      </c>
      <c r="M194" s="19" t="str">
        <f>IF(L194="","",IFERROR(N(K194)/IF(G194="",F194,G194),0))</f>
        <v/>
      </c>
      <c r="N194" s="18" t="str">
        <f>IF(OR(C194="",N(E194)=0),"",IF(G194="",F194,G194)/E194)</f>
        <v/>
      </c>
      <c r="O194" s="20" t="n"/>
      <c r="P194" s="5" t="n"/>
      <c r="Q194" s="5" t="n"/>
    </row>
    <row r="195">
      <c r="A195" s="5" t="n"/>
      <c r="B195" s="13" t="n"/>
      <c r="C195" s="14" t="n"/>
      <c r="D195" s="15" t="n"/>
      <c r="E195" s="22" t="n"/>
      <c r="F195" s="21" t="n"/>
      <c r="G195" s="21" t="n"/>
      <c r="H195" s="5" t="n"/>
      <c r="I195" s="5" t="n"/>
      <c r="J195" s="14" t="n"/>
      <c r="K195" s="18" t="str">
        <f>IF(C195="","",SUMIF('Buyer payments'!$A$8:$A$507,C195,'Buyer payments'!$F$8:$F$507))</f>
        <v/>
      </c>
      <c r="L195" s="18" t="str">
        <f>IF(OR(C195="",AND(H195&lt;&gt;"Contract signed",H195&lt;&gt;"Handed over")),"",IF(G195="",F195,G195)-N(K195))</f>
        <v/>
      </c>
      <c r="M195" s="19" t="str">
        <f>IF(L195="","",IFERROR(N(K195)/IF(G195="",F195,G195),0))</f>
        <v/>
      </c>
      <c r="N195" s="18" t="str">
        <f>IF(OR(C195="",N(E195)=0),"",IF(G195="",F195,G195)/E195)</f>
        <v/>
      </c>
      <c r="O195" s="20" t="n"/>
      <c r="P195" s="5" t="n"/>
      <c r="Q195" s="5" t="n"/>
    </row>
    <row r="196">
      <c r="A196" s="5" t="n"/>
      <c r="B196" s="13" t="n"/>
      <c r="C196" s="14" t="n"/>
      <c r="D196" s="15" t="n"/>
      <c r="E196" s="22" t="n"/>
      <c r="F196" s="21" t="n"/>
      <c r="G196" s="21" t="n"/>
      <c r="H196" s="5" t="n"/>
      <c r="I196" s="5" t="n"/>
      <c r="J196" s="14" t="n"/>
      <c r="K196" s="18" t="str">
        <f>IF(C196="","",SUMIF('Buyer payments'!$A$8:$A$507,C196,'Buyer payments'!$F$8:$F$507))</f>
        <v/>
      </c>
      <c r="L196" s="18" t="str">
        <f>IF(OR(C196="",AND(H196&lt;&gt;"Contract signed",H196&lt;&gt;"Handed over")),"",IF(G196="",F196,G196)-N(K196))</f>
        <v/>
      </c>
      <c r="M196" s="19" t="str">
        <f>IF(L196="","",IFERROR(N(K196)/IF(G196="",F196,G196),0))</f>
        <v/>
      </c>
      <c r="N196" s="18" t="str">
        <f>IF(OR(C196="",N(E196)=0),"",IF(G196="",F196,G196)/E196)</f>
        <v/>
      </c>
      <c r="O196" s="20" t="n"/>
      <c r="P196" s="5" t="n"/>
      <c r="Q196" s="5" t="n"/>
    </row>
    <row r="197">
      <c r="A197" s="5" t="n"/>
      <c r="B197" s="13" t="n"/>
      <c r="C197" s="14" t="n"/>
      <c r="D197" s="15" t="n"/>
      <c r="E197" s="22" t="n"/>
      <c r="F197" s="21" t="n"/>
      <c r="G197" s="21" t="n"/>
      <c r="H197" s="5" t="n"/>
      <c r="I197" s="5" t="n"/>
      <c r="J197" s="14" t="n"/>
      <c r="K197" s="18" t="str">
        <f>IF(C197="","",SUMIF('Buyer payments'!$A$8:$A$507,C197,'Buyer payments'!$F$8:$F$507))</f>
        <v/>
      </c>
      <c r="L197" s="18" t="str">
        <f>IF(OR(C197="",AND(H197&lt;&gt;"Contract signed",H197&lt;&gt;"Handed over")),"",IF(G197="",F197,G197)-N(K197))</f>
        <v/>
      </c>
      <c r="M197" s="19" t="str">
        <f>IF(L197="","",IFERROR(N(K197)/IF(G197="",F197,G197),0))</f>
        <v/>
      </c>
      <c r="N197" s="18" t="str">
        <f>IF(OR(C197="",N(E197)=0),"",IF(G197="",F197,G197)/E197)</f>
        <v/>
      </c>
      <c r="O197" s="20" t="n"/>
      <c r="P197" s="5" t="n"/>
      <c r="Q197" s="5" t="n"/>
    </row>
    <row r="198">
      <c r="A198" s="5" t="n"/>
      <c r="B198" s="13" t="n"/>
      <c r="C198" s="14" t="n"/>
      <c r="D198" s="15" t="n"/>
      <c r="E198" s="22" t="n"/>
      <c r="F198" s="21" t="n"/>
      <c r="G198" s="21" t="n"/>
      <c r="H198" s="5" t="n"/>
      <c r="I198" s="5" t="n"/>
      <c r="J198" s="14" t="n"/>
      <c r="K198" s="18" t="str">
        <f>IF(C198="","",SUMIF('Buyer payments'!$A$8:$A$507,C198,'Buyer payments'!$F$8:$F$507))</f>
        <v/>
      </c>
      <c r="L198" s="18" t="str">
        <f>IF(OR(C198="",AND(H198&lt;&gt;"Contract signed",H198&lt;&gt;"Handed over")),"",IF(G198="",F198,G198)-N(K198))</f>
        <v/>
      </c>
      <c r="M198" s="19" t="str">
        <f>IF(L198="","",IFERROR(N(K198)/IF(G198="",F198,G198),0))</f>
        <v/>
      </c>
      <c r="N198" s="18" t="str">
        <f>IF(OR(C198="",N(E198)=0),"",IF(G198="",F198,G198)/E198)</f>
        <v/>
      </c>
      <c r="O198" s="20" t="n"/>
      <c r="P198" s="5" t="n"/>
      <c r="Q198" s="5" t="n"/>
    </row>
    <row r="199">
      <c r="A199" s="5" t="n"/>
      <c r="B199" s="13" t="n"/>
      <c r="C199" s="14" t="n"/>
      <c r="D199" s="15" t="n"/>
      <c r="E199" s="22" t="n"/>
      <c r="F199" s="21" t="n"/>
      <c r="G199" s="21" t="n"/>
      <c r="H199" s="5" t="n"/>
      <c r="I199" s="5" t="n"/>
      <c r="J199" s="14" t="n"/>
      <c r="K199" s="18" t="str">
        <f>IF(C199="","",SUMIF('Buyer payments'!$A$8:$A$507,C199,'Buyer payments'!$F$8:$F$507))</f>
        <v/>
      </c>
      <c r="L199" s="18" t="str">
        <f>IF(OR(C199="",AND(H199&lt;&gt;"Contract signed",H199&lt;&gt;"Handed over")),"",IF(G199="",F199,G199)-N(K199))</f>
        <v/>
      </c>
      <c r="M199" s="19" t="str">
        <f>IF(L199="","",IFERROR(N(K199)/IF(G199="",F199,G199),0))</f>
        <v/>
      </c>
      <c r="N199" s="18" t="str">
        <f>IF(OR(C199="",N(E199)=0),"",IF(G199="",F199,G199)/E199)</f>
        <v/>
      </c>
      <c r="O199" s="20" t="n"/>
      <c r="P199" s="5" t="n"/>
      <c r="Q199" s="5" t="n"/>
    </row>
    <row r="200">
      <c r="A200" s="5" t="n"/>
      <c r="B200" s="13" t="n"/>
      <c r="C200" s="14" t="n"/>
      <c r="D200" s="15" t="n"/>
      <c r="E200" s="22" t="n"/>
      <c r="F200" s="21" t="n"/>
      <c r="G200" s="21" t="n"/>
      <c r="H200" s="5" t="n"/>
      <c r="I200" s="5" t="n"/>
      <c r="J200" s="14" t="n"/>
      <c r="K200" s="18" t="str">
        <f>IF(C200="","",SUMIF('Buyer payments'!$A$8:$A$507,C200,'Buyer payments'!$F$8:$F$507))</f>
        <v/>
      </c>
      <c r="L200" s="18" t="str">
        <f>IF(OR(C200="",AND(H200&lt;&gt;"Contract signed",H200&lt;&gt;"Handed over")),"",IF(G200="",F200,G200)-N(K200))</f>
        <v/>
      </c>
      <c r="M200" s="19" t="str">
        <f>IF(L200="","",IFERROR(N(K200)/IF(G200="",F200,G200),0))</f>
        <v/>
      </c>
      <c r="N200" s="18" t="str">
        <f>IF(OR(C200="",N(E200)=0),"",IF(G200="",F200,G200)/E200)</f>
        <v/>
      </c>
      <c r="O200" s="20" t="n"/>
      <c r="P200" s="5" t="n"/>
      <c r="Q200" s="5" t="n"/>
    </row>
    <row r="201">
      <c r="A201" s="5" t="n"/>
      <c r="B201" s="13" t="n"/>
      <c r="C201" s="14" t="n"/>
      <c r="D201" s="15" t="n"/>
      <c r="E201" s="22" t="n"/>
      <c r="F201" s="21" t="n"/>
      <c r="G201" s="21" t="n"/>
      <c r="H201" s="5" t="n"/>
      <c r="I201" s="5" t="n"/>
      <c r="J201" s="14" t="n"/>
      <c r="K201" s="18" t="str">
        <f>IF(C201="","",SUMIF('Buyer payments'!$A$8:$A$507,C201,'Buyer payments'!$F$8:$F$507))</f>
        <v/>
      </c>
      <c r="L201" s="18" t="str">
        <f>IF(OR(C201="",AND(H201&lt;&gt;"Contract signed",H201&lt;&gt;"Handed over")),"",IF(G201="",F201,G201)-N(K201))</f>
        <v/>
      </c>
      <c r="M201" s="19" t="str">
        <f>IF(L201="","",IFERROR(N(K201)/IF(G201="",F201,G201),0))</f>
        <v/>
      </c>
      <c r="N201" s="18" t="str">
        <f>IF(OR(C201="",N(E201)=0),"",IF(G201="",F201,G201)/E201)</f>
        <v/>
      </c>
      <c r="O201" s="20" t="n"/>
      <c r="P201" s="5" t="n"/>
      <c r="Q201" s="5" t="n"/>
    </row>
    <row r="202">
      <c r="A202" s="5" t="n"/>
      <c r="B202" s="13" t="n"/>
      <c r="C202" s="14" t="n"/>
      <c r="D202" s="15" t="n"/>
      <c r="E202" s="22" t="n"/>
      <c r="F202" s="21" t="n"/>
      <c r="G202" s="21" t="n"/>
      <c r="H202" s="5" t="n"/>
      <c r="I202" s="5" t="n"/>
      <c r="J202" s="14" t="n"/>
      <c r="K202" s="18" t="str">
        <f>IF(C202="","",SUMIF('Buyer payments'!$A$8:$A$507,C202,'Buyer payments'!$F$8:$F$507))</f>
        <v/>
      </c>
      <c r="L202" s="18" t="str">
        <f>IF(OR(C202="",AND(H202&lt;&gt;"Contract signed",H202&lt;&gt;"Handed over")),"",IF(G202="",F202,G202)-N(K202))</f>
        <v/>
      </c>
      <c r="M202" s="19" t="str">
        <f>IF(L202="","",IFERROR(N(K202)/IF(G202="",F202,G202),0))</f>
        <v/>
      </c>
      <c r="N202" s="18" t="str">
        <f>IF(OR(C202="",N(E202)=0),"",IF(G202="",F202,G202)/E202)</f>
        <v/>
      </c>
      <c r="O202" s="20" t="n"/>
      <c r="P202" s="5" t="n"/>
      <c r="Q202" s="5" t="n"/>
    </row>
    <row r="203">
      <c r="A203" s="5" t="n"/>
      <c r="B203" s="13" t="n"/>
      <c r="C203" s="14" t="n"/>
      <c r="D203" s="15" t="n"/>
      <c r="E203" s="22" t="n"/>
      <c r="F203" s="21" t="n"/>
      <c r="G203" s="21" t="n"/>
      <c r="H203" s="5" t="n"/>
      <c r="I203" s="5" t="n"/>
      <c r="J203" s="14" t="n"/>
      <c r="K203" s="18" t="str">
        <f>IF(C203="","",SUMIF('Buyer payments'!$A$8:$A$507,C203,'Buyer payments'!$F$8:$F$507))</f>
        <v/>
      </c>
      <c r="L203" s="18" t="str">
        <f>IF(OR(C203="",AND(H203&lt;&gt;"Contract signed",H203&lt;&gt;"Handed over")),"",IF(G203="",F203,G203)-N(K203))</f>
        <v/>
      </c>
      <c r="M203" s="19" t="str">
        <f>IF(L203="","",IFERROR(N(K203)/IF(G203="",F203,G203),0))</f>
        <v/>
      </c>
      <c r="N203" s="18" t="str">
        <f>IF(OR(C203="",N(E203)=0),"",IF(G203="",F203,G203)/E203)</f>
        <v/>
      </c>
      <c r="O203" s="20" t="n"/>
      <c r="P203" s="5" t="n"/>
      <c r="Q203" s="5" t="n"/>
    </row>
    <row r="204">
      <c r="A204" s="5" t="n"/>
      <c r="B204" s="13" t="n"/>
      <c r="C204" s="14" t="n"/>
      <c r="D204" s="15" t="n"/>
      <c r="E204" s="22" t="n"/>
      <c r="F204" s="21" t="n"/>
      <c r="G204" s="21" t="n"/>
      <c r="H204" s="5" t="n"/>
      <c r="I204" s="5" t="n"/>
      <c r="J204" s="14" t="n"/>
      <c r="K204" s="18" t="str">
        <f>IF(C204="","",SUMIF('Buyer payments'!$A$8:$A$507,C204,'Buyer payments'!$F$8:$F$507))</f>
        <v/>
      </c>
      <c r="L204" s="18" t="str">
        <f>IF(OR(C204="",AND(H204&lt;&gt;"Contract signed",H204&lt;&gt;"Handed over")),"",IF(G204="",F204,G204)-N(K204))</f>
        <v/>
      </c>
      <c r="M204" s="19" t="str">
        <f>IF(L204="","",IFERROR(N(K204)/IF(G204="",F204,G204),0))</f>
        <v/>
      </c>
      <c r="N204" s="18" t="str">
        <f>IF(OR(C204="",N(E204)=0),"",IF(G204="",F204,G204)/E204)</f>
        <v/>
      </c>
      <c r="O204" s="20" t="n"/>
      <c r="P204" s="5" t="n"/>
      <c r="Q204" s="5" t="n"/>
    </row>
    <row r="205">
      <c r="A205" s="5" t="n"/>
      <c r="B205" s="13" t="n"/>
      <c r="C205" s="14" t="n"/>
      <c r="D205" s="15" t="n"/>
      <c r="E205" s="22" t="n"/>
      <c r="F205" s="21" t="n"/>
      <c r="G205" s="21" t="n"/>
      <c r="H205" s="5" t="n"/>
      <c r="I205" s="5" t="n"/>
      <c r="J205" s="14" t="n"/>
      <c r="K205" s="18" t="str">
        <f>IF(C205="","",SUMIF('Buyer payments'!$A$8:$A$507,C205,'Buyer payments'!$F$8:$F$507))</f>
        <v/>
      </c>
      <c r="L205" s="18" t="str">
        <f>IF(OR(C205="",AND(H205&lt;&gt;"Contract signed",H205&lt;&gt;"Handed over")),"",IF(G205="",F205,G205)-N(K205))</f>
        <v/>
      </c>
      <c r="M205" s="19" t="str">
        <f>IF(L205="","",IFERROR(N(K205)/IF(G205="",F205,G205),0))</f>
        <v/>
      </c>
      <c r="N205" s="18" t="str">
        <f>IF(OR(C205="",N(E205)=0),"",IF(G205="",F205,G205)/E205)</f>
        <v/>
      </c>
      <c r="O205" s="20" t="n"/>
      <c r="P205" s="5" t="n"/>
      <c r="Q205" s="5" t="n"/>
    </row>
    <row r="206">
      <c r="A206" s="5" t="n"/>
      <c r="B206" s="13" t="n"/>
      <c r="C206" s="14" t="n"/>
      <c r="D206" s="15" t="n"/>
      <c r="E206" s="22" t="n"/>
      <c r="F206" s="21" t="n"/>
      <c r="G206" s="21" t="n"/>
      <c r="H206" s="5" t="n"/>
      <c r="I206" s="5" t="n"/>
      <c r="J206" s="14" t="n"/>
      <c r="K206" s="18" t="str">
        <f>IF(C206="","",SUMIF('Buyer payments'!$A$8:$A$507,C206,'Buyer payments'!$F$8:$F$507))</f>
        <v/>
      </c>
      <c r="L206" s="18" t="str">
        <f>IF(OR(C206="",AND(H206&lt;&gt;"Contract signed",H206&lt;&gt;"Handed over")),"",IF(G206="",F206,G206)-N(K206))</f>
        <v/>
      </c>
      <c r="M206" s="19" t="str">
        <f>IF(L206="","",IFERROR(N(K206)/IF(G206="",F206,G206),0))</f>
        <v/>
      </c>
      <c r="N206" s="18" t="str">
        <f>IF(OR(C206="",N(E206)=0),"",IF(G206="",F206,G206)/E206)</f>
        <v/>
      </c>
      <c r="O206" s="20" t="n"/>
      <c r="P206" s="5" t="n"/>
      <c r="Q206" s="5" t="n"/>
    </row>
    <row r="207">
      <c r="A207" s="5" t="n"/>
      <c r="B207" s="13" t="n"/>
      <c r="C207" s="14" t="n"/>
      <c r="D207" s="15" t="n"/>
      <c r="E207" s="22" t="n"/>
      <c r="F207" s="21" t="n"/>
      <c r="G207" s="21" t="n"/>
      <c r="H207" s="5" t="n"/>
      <c r="I207" s="5" t="n"/>
      <c r="J207" s="14" t="n"/>
      <c r="K207" s="18" t="str">
        <f>IF(C207="","",SUMIF('Buyer payments'!$A$8:$A$507,C207,'Buyer payments'!$F$8:$F$507))</f>
        <v/>
      </c>
      <c r="L207" s="18" t="str">
        <f>IF(OR(C207="",AND(H207&lt;&gt;"Contract signed",H207&lt;&gt;"Handed over")),"",IF(G207="",F207,G207)-N(K207))</f>
        <v/>
      </c>
      <c r="M207" s="19" t="str">
        <f>IF(L207="","",IFERROR(N(K207)/IF(G207="",F207,G207),0))</f>
        <v/>
      </c>
      <c r="N207" s="18" t="str">
        <f>IF(OR(C207="",N(E207)=0),"",IF(G207="",F207,G207)/E207)</f>
        <v/>
      </c>
      <c r="O207" s="20" t="n"/>
      <c r="P207" s="5" t="n"/>
      <c r="Q207" s="5" t="n"/>
    </row>
    <row r="208">
      <c r="A208" s="5" t="n"/>
      <c r="B208" s="13" t="n"/>
      <c r="C208" s="14" t="n"/>
      <c r="D208" s="15" t="n"/>
      <c r="E208" s="22" t="n"/>
      <c r="F208" s="21" t="n"/>
      <c r="G208" s="21" t="n"/>
      <c r="H208" s="5" t="n"/>
      <c r="I208" s="5" t="n"/>
      <c r="J208" s="14" t="n"/>
      <c r="K208" s="18" t="str">
        <f>IF(C208="","",SUMIF('Buyer payments'!$A$8:$A$507,C208,'Buyer payments'!$F$8:$F$507))</f>
        <v/>
      </c>
      <c r="L208" s="18" t="str">
        <f>IF(OR(C208="",AND(H208&lt;&gt;"Contract signed",H208&lt;&gt;"Handed over")),"",IF(G208="",F208,G208)-N(K208))</f>
        <v/>
      </c>
      <c r="M208" s="19" t="str">
        <f>IF(L208="","",IFERROR(N(K208)/IF(G208="",F208,G208),0))</f>
        <v/>
      </c>
      <c r="N208" s="18" t="str">
        <f>IF(OR(C208="",N(E208)=0),"",IF(G208="",F208,G208)/E208)</f>
        <v/>
      </c>
      <c r="O208" s="20" t="n"/>
      <c r="P208" s="5" t="n"/>
      <c r="Q208" s="5" t="n"/>
    </row>
    <row r="209">
      <c r="A209" s="5" t="n"/>
      <c r="B209" s="13" t="n"/>
      <c r="C209" s="14" t="n"/>
      <c r="D209" s="15" t="n"/>
      <c r="E209" s="22" t="n"/>
      <c r="F209" s="21" t="n"/>
      <c r="G209" s="21" t="n"/>
      <c r="H209" s="5" t="n"/>
      <c r="I209" s="5" t="n"/>
      <c r="J209" s="14" t="n"/>
      <c r="K209" s="18" t="str">
        <f>IF(C209="","",SUMIF('Buyer payments'!$A$8:$A$507,C209,'Buyer payments'!$F$8:$F$507))</f>
        <v/>
      </c>
      <c r="L209" s="18" t="str">
        <f>IF(OR(C209="",AND(H209&lt;&gt;"Contract signed",H209&lt;&gt;"Handed over")),"",IF(G209="",F209,G209)-N(K209))</f>
        <v/>
      </c>
      <c r="M209" s="19" t="str">
        <f>IF(L209="","",IFERROR(N(K209)/IF(G209="",F209,G209),0))</f>
        <v/>
      </c>
      <c r="N209" s="18" t="str">
        <f>IF(OR(C209="",N(E209)=0),"",IF(G209="",F209,G209)/E209)</f>
        <v/>
      </c>
      <c r="O209" s="20" t="n"/>
      <c r="P209" s="5" t="n"/>
      <c r="Q209" s="5" t="n"/>
    </row>
    <row r="210">
      <c r="A210" s="5" t="n"/>
      <c r="B210" s="13" t="n"/>
      <c r="C210" s="14" t="n"/>
      <c r="D210" s="15" t="n"/>
      <c r="E210" s="22" t="n"/>
      <c r="F210" s="21" t="n"/>
      <c r="G210" s="21" t="n"/>
      <c r="H210" s="5" t="n"/>
      <c r="I210" s="5" t="n"/>
      <c r="J210" s="14" t="n"/>
      <c r="K210" s="18" t="str">
        <f>IF(C210="","",SUMIF('Buyer payments'!$A$8:$A$507,C210,'Buyer payments'!$F$8:$F$507))</f>
        <v/>
      </c>
      <c r="L210" s="18" t="str">
        <f>IF(OR(C210="",AND(H210&lt;&gt;"Contract signed",H210&lt;&gt;"Handed over")),"",IF(G210="",F210,G210)-N(K210))</f>
        <v/>
      </c>
      <c r="M210" s="19" t="str">
        <f>IF(L210="","",IFERROR(N(K210)/IF(G210="",F210,G210),0))</f>
        <v/>
      </c>
      <c r="N210" s="18" t="str">
        <f>IF(OR(C210="",N(E210)=0),"",IF(G210="",F210,G210)/E210)</f>
        <v/>
      </c>
      <c r="O210" s="20" t="n"/>
      <c r="P210" s="5" t="n"/>
      <c r="Q210" s="5" t="n"/>
    </row>
    <row r="211">
      <c r="A211" s="5" t="n"/>
      <c r="B211" s="13" t="n"/>
      <c r="C211" s="14" t="n"/>
      <c r="D211" s="15" t="n"/>
      <c r="E211" s="22" t="n"/>
      <c r="F211" s="21" t="n"/>
      <c r="G211" s="21" t="n"/>
      <c r="H211" s="5" t="n"/>
      <c r="I211" s="5" t="n"/>
      <c r="J211" s="14" t="n"/>
      <c r="K211" s="18" t="str">
        <f>IF(C211="","",SUMIF('Buyer payments'!$A$8:$A$507,C211,'Buyer payments'!$F$8:$F$507))</f>
        <v/>
      </c>
      <c r="L211" s="18" t="str">
        <f>IF(OR(C211="",AND(H211&lt;&gt;"Contract signed",H211&lt;&gt;"Handed over")),"",IF(G211="",F211,G211)-N(K211))</f>
        <v/>
      </c>
      <c r="M211" s="19" t="str">
        <f>IF(L211="","",IFERROR(N(K211)/IF(G211="",F211,G211),0))</f>
        <v/>
      </c>
      <c r="N211" s="18" t="str">
        <f>IF(OR(C211="",N(E211)=0),"",IF(G211="",F211,G211)/E211)</f>
        <v/>
      </c>
      <c r="O211" s="20" t="n"/>
      <c r="P211" s="5" t="n"/>
      <c r="Q211" s="5" t="n"/>
    </row>
    <row r="212">
      <c r="A212" s="5" t="n"/>
      <c r="B212" s="13" t="n"/>
      <c r="C212" s="14" t="n"/>
      <c r="D212" s="15" t="n"/>
      <c r="E212" s="22" t="n"/>
      <c r="F212" s="21" t="n"/>
      <c r="G212" s="21" t="n"/>
      <c r="H212" s="5" t="n"/>
      <c r="I212" s="5" t="n"/>
      <c r="J212" s="14" t="n"/>
      <c r="K212" s="18" t="str">
        <f>IF(C212="","",SUMIF('Buyer payments'!$A$8:$A$507,C212,'Buyer payments'!$F$8:$F$507))</f>
        <v/>
      </c>
      <c r="L212" s="18" t="str">
        <f>IF(OR(C212="",AND(H212&lt;&gt;"Contract signed",H212&lt;&gt;"Handed over")),"",IF(G212="",F212,G212)-N(K212))</f>
        <v/>
      </c>
      <c r="M212" s="19" t="str">
        <f>IF(L212="","",IFERROR(N(K212)/IF(G212="",F212,G212),0))</f>
        <v/>
      </c>
      <c r="N212" s="18" t="str">
        <f>IF(OR(C212="",N(E212)=0),"",IF(G212="",F212,G212)/E212)</f>
        <v/>
      </c>
      <c r="O212" s="20" t="n"/>
      <c r="P212" s="5" t="n"/>
      <c r="Q212" s="5" t="n"/>
    </row>
    <row r="213">
      <c r="A213" s="5" t="n"/>
      <c r="B213" s="13" t="n"/>
      <c r="C213" s="14" t="n"/>
      <c r="D213" s="15" t="n"/>
      <c r="E213" s="22" t="n"/>
      <c r="F213" s="21" t="n"/>
      <c r="G213" s="21" t="n"/>
      <c r="H213" s="5" t="n"/>
      <c r="I213" s="5" t="n"/>
      <c r="J213" s="14" t="n"/>
      <c r="K213" s="18" t="str">
        <f>IF(C213="","",SUMIF('Buyer payments'!$A$8:$A$507,C213,'Buyer payments'!$F$8:$F$507))</f>
        <v/>
      </c>
      <c r="L213" s="18" t="str">
        <f>IF(OR(C213="",AND(H213&lt;&gt;"Contract signed",H213&lt;&gt;"Handed over")),"",IF(G213="",F213,G213)-N(K213))</f>
        <v/>
      </c>
      <c r="M213" s="19" t="str">
        <f>IF(L213="","",IFERROR(N(K213)/IF(G213="",F213,G213),0))</f>
        <v/>
      </c>
      <c r="N213" s="18" t="str">
        <f>IF(OR(C213="",N(E213)=0),"",IF(G213="",F213,G213)/E213)</f>
        <v/>
      </c>
      <c r="O213" s="20" t="n"/>
      <c r="P213" s="5" t="n"/>
      <c r="Q213" s="5" t="n"/>
    </row>
    <row r="214">
      <c r="A214" s="5" t="n"/>
      <c r="B214" s="13" t="n"/>
      <c r="C214" s="14" t="n"/>
      <c r="D214" s="15" t="n"/>
      <c r="E214" s="22" t="n"/>
      <c r="F214" s="21" t="n"/>
      <c r="G214" s="21" t="n"/>
      <c r="H214" s="5" t="n"/>
      <c r="I214" s="5" t="n"/>
      <c r="J214" s="14" t="n"/>
      <c r="K214" s="18" t="str">
        <f>IF(C214="","",SUMIF('Buyer payments'!$A$8:$A$507,C214,'Buyer payments'!$F$8:$F$507))</f>
        <v/>
      </c>
      <c r="L214" s="18" t="str">
        <f>IF(OR(C214="",AND(H214&lt;&gt;"Contract signed",H214&lt;&gt;"Handed over")),"",IF(G214="",F214,G214)-N(K214))</f>
        <v/>
      </c>
      <c r="M214" s="19" t="str">
        <f>IF(L214="","",IFERROR(N(K214)/IF(G214="",F214,G214),0))</f>
        <v/>
      </c>
      <c r="N214" s="18" t="str">
        <f>IF(OR(C214="",N(E214)=0),"",IF(G214="",F214,G214)/E214)</f>
        <v/>
      </c>
      <c r="O214" s="20" t="n"/>
      <c r="P214" s="5" t="n"/>
      <c r="Q214" s="5" t="n"/>
    </row>
    <row r="215">
      <c r="A215" s="5" t="n"/>
      <c r="B215" s="13" t="n"/>
      <c r="C215" s="14" t="n"/>
      <c r="D215" s="15" t="n"/>
      <c r="E215" s="22" t="n"/>
      <c r="F215" s="21" t="n"/>
      <c r="G215" s="21" t="n"/>
      <c r="H215" s="5" t="n"/>
      <c r="I215" s="5" t="n"/>
      <c r="J215" s="14" t="n"/>
      <c r="K215" s="18" t="str">
        <f>IF(C215="","",SUMIF('Buyer payments'!$A$8:$A$507,C215,'Buyer payments'!$F$8:$F$507))</f>
        <v/>
      </c>
      <c r="L215" s="18" t="str">
        <f>IF(OR(C215="",AND(H215&lt;&gt;"Contract signed",H215&lt;&gt;"Handed over")),"",IF(G215="",F215,G215)-N(K215))</f>
        <v/>
      </c>
      <c r="M215" s="19" t="str">
        <f>IF(L215="","",IFERROR(N(K215)/IF(G215="",F215,G215),0))</f>
        <v/>
      </c>
      <c r="N215" s="18" t="str">
        <f>IF(OR(C215="",N(E215)=0),"",IF(G215="",F215,G215)/E215)</f>
        <v/>
      </c>
      <c r="O215" s="20" t="n"/>
      <c r="P215" s="5" t="n"/>
      <c r="Q215" s="5" t="n"/>
    </row>
    <row r="216">
      <c r="A216" s="5" t="n"/>
      <c r="B216" s="13" t="n"/>
      <c r="C216" s="14" t="n"/>
      <c r="D216" s="15" t="n"/>
      <c r="E216" s="22" t="n"/>
      <c r="F216" s="21" t="n"/>
      <c r="G216" s="21" t="n"/>
      <c r="H216" s="5" t="n"/>
      <c r="I216" s="5" t="n"/>
      <c r="J216" s="14" t="n"/>
      <c r="K216" s="18" t="str">
        <f>IF(C216="","",SUMIF('Buyer payments'!$A$8:$A$507,C216,'Buyer payments'!$F$8:$F$507))</f>
        <v/>
      </c>
      <c r="L216" s="18" t="str">
        <f>IF(OR(C216="",AND(H216&lt;&gt;"Contract signed",H216&lt;&gt;"Handed over")),"",IF(G216="",F216,G216)-N(K216))</f>
        <v/>
      </c>
      <c r="M216" s="19" t="str">
        <f>IF(L216="","",IFERROR(N(K216)/IF(G216="",F216,G216),0))</f>
        <v/>
      </c>
      <c r="N216" s="18" t="str">
        <f>IF(OR(C216="",N(E216)=0),"",IF(G216="",F216,G216)/E216)</f>
        <v/>
      </c>
      <c r="O216" s="20" t="n"/>
      <c r="P216" s="5" t="n"/>
      <c r="Q216" s="5" t="n"/>
    </row>
    <row r="217">
      <c r="A217" s="5" t="n"/>
      <c r="B217" s="13" t="n"/>
      <c r="C217" s="14" t="n"/>
      <c r="D217" s="15" t="n"/>
      <c r="E217" s="22" t="n"/>
      <c r="F217" s="21" t="n"/>
      <c r="G217" s="21" t="n"/>
      <c r="H217" s="5" t="n"/>
      <c r="I217" s="5" t="n"/>
      <c r="J217" s="14" t="n"/>
      <c r="K217" s="18" t="str">
        <f>IF(C217="","",SUMIF('Buyer payments'!$A$8:$A$507,C217,'Buyer payments'!$F$8:$F$507))</f>
        <v/>
      </c>
      <c r="L217" s="18" t="str">
        <f>IF(OR(C217="",AND(H217&lt;&gt;"Contract signed",H217&lt;&gt;"Handed over")),"",IF(G217="",F217,G217)-N(K217))</f>
        <v/>
      </c>
      <c r="M217" s="19" t="str">
        <f>IF(L217="","",IFERROR(N(K217)/IF(G217="",F217,G217),0))</f>
        <v/>
      </c>
      <c r="N217" s="18" t="str">
        <f>IF(OR(C217="",N(E217)=0),"",IF(G217="",F217,G217)/E217)</f>
        <v/>
      </c>
      <c r="O217" s="20" t="n"/>
      <c r="P217" s="5" t="n"/>
      <c r="Q217" s="5" t="n"/>
    </row>
    <row r="218">
      <c r="A218" s="5" t="n"/>
      <c r="B218" s="13" t="n"/>
      <c r="C218" s="14" t="n"/>
      <c r="D218" s="15" t="n"/>
      <c r="E218" s="22" t="n"/>
      <c r="F218" s="21" t="n"/>
      <c r="G218" s="21" t="n"/>
      <c r="H218" s="5" t="n"/>
      <c r="I218" s="5" t="n"/>
      <c r="J218" s="14" t="n"/>
      <c r="K218" s="18" t="str">
        <f>IF(C218="","",SUMIF('Buyer payments'!$A$8:$A$507,C218,'Buyer payments'!$F$8:$F$507))</f>
        <v/>
      </c>
      <c r="L218" s="18" t="str">
        <f>IF(OR(C218="",AND(H218&lt;&gt;"Contract signed",H218&lt;&gt;"Handed over")),"",IF(G218="",F218,G218)-N(K218))</f>
        <v/>
      </c>
      <c r="M218" s="19" t="str">
        <f>IF(L218="","",IFERROR(N(K218)/IF(G218="",F218,G218),0))</f>
        <v/>
      </c>
      <c r="N218" s="18" t="str">
        <f>IF(OR(C218="",N(E218)=0),"",IF(G218="",F218,G218)/E218)</f>
        <v/>
      </c>
      <c r="O218" s="20" t="n"/>
      <c r="P218" s="5" t="n"/>
      <c r="Q218" s="5" t="n"/>
    </row>
    <row r="219">
      <c r="A219" s="5" t="n"/>
      <c r="B219" s="13" t="n"/>
      <c r="C219" s="14" t="n"/>
      <c r="D219" s="15" t="n"/>
      <c r="E219" s="22" t="n"/>
      <c r="F219" s="21" t="n"/>
      <c r="G219" s="21" t="n"/>
      <c r="H219" s="5" t="n"/>
      <c r="I219" s="5" t="n"/>
      <c r="J219" s="14" t="n"/>
      <c r="K219" s="18" t="str">
        <f>IF(C219="","",SUMIF('Buyer payments'!$A$8:$A$507,C219,'Buyer payments'!$F$8:$F$507))</f>
        <v/>
      </c>
      <c r="L219" s="18" t="str">
        <f>IF(OR(C219="",AND(H219&lt;&gt;"Contract signed",H219&lt;&gt;"Handed over")),"",IF(G219="",F219,G219)-N(K219))</f>
        <v/>
      </c>
      <c r="M219" s="19" t="str">
        <f>IF(L219="","",IFERROR(N(K219)/IF(G219="",F219,G219),0))</f>
        <v/>
      </c>
      <c r="N219" s="18" t="str">
        <f>IF(OR(C219="",N(E219)=0),"",IF(G219="",F219,G219)/E219)</f>
        <v/>
      </c>
      <c r="O219" s="20" t="n"/>
      <c r="P219" s="5" t="n"/>
      <c r="Q219" s="5" t="n"/>
    </row>
    <row r="220">
      <c r="A220" s="5" t="n"/>
      <c r="B220" s="13" t="n"/>
      <c r="C220" s="14" t="n"/>
      <c r="D220" s="15" t="n"/>
      <c r="E220" s="22" t="n"/>
      <c r="F220" s="21" t="n"/>
      <c r="G220" s="21" t="n"/>
      <c r="H220" s="5" t="n"/>
      <c r="I220" s="5" t="n"/>
      <c r="J220" s="14" t="n"/>
      <c r="K220" s="18" t="str">
        <f>IF(C220="","",SUMIF('Buyer payments'!$A$8:$A$507,C220,'Buyer payments'!$F$8:$F$507))</f>
        <v/>
      </c>
      <c r="L220" s="18" t="str">
        <f>IF(OR(C220="",AND(H220&lt;&gt;"Contract signed",H220&lt;&gt;"Handed over")),"",IF(G220="",F220,G220)-N(K220))</f>
        <v/>
      </c>
      <c r="M220" s="19" t="str">
        <f>IF(L220="","",IFERROR(N(K220)/IF(G220="",F220,G220),0))</f>
        <v/>
      </c>
      <c r="N220" s="18" t="str">
        <f>IF(OR(C220="",N(E220)=0),"",IF(G220="",F220,G220)/E220)</f>
        <v/>
      </c>
      <c r="O220" s="20" t="n"/>
      <c r="P220" s="5" t="n"/>
      <c r="Q220" s="5" t="n"/>
    </row>
    <row r="221">
      <c r="A221" s="5" t="n"/>
      <c r="B221" s="13" t="n"/>
      <c r="C221" s="14" t="n"/>
      <c r="D221" s="15" t="n"/>
      <c r="E221" s="22" t="n"/>
      <c r="F221" s="21" t="n"/>
      <c r="G221" s="21" t="n"/>
      <c r="H221" s="5" t="n"/>
      <c r="I221" s="5" t="n"/>
      <c r="J221" s="14" t="n"/>
      <c r="K221" s="18" t="str">
        <f>IF(C221="","",SUMIF('Buyer payments'!$A$8:$A$507,C221,'Buyer payments'!$F$8:$F$507))</f>
        <v/>
      </c>
      <c r="L221" s="18" t="str">
        <f>IF(OR(C221="",AND(H221&lt;&gt;"Contract signed",H221&lt;&gt;"Handed over")),"",IF(G221="",F221,G221)-N(K221))</f>
        <v/>
      </c>
      <c r="M221" s="19" t="str">
        <f>IF(L221="","",IFERROR(N(K221)/IF(G221="",F221,G221),0))</f>
        <v/>
      </c>
      <c r="N221" s="18" t="str">
        <f>IF(OR(C221="",N(E221)=0),"",IF(G221="",F221,G221)/E221)</f>
        <v/>
      </c>
      <c r="O221" s="20" t="n"/>
      <c r="P221" s="5" t="n"/>
      <c r="Q221" s="5" t="n"/>
    </row>
    <row r="222">
      <c r="A222" s="5" t="n"/>
      <c r="B222" s="13" t="n"/>
      <c r="C222" s="14" t="n"/>
      <c r="D222" s="15" t="n"/>
      <c r="E222" s="22" t="n"/>
      <c r="F222" s="21" t="n"/>
      <c r="G222" s="21" t="n"/>
      <c r="H222" s="5" t="n"/>
      <c r="I222" s="5" t="n"/>
      <c r="J222" s="14" t="n"/>
      <c r="K222" s="18" t="str">
        <f>IF(C222="","",SUMIF('Buyer payments'!$A$8:$A$507,C222,'Buyer payments'!$F$8:$F$507))</f>
        <v/>
      </c>
      <c r="L222" s="18" t="str">
        <f>IF(OR(C222="",AND(H222&lt;&gt;"Contract signed",H222&lt;&gt;"Handed over")),"",IF(G222="",F222,G222)-N(K222))</f>
        <v/>
      </c>
      <c r="M222" s="19" t="str">
        <f>IF(L222="","",IFERROR(N(K222)/IF(G222="",F222,G222),0))</f>
        <v/>
      </c>
      <c r="N222" s="18" t="str">
        <f>IF(OR(C222="",N(E222)=0),"",IF(G222="",F222,G222)/E222)</f>
        <v/>
      </c>
      <c r="O222" s="20" t="n"/>
      <c r="P222" s="5" t="n"/>
      <c r="Q222" s="5" t="n"/>
    </row>
    <row r="223">
      <c r="A223" s="5" t="n"/>
      <c r="B223" s="13" t="n"/>
      <c r="C223" s="14" t="n"/>
      <c r="D223" s="15" t="n"/>
      <c r="E223" s="22" t="n"/>
      <c r="F223" s="21" t="n"/>
      <c r="G223" s="21" t="n"/>
      <c r="H223" s="5" t="n"/>
      <c r="I223" s="5" t="n"/>
      <c r="J223" s="14" t="n"/>
      <c r="K223" s="18" t="str">
        <f>IF(C223="","",SUMIF('Buyer payments'!$A$8:$A$507,C223,'Buyer payments'!$F$8:$F$507))</f>
        <v/>
      </c>
      <c r="L223" s="18" t="str">
        <f>IF(OR(C223="",AND(H223&lt;&gt;"Contract signed",H223&lt;&gt;"Handed over")),"",IF(G223="",F223,G223)-N(K223))</f>
        <v/>
      </c>
      <c r="M223" s="19" t="str">
        <f>IF(L223="","",IFERROR(N(K223)/IF(G223="",F223,G223),0))</f>
        <v/>
      </c>
      <c r="N223" s="18" t="str">
        <f>IF(OR(C223="",N(E223)=0),"",IF(G223="",F223,G223)/E223)</f>
        <v/>
      </c>
      <c r="O223" s="20" t="n"/>
      <c r="P223" s="5" t="n"/>
      <c r="Q223" s="5" t="n"/>
    </row>
    <row r="224">
      <c r="A224" s="5" t="n"/>
      <c r="B224" s="13" t="n"/>
      <c r="C224" s="14" t="n"/>
      <c r="D224" s="15" t="n"/>
      <c r="E224" s="22" t="n"/>
      <c r="F224" s="21" t="n"/>
      <c r="G224" s="21" t="n"/>
      <c r="H224" s="5" t="n"/>
      <c r="I224" s="5" t="n"/>
      <c r="J224" s="14" t="n"/>
      <c r="K224" s="18" t="str">
        <f>IF(C224="","",SUMIF('Buyer payments'!$A$8:$A$507,C224,'Buyer payments'!$F$8:$F$507))</f>
        <v/>
      </c>
      <c r="L224" s="18" t="str">
        <f>IF(OR(C224="",AND(H224&lt;&gt;"Contract signed",H224&lt;&gt;"Handed over")),"",IF(G224="",F224,G224)-N(K224))</f>
        <v/>
      </c>
      <c r="M224" s="19" t="str">
        <f>IF(L224="","",IFERROR(N(K224)/IF(G224="",F224,G224),0))</f>
        <v/>
      </c>
      <c r="N224" s="18" t="str">
        <f>IF(OR(C224="",N(E224)=0),"",IF(G224="",F224,G224)/E224)</f>
        <v/>
      </c>
      <c r="O224" s="20" t="n"/>
      <c r="P224" s="5" t="n"/>
      <c r="Q224" s="5" t="n"/>
    </row>
    <row r="225">
      <c r="A225" s="5" t="n"/>
      <c r="B225" s="13" t="n"/>
      <c r="C225" s="14" t="n"/>
      <c r="D225" s="15" t="n"/>
      <c r="E225" s="22" t="n"/>
      <c r="F225" s="21" t="n"/>
      <c r="G225" s="21" t="n"/>
      <c r="H225" s="5" t="n"/>
      <c r="I225" s="5" t="n"/>
      <c r="J225" s="14" t="n"/>
      <c r="K225" s="18" t="str">
        <f>IF(C225="","",SUMIF('Buyer payments'!$A$8:$A$507,C225,'Buyer payments'!$F$8:$F$507))</f>
        <v/>
      </c>
      <c r="L225" s="18" t="str">
        <f>IF(OR(C225="",AND(H225&lt;&gt;"Contract signed",H225&lt;&gt;"Handed over")),"",IF(G225="",F225,G225)-N(K225))</f>
        <v/>
      </c>
      <c r="M225" s="19" t="str">
        <f>IF(L225="","",IFERROR(N(K225)/IF(G225="",F225,G225),0))</f>
        <v/>
      </c>
      <c r="N225" s="18" t="str">
        <f>IF(OR(C225="",N(E225)=0),"",IF(G225="",F225,G225)/E225)</f>
        <v/>
      </c>
      <c r="O225" s="20" t="n"/>
      <c r="P225" s="5" t="n"/>
      <c r="Q225" s="5" t="n"/>
    </row>
    <row r="226">
      <c r="A226" s="5" t="n"/>
      <c r="B226" s="13" t="n"/>
      <c r="C226" s="14" t="n"/>
      <c r="D226" s="15" t="n"/>
      <c r="E226" s="22" t="n"/>
      <c r="F226" s="21" t="n"/>
      <c r="G226" s="21" t="n"/>
      <c r="H226" s="5" t="n"/>
      <c r="I226" s="5" t="n"/>
      <c r="J226" s="14" t="n"/>
      <c r="K226" s="18" t="str">
        <f>IF(C226="","",SUMIF('Buyer payments'!$A$8:$A$507,C226,'Buyer payments'!$F$8:$F$507))</f>
        <v/>
      </c>
      <c r="L226" s="18" t="str">
        <f>IF(OR(C226="",AND(H226&lt;&gt;"Contract signed",H226&lt;&gt;"Handed over")),"",IF(G226="",F226,G226)-N(K226))</f>
        <v/>
      </c>
      <c r="M226" s="19" t="str">
        <f>IF(L226="","",IFERROR(N(K226)/IF(G226="",F226,G226),0))</f>
        <v/>
      </c>
      <c r="N226" s="18" t="str">
        <f>IF(OR(C226="",N(E226)=0),"",IF(G226="",F226,G226)/E226)</f>
        <v/>
      </c>
      <c r="O226" s="20" t="n"/>
      <c r="P226" s="5" t="n"/>
      <c r="Q226" s="5" t="n"/>
    </row>
    <row r="227">
      <c r="A227" s="5" t="n"/>
      <c r="B227" s="13" t="n"/>
      <c r="C227" s="14" t="n"/>
      <c r="D227" s="15" t="n"/>
      <c r="E227" s="22" t="n"/>
      <c r="F227" s="21" t="n"/>
      <c r="G227" s="21" t="n"/>
      <c r="H227" s="5" t="n"/>
      <c r="I227" s="5" t="n"/>
      <c r="J227" s="14" t="n"/>
      <c r="K227" s="18" t="str">
        <f>IF(C227="","",SUMIF('Buyer payments'!$A$8:$A$507,C227,'Buyer payments'!$F$8:$F$507))</f>
        <v/>
      </c>
      <c r="L227" s="18" t="str">
        <f>IF(OR(C227="",AND(H227&lt;&gt;"Contract signed",H227&lt;&gt;"Handed over")),"",IF(G227="",F227,G227)-N(K227))</f>
        <v/>
      </c>
      <c r="M227" s="19" t="str">
        <f>IF(L227="","",IFERROR(N(K227)/IF(G227="",F227,G227),0))</f>
        <v/>
      </c>
      <c r="N227" s="18" t="str">
        <f>IF(OR(C227="",N(E227)=0),"",IF(G227="",F227,G227)/E227)</f>
        <v/>
      </c>
      <c r="O227" s="20" t="n"/>
      <c r="P227" s="5" t="n"/>
      <c r="Q227" s="5" t="n"/>
    </row>
    <row r="228">
      <c r="A228" s="5" t="n"/>
      <c r="B228" s="13" t="n"/>
      <c r="C228" s="14" t="n"/>
      <c r="D228" s="15" t="n"/>
      <c r="E228" s="22" t="n"/>
      <c r="F228" s="21" t="n"/>
      <c r="G228" s="21" t="n"/>
      <c r="H228" s="5" t="n"/>
      <c r="I228" s="5" t="n"/>
      <c r="J228" s="14" t="n"/>
      <c r="K228" s="18" t="str">
        <f>IF(C228="","",SUMIF('Buyer payments'!$A$8:$A$507,C228,'Buyer payments'!$F$8:$F$507))</f>
        <v/>
      </c>
      <c r="L228" s="18" t="str">
        <f>IF(OR(C228="",AND(H228&lt;&gt;"Contract signed",H228&lt;&gt;"Handed over")),"",IF(G228="",F228,G228)-N(K228))</f>
        <v/>
      </c>
      <c r="M228" s="19" t="str">
        <f>IF(L228="","",IFERROR(N(K228)/IF(G228="",F228,G228),0))</f>
        <v/>
      </c>
      <c r="N228" s="18" t="str">
        <f>IF(OR(C228="",N(E228)=0),"",IF(G228="",F228,G228)/E228)</f>
        <v/>
      </c>
      <c r="O228" s="20" t="n"/>
      <c r="P228" s="5" t="n"/>
      <c r="Q228" s="5" t="n"/>
    </row>
    <row r="229">
      <c r="A229" s="5" t="n"/>
      <c r="B229" s="13" t="n"/>
      <c r="C229" s="14" t="n"/>
      <c r="D229" s="15" t="n"/>
      <c r="E229" s="22" t="n"/>
      <c r="F229" s="21" t="n"/>
      <c r="G229" s="21" t="n"/>
      <c r="H229" s="5" t="n"/>
      <c r="I229" s="5" t="n"/>
      <c r="J229" s="14" t="n"/>
      <c r="K229" s="18" t="str">
        <f>IF(C229="","",SUMIF('Buyer payments'!$A$8:$A$507,C229,'Buyer payments'!$F$8:$F$507))</f>
        <v/>
      </c>
      <c r="L229" s="18" t="str">
        <f>IF(OR(C229="",AND(H229&lt;&gt;"Contract signed",H229&lt;&gt;"Handed over")),"",IF(G229="",F229,G229)-N(K229))</f>
        <v/>
      </c>
      <c r="M229" s="19" t="str">
        <f>IF(L229="","",IFERROR(N(K229)/IF(G229="",F229,G229),0))</f>
        <v/>
      </c>
      <c r="N229" s="18" t="str">
        <f>IF(OR(C229="",N(E229)=0),"",IF(G229="",F229,G229)/E229)</f>
        <v/>
      </c>
      <c r="O229" s="20" t="n"/>
      <c r="P229" s="5" t="n"/>
      <c r="Q229" s="5" t="n"/>
    </row>
    <row r="230">
      <c r="A230" s="5" t="n"/>
      <c r="B230" s="13" t="n"/>
      <c r="C230" s="14" t="n"/>
      <c r="D230" s="15" t="n"/>
      <c r="E230" s="22" t="n"/>
      <c r="F230" s="21" t="n"/>
      <c r="G230" s="21" t="n"/>
      <c r="H230" s="5" t="n"/>
      <c r="I230" s="5" t="n"/>
      <c r="J230" s="14" t="n"/>
      <c r="K230" s="18" t="str">
        <f>IF(C230="","",SUMIF('Buyer payments'!$A$8:$A$507,C230,'Buyer payments'!$F$8:$F$507))</f>
        <v/>
      </c>
      <c r="L230" s="18" t="str">
        <f>IF(OR(C230="",AND(H230&lt;&gt;"Contract signed",H230&lt;&gt;"Handed over")),"",IF(G230="",F230,G230)-N(K230))</f>
        <v/>
      </c>
      <c r="M230" s="19" t="str">
        <f>IF(L230="","",IFERROR(N(K230)/IF(G230="",F230,G230),0))</f>
        <v/>
      </c>
      <c r="N230" s="18" t="str">
        <f>IF(OR(C230="",N(E230)=0),"",IF(G230="",F230,G230)/E230)</f>
        <v/>
      </c>
      <c r="O230" s="20" t="n"/>
      <c r="P230" s="5" t="n"/>
      <c r="Q230" s="5" t="n"/>
    </row>
    <row r="231">
      <c r="A231" s="5" t="n"/>
      <c r="B231" s="13" t="n"/>
      <c r="C231" s="14" t="n"/>
      <c r="D231" s="15" t="n"/>
      <c r="E231" s="22" t="n"/>
      <c r="F231" s="21" t="n"/>
      <c r="G231" s="21" t="n"/>
      <c r="H231" s="5" t="n"/>
      <c r="I231" s="5" t="n"/>
      <c r="J231" s="14" t="n"/>
      <c r="K231" s="18" t="str">
        <f>IF(C231="","",SUMIF('Buyer payments'!$A$8:$A$507,C231,'Buyer payments'!$F$8:$F$507))</f>
        <v/>
      </c>
      <c r="L231" s="18" t="str">
        <f>IF(OR(C231="",AND(H231&lt;&gt;"Contract signed",H231&lt;&gt;"Handed over")),"",IF(G231="",F231,G231)-N(K231))</f>
        <v/>
      </c>
      <c r="M231" s="19" t="str">
        <f>IF(L231="","",IFERROR(N(K231)/IF(G231="",F231,G231),0))</f>
        <v/>
      </c>
      <c r="N231" s="18" t="str">
        <f>IF(OR(C231="",N(E231)=0),"",IF(G231="",F231,G231)/E231)</f>
        <v/>
      </c>
      <c r="O231" s="20" t="n"/>
      <c r="P231" s="5" t="n"/>
      <c r="Q231" s="5" t="n"/>
    </row>
    <row r="232">
      <c r="A232" s="5" t="n"/>
      <c r="B232" s="13" t="n"/>
      <c r="C232" s="14" t="n"/>
      <c r="D232" s="15" t="n"/>
      <c r="E232" s="22" t="n"/>
      <c r="F232" s="21" t="n"/>
      <c r="G232" s="21" t="n"/>
      <c r="H232" s="5" t="n"/>
      <c r="I232" s="5" t="n"/>
      <c r="J232" s="14" t="n"/>
      <c r="K232" s="18" t="str">
        <f>IF(C232="","",SUMIF('Buyer payments'!$A$8:$A$507,C232,'Buyer payments'!$F$8:$F$507))</f>
        <v/>
      </c>
      <c r="L232" s="18" t="str">
        <f>IF(OR(C232="",AND(H232&lt;&gt;"Contract signed",H232&lt;&gt;"Handed over")),"",IF(G232="",F232,G232)-N(K232))</f>
        <v/>
      </c>
      <c r="M232" s="19" t="str">
        <f>IF(L232="","",IFERROR(N(K232)/IF(G232="",F232,G232),0))</f>
        <v/>
      </c>
      <c r="N232" s="18" t="str">
        <f>IF(OR(C232="",N(E232)=0),"",IF(G232="",F232,G232)/E232)</f>
        <v/>
      </c>
      <c r="O232" s="20" t="n"/>
      <c r="P232" s="5" t="n"/>
      <c r="Q232" s="5" t="n"/>
    </row>
    <row r="233">
      <c r="A233" s="5" t="n"/>
      <c r="B233" s="13" t="n"/>
      <c r="C233" s="14" t="n"/>
      <c r="D233" s="15" t="n"/>
      <c r="E233" s="22" t="n"/>
      <c r="F233" s="21" t="n"/>
      <c r="G233" s="21" t="n"/>
      <c r="H233" s="5" t="n"/>
      <c r="I233" s="5" t="n"/>
      <c r="J233" s="14" t="n"/>
      <c r="K233" s="18" t="str">
        <f>IF(C233="","",SUMIF('Buyer payments'!$A$8:$A$507,C233,'Buyer payments'!$F$8:$F$507))</f>
        <v/>
      </c>
      <c r="L233" s="18" t="str">
        <f>IF(OR(C233="",AND(H233&lt;&gt;"Contract signed",H233&lt;&gt;"Handed over")),"",IF(G233="",F233,G233)-N(K233))</f>
        <v/>
      </c>
      <c r="M233" s="19" t="str">
        <f>IF(L233="","",IFERROR(N(K233)/IF(G233="",F233,G233),0))</f>
        <v/>
      </c>
      <c r="N233" s="18" t="str">
        <f>IF(OR(C233="",N(E233)=0),"",IF(G233="",F233,G233)/E233)</f>
        <v/>
      </c>
      <c r="O233" s="20" t="n"/>
      <c r="P233" s="5" t="n"/>
      <c r="Q233" s="5" t="n"/>
    </row>
    <row r="234">
      <c r="A234" s="5" t="n"/>
      <c r="B234" s="13" t="n"/>
      <c r="C234" s="14" t="n"/>
      <c r="D234" s="15" t="n"/>
      <c r="E234" s="22" t="n"/>
      <c r="F234" s="21" t="n"/>
      <c r="G234" s="21" t="n"/>
      <c r="H234" s="5" t="n"/>
      <c r="I234" s="5" t="n"/>
      <c r="J234" s="14" t="n"/>
      <c r="K234" s="18" t="str">
        <f>IF(C234="","",SUMIF('Buyer payments'!$A$8:$A$507,C234,'Buyer payments'!$F$8:$F$507))</f>
        <v/>
      </c>
      <c r="L234" s="18" t="str">
        <f>IF(OR(C234="",AND(H234&lt;&gt;"Contract signed",H234&lt;&gt;"Handed over")),"",IF(G234="",F234,G234)-N(K234))</f>
        <v/>
      </c>
      <c r="M234" s="19" t="str">
        <f>IF(L234="","",IFERROR(N(K234)/IF(G234="",F234,G234),0))</f>
        <v/>
      </c>
      <c r="N234" s="18" t="str">
        <f>IF(OR(C234="",N(E234)=0),"",IF(G234="",F234,G234)/E234)</f>
        <v/>
      </c>
      <c r="O234" s="20" t="n"/>
      <c r="P234" s="5" t="n"/>
      <c r="Q234" s="5" t="n"/>
    </row>
    <row r="235">
      <c r="A235" s="5" t="n"/>
      <c r="B235" s="13" t="n"/>
      <c r="C235" s="14" t="n"/>
      <c r="D235" s="15" t="n"/>
      <c r="E235" s="22" t="n"/>
      <c r="F235" s="21" t="n"/>
      <c r="G235" s="21" t="n"/>
      <c r="H235" s="5" t="n"/>
      <c r="I235" s="5" t="n"/>
      <c r="J235" s="14" t="n"/>
      <c r="K235" s="18" t="str">
        <f>IF(C235="","",SUMIF('Buyer payments'!$A$8:$A$507,C235,'Buyer payments'!$F$8:$F$507))</f>
        <v/>
      </c>
      <c r="L235" s="18" t="str">
        <f>IF(OR(C235="",AND(H235&lt;&gt;"Contract signed",H235&lt;&gt;"Handed over")),"",IF(G235="",F235,G235)-N(K235))</f>
        <v/>
      </c>
      <c r="M235" s="19" t="str">
        <f>IF(L235="","",IFERROR(N(K235)/IF(G235="",F235,G235),0))</f>
        <v/>
      </c>
      <c r="N235" s="18" t="str">
        <f>IF(OR(C235="",N(E235)=0),"",IF(G235="",F235,G235)/E235)</f>
        <v/>
      </c>
      <c r="O235" s="20" t="n"/>
      <c r="P235" s="5" t="n"/>
      <c r="Q235" s="5" t="n"/>
    </row>
    <row r="236">
      <c r="A236" s="5" t="n"/>
      <c r="B236" s="13" t="n"/>
      <c r="C236" s="14" t="n"/>
      <c r="D236" s="15" t="n"/>
      <c r="E236" s="22" t="n"/>
      <c r="F236" s="21" t="n"/>
      <c r="G236" s="21" t="n"/>
      <c r="H236" s="5" t="n"/>
      <c r="I236" s="5" t="n"/>
      <c r="J236" s="14" t="n"/>
      <c r="K236" s="18" t="str">
        <f>IF(C236="","",SUMIF('Buyer payments'!$A$8:$A$507,C236,'Buyer payments'!$F$8:$F$507))</f>
        <v/>
      </c>
      <c r="L236" s="18" t="str">
        <f>IF(OR(C236="",AND(H236&lt;&gt;"Contract signed",H236&lt;&gt;"Handed over")),"",IF(G236="",F236,G236)-N(K236))</f>
        <v/>
      </c>
      <c r="M236" s="19" t="str">
        <f>IF(L236="","",IFERROR(N(K236)/IF(G236="",F236,G236),0))</f>
        <v/>
      </c>
      <c r="N236" s="18" t="str">
        <f>IF(OR(C236="",N(E236)=0),"",IF(G236="",F236,G236)/E236)</f>
        <v/>
      </c>
      <c r="O236" s="20" t="n"/>
      <c r="P236" s="5" t="n"/>
      <c r="Q236" s="5" t="n"/>
    </row>
    <row r="237">
      <c r="A237" s="5" t="n"/>
      <c r="B237" s="13" t="n"/>
      <c r="C237" s="14" t="n"/>
      <c r="D237" s="15" t="n"/>
      <c r="E237" s="22" t="n"/>
      <c r="F237" s="21" t="n"/>
      <c r="G237" s="21" t="n"/>
      <c r="H237" s="5" t="n"/>
      <c r="I237" s="5" t="n"/>
      <c r="J237" s="14" t="n"/>
      <c r="K237" s="18" t="str">
        <f>IF(C237="","",SUMIF('Buyer payments'!$A$8:$A$507,C237,'Buyer payments'!$F$8:$F$507))</f>
        <v/>
      </c>
      <c r="L237" s="18" t="str">
        <f>IF(OR(C237="",AND(H237&lt;&gt;"Contract signed",H237&lt;&gt;"Handed over")),"",IF(G237="",F237,G237)-N(K237))</f>
        <v/>
      </c>
      <c r="M237" s="19" t="str">
        <f>IF(L237="","",IFERROR(N(K237)/IF(G237="",F237,G237),0))</f>
        <v/>
      </c>
      <c r="N237" s="18" t="str">
        <f>IF(OR(C237="",N(E237)=0),"",IF(G237="",F237,G237)/E237)</f>
        <v/>
      </c>
      <c r="O237" s="20" t="n"/>
      <c r="P237" s="5" t="n"/>
      <c r="Q237" s="5" t="n"/>
    </row>
    <row r="238">
      <c r="A238" s="5" t="n"/>
      <c r="B238" s="13" t="n"/>
      <c r="C238" s="14" t="n"/>
      <c r="D238" s="15" t="n"/>
      <c r="E238" s="22" t="n"/>
      <c r="F238" s="21" t="n"/>
      <c r="G238" s="21" t="n"/>
      <c r="H238" s="5" t="n"/>
      <c r="I238" s="5" t="n"/>
      <c r="J238" s="14" t="n"/>
      <c r="K238" s="18" t="str">
        <f>IF(C238="","",SUMIF('Buyer payments'!$A$8:$A$507,C238,'Buyer payments'!$F$8:$F$507))</f>
        <v/>
      </c>
      <c r="L238" s="18" t="str">
        <f>IF(OR(C238="",AND(H238&lt;&gt;"Contract signed",H238&lt;&gt;"Handed over")),"",IF(G238="",F238,G238)-N(K238))</f>
        <v/>
      </c>
      <c r="M238" s="19" t="str">
        <f>IF(L238="","",IFERROR(N(K238)/IF(G238="",F238,G238),0))</f>
        <v/>
      </c>
      <c r="N238" s="18" t="str">
        <f>IF(OR(C238="",N(E238)=0),"",IF(G238="",F238,G238)/E238)</f>
        <v/>
      </c>
      <c r="O238" s="20" t="n"/>
      <c r="P238" s="5" t="n"/>
      <c r="Q238" s="5" t="n"/>
    </row>
    <row r="239">
      <c r="A239" s="5" t="n"/>
      <c r="B239" s="13" t="n"/>
      <c r="C239" s="14" t="n"/>
      <c r="D239" s="15" t="n"/>
      <c r="E239" s="22" t="n"/>
      <c r="F239" s="21" t="n"/>
      <c r="G239" s="21" t="n"/>
      <c r="H239" s="5" t="n"/>
      <c r="I239" s="5" t="n"/>
      <c r="J239" s="14" t="n"/>
      <c r="K239" s="18" t="str">
        <f>IF(C239="","",SUMIF('Buyer payments'!$A$8:$A$507,C239,'Buyer payments'!$F$8:$F$507))</f>
        <v/>
      </c>
      <c r="L239" s="18" t="str">
        <f>IF(OR(C239="",AND(H239&lt;&gt;"Contract signed",H239&lt;&gt;"Handed over")),"",IF(G239="",F239,G239)-N(K239))</f>
        <v/>
      </c>
      <c r="M239" s="19" t="str">
        <f>IF(L239="","",IFERROR(N(K239)/IF(G239="",F239,G239),0))</f>
        <v/>
      </c>
      <c r="N239" s="18" t="str">
        <f>IF(OR(C239="",N(E239)=0),"",IF(G239="",F239,G239)/E239)</f>
        <v/>
      </c>
      <c r="O239" s="20" t="n"/>
      <c r="P239" s="5" t="n"/>
      <c r="Q239" s="5" t="n"/>
    </row>
    <row r="240">
      <c r="A240" s="5" t="n"/>
      <c r="B240" s="13" t="n"/>
      <c r="C240" s="14" t="n"/>
      <c r="D240" s="15" t="n"/>
      <c r="E240" s="22" t="n"/>
      <c r="F240" s="21" t="n"/>
      <c r="G240" s="21" t="n"/>
      <c r="H240" s="5" t="n"/>
      <c r="I240" s="5" t="n"/>
      <c r="J240" s="14" t="n"/>
      <c r="K240" s="18" t="str">
        <f>IF(C240="","",SUMIF('Buyer payments'!$A$8:$A$507,C240,'Buyer payments'!$F$8:$F$507))</f>
        <v/>
      </c>
      <c r="L240" s="18" t="str">
        <f>IF(OR(C240="",AND(H240&lt;&gt;"Contract signed",H240&lt;&gt;"Handed over")),"",IF(G240="",F240,G240)-N(K240))</f>
        <v/>
      </c>
      <c r="M240" s="19" t="str">
        <f>IF(L240="","",IFERROR(N(K240)/IF(G240="",F240,G240),0))</f>
        <v/>
      </c>
      <c r="N240" s="18" t="str">
        <f>IF(OR(C240="",N(E240)=0),"",IF(G240="",F240,G240)/E240)</f>
        <v/>
      </c>
      <c r="O240" s="20" t="n"/>
      <c r="P240" s="5" t="n"/>
      <c r="Q240" s="5" t="n"/>
    </row>
    <row r="241">
      <c r="A241" s="5" t="n"/>
      <c r="B241" s="13" t="n"/>
      <c r="C241" s="14" t="n"/>
      <c r="D241" s="15" t="n"/>
      <c r="E241" s="22" t="n"/>
      <c r="F241" s="21" t="n"/>
      <c r="G241" s="21" t="n"/>
      <c r="H241" s="5" t="n"/>
      <c r="I241" s="5" t="n"/>
      <c r="J241" s="14" t="n"/>
      <c r="K241" s="18" t="str">
        <f>IF(C241="","",SUMIF('Buyer payments'!$A$8:$A$507,C241,'Buyer payments'!$F$8:$F$507))</f>
        <v/>
      </c>
      <c r="L241" s="18" t="str">
        <f>IF(OR(C241="",AND(H241&lt;&gt;"Contract signed",H241&lt;&gt;"Handed over")),"",IF(G241="",F241,G241)-N(K241))</f>
        <v/>
      </c>
      <c r="M241" s="19" t="str">
        <f>IF(L241="","",IFERROR(N(K241)/IF(G241="",F241,G241),0))</f>
        <v/>
      </c>
      <c r="N241" s="18" t="str">
        <f>IF(OR(C241="",N(E241)=0),"",IF(G241="",F241,G241)/E241)</f>
        <v/>
      </c>
      <c r="O241" s="20" t="n"/>
      <c r="P241" s="5" t="n"/>
      <c r="Q241" s="5" t="n"/>
    </row>
    <row r="242">
      <c r="A242" s="5" t="n"/>
      <c r="B242" s="13" t="n"/>
      <c r="C242" s="14" t="n"/>
      <c r="D242" s="15" t="n"/>
      <c r="E242" s="22" t="n"/>
      <c r="F242" s="21" t="n"/>
      <c r="G242" s="21" t="n"/>
      <c r="H242" s="5" t="n"/>
      <c r="I242" s="5" t="n"/>
      <c r="J242" s="14" t="n"/>
      <c r="K242" s="18" t="str">
        <f>IF(C242="","",SUMIF('Buyer payments'!$A$8:$A$507,C242,'Buyer payments'!$F$8:$F$507))</f>
        <v/>
      </c>
      <c r="L242" s="18" t="str">
        <f>IF(OR(C242="",AND(H242&lt;&gt;"Contract signed",H242&lt;&gt;"Handed over")),"",IF(G242="",F242,G242)-N(K242))</f>
        <v/>
      </c>
      <c r="M242" s="19" t="str">
        <f>IF(L242="","",IFERROR(N(K242)/IF(G242="",F242,G242),0))</f>
        <v/>
      </c>
      <c r="N242" s="18" t="str">
        <f>IF(OR(C242="",N(E242)=0),"",IF(G242="",F242,G242)/E242)</f>
        <v/>
      </c>
      <c r="O242" s="20" t="n"/>
      <c r="P242" s="5" t="n"/>
      <c r="Q242" s="5" t="n"/>
    </row>
    <row r="243">
      <c r="A243" s="5" t="n"/>
      <c r="B243" s="13" t="n"/>
      <c r="C243" s="14" t="n"/>
      <c r="D243" s="15" t="n"/>
      <c r="E243" s="22" t="n"/>
      <c r="F243" s="21" t="n"/>
      <c r="G243" s="21" t="n"/>
      <c r="H243" s="5" t="n"/>
      <c r="I243" s="5" t="n"/>
      <c r="J243" s="14" t="n"/>
      <c r="K243" s="18" t="str">
        <f>IF(C243="","",SUMIF('Buyer payments'!$A$8:$A$507,C243,'Buyer payments'!$F$8:$F$507))</f>
        <v/>
      </c>
      <c r="L243" s="18" t="str">
        <f>IF(OR(C243="",AND(H243&lt;&gt;"Contract signed",H243&lt;&gt;"Handed over")),"",IF(G243="",F243,G243)-N(K243))</f>
        <v/>
      </c>
      <c r="M243" s="19" t="str">
        <f>IF(L243="","",IFERROR(N(K243)/IF(G243="",F243,G243),0))</f>
        <v/>
      </c>
      <c r="N243" s="18" t="str">
        <f>IF(OR(C243="",N(E243)=0),"",IF(G243="",F243,G243)/E243)</f>
        <v/>
      </c>
      <c r="O243" s="20" t="n"/>
      <c r="P243" s="5" t="n"/>
      <c r="Q243" s="5" t="n"/>
    </row>
    <row r="244">
      <c r="A244" s="5" t="n"/>
      <c r="B244" s="13" t="n"/>
      <c r="C244" s="14" t="n"/>
      <c r="D244" s="15" t="n"/>
      <c r="E244" s="22" t="n"/>
      <c r="F244" s="21" t="n"/>
      <c r="G244" s="21" t="n"/>
      <c r="H244" s="5" t="n"/>
      <c r="I244" s="5" t="n"/>
      <c r="J244" s="14" t="n"/>
      <c r="K244" s="18" t="str">
        <f>IF(C244="","",SUMIF('Buyer payments'!$A$8:$A$507,C244,'Buyer payments'!$F$8:$F$507))</f>
        <v/>
      </c>
      <c r="L244" s="18" t="str">
        <f>IF(OR(C244="",AND(H244&lt;&gt;"Contract signed",H244&lt;&gt;"Handed over")),"",IF(G244="",F244,G244)-N(K244))</f>
        <v/>
      </c>
      <c r="M244" s="19" t="str">
        <f>IF(L244="","",IFERROR(N(K244)/IF(G244="",F244,G244),0))</f>
        <v/>
      </c>
      <c r="N244" s="18" t="str">
        <f>IF(OR(C244="",N(E244)=0),"",IF(G244="",F244,G244)/E244)</f>
        <v/>
      </c>
      <c r="O244" s="20" t="n"/>
      <c r="P244" s="5" t="n"/>
      <c r="Q244" s="5" t="n"/>
    </row>
    <row r="245">
      <c r="A245" s="5" t="n"/>
      <c r="B245" s="13" t="n"/>
      <c r="C245" s="14" t="n"/>
      <c r="D245" s="15" t="n"/>
      <c r="E245" s="22" t="n"/>
      <c r="F245" s="21" t="n"/>
      <c r="G245" s="21" t="n"/>
      <c r="H245" s="5" t="n"/>
      <c r="I245" s="5" t="n"/>
      <c r="J245" s="14" t="n"/>
      <c r="K245" s="18" t="str">
        <f>IF(C245="","",SUMIF('Buyer payments'!$A$8:$A$507,C245,'Buyer payments'!$F$8:$F$507))</f>
        <v/>
      </c>
      <c r="L245" s="18" t="str">
        <f>IF(OR(C245="",AND(H245&lt;&gt;"Contract signed",H245&lt;&gt;"Handed over")),"",IF(G245="",F245,G245)-N(K245))</f>
        <v/>
      </c>
      <c r="M245" s="19" t="str">
        <f>IF(L245="","",IFERROR(N(K245)/IF(G245="",F245,G245),0))</f>
        <v/>
      </c>
      <c r="N245" s="18" t="str">
        <f>IF(OR(C245="",N(E245)=0),"",IF(G245="",F245,G245)/E245)</f>
        <v/>
      </c>
      <c r="O245" s="20" t="n"/>
      <c r="P245" s="5" t="n"/>
      <c r="Q245" s="5" t="n"/>
    </row>
    <row r="246">
      <c r="A246" s="5" t="n"/>
      <c r="B246" s="13" t="n"/>
      <c r="C246" s="14" t="n"/>
      <c r="D246" s="15" t="n"/>
      <c r="E246" s="22" t="n"/>
      <c r="F246" s="21" t="n"/>
      <c r="G246" s="21" t="n"/>
      <c r="H246" s="5" t="n"/>
      <c r="I246" s="5" t="n"/>
      <c r="J246" s="14" t="n"/>
      <c r="K246" s="18" t="str">
        <f>IF(C246="","",SUMIF('Buyer payments'!$A$8:$A$507,C246,'Buyer payments'!$F$8:$F$507))</f>
        <v/>
      </c>
      <c r="L246" s="18" t="str">
        <f>IF(OR(C246="",AND(H246&lt;&gt;"Contract signed",H246&lt;&gt;"Handed over")),"",IF(G246="",F246,G246)-N(K246))</f>
        <v/>
      </c>
      <c r="M246" s="19" t="str">
        <f>IF(L246="","",IFERROR(N(K246)/IF(G246="",F246,G246),0))</f>
        <v/>
      </c>
      <c r="N246" s="18" t="str">
        <f>IF(OR(C246="",N(E246)=0),"",IF(G246="",F246,G246)/E246)</f>
        <v/>
      </c>
      <c r="O246" s="20" t="n"/>
      <c r="P246" s="5" t="n"/>
      <c r="Q246" s="5" t="n"/>
    </row>
    <row r="247">
      <c r="A247" s="5" t="n"/>
      <c r="B247" s="13" t="n"/>
      <c r="C247" s="14" t="n"/>
      <c r="D247" s="15" t="n"/>
      <c r="E247" s="22" t="n"/>
      <c r="F247" s="21" t="n"/>
      <c r="G247" s="21" t="n"/>
      <c r="H247" s="5" t="n"/>
      <c r="I247" s="5" t="n"/>
      <c r="J247" s="14" t="n"/>
      <c r="K247" s="18" t="str">
        <f>IF(C247="","",SUMIF('Buyer payments'!$A$8:$A$507,C247,'Buyer payments'!$F$8:$F$507))</f>
        <v/>
      </c>
      <c r="L247" s="18" t="str">
        <f>IF(OR(C247="",AND(H247&lt;&gt;"Contract signed",H247&lt;&gt;"Handed over")),"",IF(G247="",F247,G247)-N(K247))</f>
        <v/>
      </c>
      <c r="M247" s="19" t="str">
        <f>IF(L247="","",IFERROR(N(K247)/IF(G247="",F247,G247),0))</f>
        <v/>
      </c>
      <c r="N247" s="18" t="str">
        <f>IF(OR(C247="",N(E247)=0),"",IF(G247="",F247,G247)/E247)</f>
        <v/>
      </c>
      <c r="O247" s="20" t="n"/>
      <c r="P247" s="5" t="n"/>
      <c r="Q247" s="5" t="n"/>
    </row>
    <row r="248">
      <c r="A248" s="5" t="n"/>
      <c r="B248" s="13" t="n"/>
      <c r="C248" s="14" t="n"/>
      <c r="D248" s="15" t="n"/>
      <c r="E248" s="22" t="n"/>
      <c r="F248" s="21" t="n"/>
      <c r="G248" s="21" t="n"/>
      <c r="H248" s="5" t="n"/>
      <c r="I248" s="5" t="n"/>
      <c r="J248" s="14" t="n"/>
      <c r="K248" s="18" t="str">
        <f>IF(C248="","",SUMIF('Buyer payments'!$A$8:$A$507,C248,'Buyer payments'!$F$8:$F$507))</f>
        <v/>
      </c>
      <c r="L248" s="18" t="str">
        <f>IF(OR(C248="",AND(H248&lt;&gt;"Contract signed",H248&lt;&gt;"Handed over")),"",IF(G248="",F248,G248)-N(K248))</f>
        <v/>
      </c>
      <c r="M248" s="19" t="str">
        <f>IF(L248="","",IFERROR(N(K248)/IF(G248="",F248,G248),0))</f>
        <v/>
      </c>
      <c r="N248" s="18" t="str">
        <f>IF(OR(C248="",N(E248)=0),"",IF(G248="",F248,G248)/E248)</f>
        <v/>
      </c>
      <c r="O248" s="20" t="n"/>
      <c r="P248" s="5" t="n"/>
      <c r="Q248" s="5" t="n"/>
    </row>
    <row r="249">
      <c r="A249" s="5" t="n"/>
      <c r="B249" s="13" t="n"/>
      <c r="C249" s="14" t="n"/>
      <c r="D249" s="15" t="n"/>
      <c r="E249" s="22" t="n"/>
      <c r="F249" s="21" t="n"/>
      <c r="G249" s="21" t="n"/>
      <c r="H249" s="5" t="n"/>
      <c r="I249" s="5" t="n"/>
      <c r="J249" s="14" t="n"/>
      <c r="K249" s="18" t="str">
        <f>IF(C249="","",SUMIF('Buyer payments'!$A$8:$A$507,C249,'Buyer payments'!$F$8:$F$507))</f>
        <v/>
      </c>
      <c r="L249" s="18" t="str">
        <f>IF(OR(C249="",AND(H249&lt;&gt;"Contract signed",H249&lt;&gt;"Handed over")),"",IF(G249="",F249,G249)-N(K249))</f>
        <v/>
      </c>
      <c r="M249" s="19" t="str">
        <f>IF(L249="","",IFERROR(N(K249)/IF(G249="",F249,G249),0))</f>
        <v/>
      </c>
      <c r="N249" s="18" t="str">
        <f>IF(OR(C249="",N(E249)=0),"",IF(G249="",F249,G249)/E249)</f>
        <v/>
      </c>
      <c r="O249" s="20" t="n"/>
      <c r="P249" s="5" t="n"/>
      <c r="Q249" s="5" t="n"/>
    </row>
    <row r="250">
      <c r="A250" s="5" t="n"/>
      <c r="B250" s="13" t="n"/>
      <c r="C250" s="14" t="n"/>
      <c r="D250" s="15" t="n"/>
      <c r="E250" s="22" t="n"/>
      <c r="F250" s="21" t="n"/>
      <c r="G250" s="21" t="n"/>
      <c r="H250" s="5" t="n"/>
      <c r="I250" s="5" t="n"/>
      <c r="J250" s="14" t="n"/>
      <c r="K250" s="18" t="str">
        <f>IF(C250="","",SUMIF('Buyer payments'!$A$8:$A$507,C250,'Buyer payments'!$F$8:$F$507))</f>
        <v/>
      </c>
      <c r="L250" s="18" t="str">
        <f>IF(OR(C250="",AND(H250&lt;&gt;"Contract signed",H250&lt;&gt;"Handed over")),"",IF(G250="",F250,G250)-N(K250))</f>
        <v/>
      </c>
      <c r="M250" s="19" t="str">
        <f>IF(L250="","",IFERROR(N(K250)/IF(G250="",F250,G250),0))</f>
        <v/>
      </c>
      <c r="N250" s="18" t="str">
        <f>IF(OR(C250="",N(E250)=0),"",IF(G250="",F250,G250)/E250)</f>
        <v/>
      </c>
      <c r="O250" s="20" t="n"/>
      <c r="P250" s="5" t="n"/>
      <c r="Q250" s="5" t="n"/>
    </row>
    <row r="251">
      <c r="A251" s="5" t="n"/>
      <c r="B251" s="13" t="n"/>
      <c r="C251" s="14" t="n"/>
      <c r="D251" s="15" t="n"/>
      <c r="E251" s="22" t="n"/>
      <c r="F251" s="21" t="n"/>
      <c r="G251" s="21" t="n"/>
      <c r="H251" s="5" t="n"/>
      <c r="I251" s="5" t="n"/>
      <c r="J251" s="14" t="n"/>
      <c r="K251" s="18" t="str">
        <f>IF(C251="","",SUMIF('Buyer payments'!$A$8:$A$507,C251,'Buyer payments'!$F$8:$F$507))</f>
        <v/>
      </c>
      <c r="L251" s="18" t="str">
        <f>IF(OR(C251="",AND(H251&lt;&gt;"Contract signed",H251&lt;&gt;"Handed over")),"",IF(G251="",F251,G251)-N(K251))</f>
        <v/>
      </c>
      <c r="M251" s="19" t="str">
        <f>IF(L251="","",IFERROR(N(K251)/IF(G251="",F251,G251),0))</f>
        <v/>
      </c>
      <c r="N251" s="18" t="str">
        <f>IF(OR(C251="",N(E251)=0),"",IF(G251="",F251,G251)/E251)</f>
        <v/>
      </c>
      <c r="O251" s="20" t="n"/>
      <c r="P251" s="5" t="n"/>
      <c r="Q251" s="5" t="n"/>
    </row>
    <row r="252">
      <c r="A252" s="5" t="n"/>
      <c r="B252" s="13" t="n"/>
      <c r="C252" s="14" t="n"/>
      <c r="D252" s="15" t="n"/>
      <c r="E252" s="22" t="n"/>
      <c r="F252" s="21" t="n"/>
      <c r="G252" s="21" t="n"/>
      <c r="H252" s="5" t="n"/>
      <c r="I252" s="5" t="n"/>
      <c r="J252" s="14" t="n"/>
      <c r="K252" s="18" t="str">
        <f>IF(C252="","",SUMIF('Buyer payments'!$A$8:$A$507,C252,'Buyer payments'!$F$8:$F$507))</f>
        <v/>
      </c>
      <c r="L252" s="18" t="str">
        <f>IF(OR(C252="",AND(H252&lt;&gt;"Contract signed",H252&lt;&gt;"Handed over")),"",IF(G252="",F252,G252)-N(K252))</f>
        <v/>
      </c>
      <c r="M252" s="19" t="str">
        <f>IF(L252="","",IFERROR(N(K252)/IF(G252="",F252,G252),0))</f>
        <v/>
      </c>
      <c r="N252" s="18" t="str">
        <f>IF(OR(C252="",N(E252)=0),"",IF(G252="",F252,G252)/E252)</f>
        <v/>
      </c>
      <c r="O252" s="20" t="n"/>
      <c r="P252" s="5" t="n"/>
      <c r="Q252" s="5" t="n"/>
    </row>
    <row r="253">
      <c r="A253" s="5" t="n"/>
      <c r="B253" s="13" t="n"/>
      <c r="C253" s="14" t="n"/>
      <c r="D253" s="15" t="n"/>
      <c r="E253" s="22" t="n"/>
      <c r="F253" s="21" t="n"/>
      <c r="G253" s="21" t="n"/>
      <c r="H253" s="5" t="n"/>
      <c r="I253" s="5" t="n"/>
      <c r="J253" s="14" t="n"/>
      <c r="K253" s="18" t="str">
        <f>IF(C253="","",SUMIF('Buyer payments'!$A$8:$A$507,C253,'Buyer payments'!$F$8:$F$507))</f>
        <v/>
      </c>
      <c r="L253" s="18" t="str">
        <f>IF(OR(C253="",AND(H253&lt;&gt;"Contract signed",H253&lt;&gt;"Handed over")),"",IF(G253="",F253,G253)-N(K253))</f>
        <v/>
      </c>
      <c r="M253" s="19" t="str">
        <f>IF(L253="","",IFERROR(N(K253)/IF(G253="",F253,G253),0))</f>
        <v/>
      </c>
      <c r="N253" s="18" t="str">
        <f>IF(OR(C253="",N(E253)=0),"",IF(G253="",F253,G253)/E253)</f>
        <v/>
      </c>
      <c r="O253" s="20" t="n"/>
      <c r="P253" s="5" t="n"/>
      <c r="Q253" s="5" t="n"/>
    </row>
    <row r="254">
      <c r="A254" s="5" t="n"/>
      <c r="B254" s="13" t="n"/>
      <c r="C254" s="14" t="n"/>
      <c r="D254" s="15" t="n"/>
      <c r="E254" s="22" t="n"/>
      <c r="F254" s="21" t="n"/>
      <c r="G254" s="21" t="n"/>
      <c r="H254" s="5" t="n"/>
      <c r="I254" s="5" t="n"/>
      <c r="J254" s="14" t="n"/>
      <c r="K254" s="18" t="str">
        <f>IF(C254="","",SUMIF('Buyer payments'!$A$8:$A$507,C254,'Buyer payments'!$F$8:$F$507))</f>
        <v/>
      </c>
      <c r="L254" s="18" t="str">
        <f>IF(OR(C254="",AND(H254&lt;&gt;"Contract signed",H254&lt;&gt;"Handed over")),"",IF(G254="",F254,G254)-N(K254))</f>
        <v/>
      </c>
      <c r="M254" s="19" t="str">
        <f>IF(L254="","",IFERROR(N(K254)/IF(G254="",F254,G254),0))</f>
        <v/>
      </c>
      <c r="N254" s="18" t="str">
        <f>IF(OR(C254="",N(E254)=0),"",IF(G254="",F254,G254)/E254)</f>
        <v/>
      </c>
      <c r="O254" s="20" t="n"/>
      <c r="P254" s="5" t="n"/>
      <c r="Q254" s="5" t="n"/>
    </row>
    <row r="255">
      <c r="A255" s="5" t="n"/>
      <c r="B255" s="13" t="n"/>
      <c r="C255" s="14" t="n"/>
      <c r="D255" s="15" t="n"/>
      <c r="E255" s="22" t="n"/>
      <c r="F255" s="21" t="n"/>
      <c r="G255" s="21" t="n"/>
      <c r="H255" s="5" t="n"/>
      <c r="I255" s="5" t="n"/>
      <c r="J255" s="14" t="n"/>
      <c r="K255" s="18" t="str">
        <f>IF(C255="","",SUMIF('Buyer payments'!$A$8:$A$507,C255,'Buyer payments'!$F$8:$F$507))</f>
        <v/>
      </c>
      <c r="L255" s="18" t="str">
        <f>IF(OR(C255="",AND(H255&lt;&gt;"Contract signed",H255&lt;&gt;"Handed over")),"",IF(G255="",F255,G255)-N(K255))</f>
        <v/>
      </c>
      <c r="M255" s="19" t="str">
        <f>IF(L255="","",IFERROR(N(K255)/IF(G255="",F255,G255),0))</f>
        <v/>
      </c>
      <c r="N255" s="18" t="str">
        <f>IF(OR(C255="",N(E255)=0),"",IF(G255="",F255,G255)/E255)</f>
        <v/>
      </c>
      <c r="O255" s="20" t="n"/>
      <c r="P255" s="5" t="n"/>
      <c r="Q255" s="5" t="n"/>
    </row>
    <row r="256">
      <c r="A256" s="5" t="n"/>
      <c r="B256" s="13" t="n"/>
      <c r="C256" s="14" t="n"/>
      <c r="D256" s="15" t="n"/>
      <c r="E256" s="22" t="n"/>
      <c r="F256" s="21" t="n"/>
      <c r="G256" s="21" t="n"/>
      <c r="H256" s="5" t="n"/>
      <c r="I256" s="5" t="n"/>
      <c r="J256" s="14" t="n"/>
      <c r="K256" s="18" t="str">
        <f>IF(C256="","",SUMIF('Buyer payments'!$A$8:$A$507,C256,'Buyer payments'!$F$8:$F$507))</f>
        <v/>
      </c>
      <c r="L256" s="18" t="str">
        <f>IF(OR(C256="",AND(H256&lt;&gt;"Contract signed",H256&lt;&gt;"Handed over")),"",IF(G256="",F256,G256)-N(K256))</f>
        <v/>
      </c>
      <c r="M256" s="19" t="str">
        <f>IF(L256="","",IFERROR(N(K256)/IF(G256="",F256,G256),0))</f>
        <v/>
      </c>
      <c r="N256" s="18" t="str">
        <f>IF(OR(C256="",N(E256)=0),"",IF(G256="",F256,G256)/E256)</f>
        <v/>
      </c>
      <c r="O256" s="20" t="n"/>
      <c r="P256" s="5" t="n"/>
      <c r="Q256" s="5" t="n"/>
    </row>
    <row r="257">
      <c r="A257" s="5" t="n"/>
      <c r="B257" s="13" t="n"/>
      <c r="C257" s="14" t="n"/>
      <c r="D257" s="15" t="n"/>
      <c r="E257" s="22" t="n"/>
      <c r="F257" s="21" t="n"/>
      <c r="G257" s="21" t="n"/>
      <c r="H257" s="5" t="n"/>
      <c r="I257" s="5" t="n"/>
      <c r="J257" s="14" t="n"/>
      <c r="K257" s="18" t="str">
        <f>IF(C257="","",SUMIF('Buyer payments'!$A$8:$A$507,C257,'Buyer payments'!$F$8:$F$507))</f>
        <v/>
      </c>
      <c r="L257" s="18" t="str">
        <f>IF(OR(C257="",AND(H257&lt;&gt;"Contract signed",H257&lt;&gt;"Handed over")),"",IF(G257="",F257,G257)-N(K257))</f>
        <v/>
      </c>
      <c r="M257" s="19" t="str">
        <f>IF(L257="","",IFERROR(N(K257)/IF(G257="",F257,G257),0))</f>
        <v/>
      </c>
      <c r="N257" s="18" t="str">
        <f>IF(OR(C257="",N(E257)=0),"",IF(G257="",F257,G257)/E257)</f>
        <v/>
      </c>
      <c r="O257" s="20" t="n"/>
      <c r="P257" s="5" t="n"/>
      <c r="Q257" s="5" t="n"/>
    </row>
    <row r="258">
      <c r="A258" s="5" t="n"/>
      <c r="B258" s="13" t="n"/>
      <c r="C258" s="14" t="n"/>
      <c r="D258" s="15" t="n"/>
      <c r="E258" s="22" t="n"/>
      <c r="F258" s="21" t="n"/>
      <c r="G258" s="21" t="n"/>
      <c r="H258" s="5" t="n"/>
      <c r="I258" s="5" t="n"/>
      <c r="J258" s="14" t="n"/>
      <c r="K258" s="18" t="str">
        <f>IF(C258="","",SUMIF('Buyer payments'!$A$8:$A$507,C258,'Buyer payments'!$F$8:$F$507))</f>
        <v/>
      </c>
      <c r="L258" s="18" t="str">
        <f>IF(OR(C258="",AND(H258&lt;&gt;"Contract signed",H258&lt;&gt;"Handed over")),"",IF(G258="",F258,G258)-N(K258))</f>
        <v/>
      </c>
      <c r="M258" s="19" t="str">
        <f>IF(L258="","",IFERROR(N(K258)/IF(G258="",F258,G258),0))</f>
        <v/>
      </c>
      <c r="N258" s="18" t="str">
        <f>IF(OR(C258="",N(E258)=0),"",IF(G258="",F258,G258)/E258)</f>
        <v/>
      </c>
      <c r="O258" s="20" t="n"/>
      <c r="P258" s="5" t="n"/>
      <c r="Q258" s="5" t="n"/>
    </row>
    <row r="259">
      <c r="A259" s="5" t="n"/>
      <c r="B259" s="13" t="n"/>
      <c r="C259" s="14" t="n"/>
      <c r="D259" s="15" t="n"/>
      <c r="E259" s="22" t="n"/>
      <c r="F259" s="21" t="n"/>
      <c r="G259" s="21" t="n"/>
      <c r="H259" s="5" t="n"/>
      <c r="I259" s="5" t="n"/>
      <c r="J259" s="14" t="n"/>
      <c r="K259" s="18" t="str">
        <f>IF(C259="","",SUMIF('Buyer payments'!$A$8:$A$507,C259,'Buyer payments'!$F$8:$F$507))</f>
        <v/>
      </c>
      <c r="L259" s="18" t="str">
        <f>IF(OR(C259="",AND(H259&lt;&gt;"Contract signed",H259&lt;&gt;"Handed over")),"",IF(G259="",F259,G259)-N(K259))</f>
        <v/>
      </c>
      <c r="M259" s="19" t="str">
        <f>IF(L259="","",IFERROR(N(K259)/IF(G259="",F259,G259),0))</f>
        <v/>
      </c>
      <c r="N259" s="18" t="str">
        <f>IF(OR(C259="",N(E259)=0),"",IF(G259="",F259,G259)/E259)</f>
        <v/>
      </c>
      <c r="O259" s="20" t="n"/>
      <c r="P259" s="5" t="n"/>
      <c r="Q259" s="5" t="n"/>
    </row>
    <row r="260">
      <c r="A260" s="5" t="n"/>
      <c r="B260" s="13" t="n"/>
      <c r="C260" s="14" t="n"/>
      <c r="D260" s="15" t="n"/>
      <c r="E260" s="22" t="n"/>
      <c r="F260" s="21" t="n"/>
      <c r="G260" s="21" t="n"/>
      <c r="H260" s="5" t="n"/>
      <c r="I260" s="5" t="n"/>
      <c r="J260" s="14" t="n"/>
      <c r="K260" s="18" t="str">
        <f>IF(C260="","",SUMIF('Buyer payments'!$A$8:$A$507,C260,'Buyer payments'!$F$8:$F$507))</f>
        <v/>
      </c>
      <c r="L260" s="18" t="str">
        <f>IF(OR(C260="",AND(H260&lt;&gt;"Contract signed",H260&lt;&gt;"Handed over")),"",IF(G260="",F260,G260)-N(K260))</f>
        <v/>
      </c>
      <c r="M260" s="19" t="str">
        <f>IF(L260="","",IFERROR(N(K260)/IF(G260="",F260,G260),0))</f>
        <v/>
      </c>
      <c r="N260" s="18" t="str">
        <f>IF(OR(C260="",N(E260)=0),"",IF(G260="",F260,G260)/E260)</f>
        <v/>
      </c>
      <c r="O260" s="20" t="n"/>
      <c r="P260" s="5" t="n"/>
      <c r="Q260" s="5" t="n"/>
    </row>
    <row r="261">
      <c r="A261" s="5" t="n"/>
      <c r="B261" s="13" t="n"/>
      <c r="C261" s="14" t="n"/>
      <c r="D261" s="15" t="n"/>
      <c r="E261" s="22" t="n"/>
      <c r="F261" s="21" t="n"/>
      <c r="G261" s="21" t="n"/>
      <c r="H261" s="5" t="n"/>
      <c r="I261" s="5" t="n"/>
      <c r="J261" s="14" t="n"/>
      <c r="K261" s="18" t="str">
        <f>IF(C261="","",SUMIF('Buyer payments'!$A$8:$A$507,C261,'Buyer payments'!$F$8:$F$507))</f>
        <v/>
      </c>
      <c r="L261" s="18" t="str">
        <f>IF(OR(C261="",AND(H261&lt;&gt;"Contract signed",H261&lt;&gt;"Handed over")),"",IF(G261="",F261,G261)-N(K261))</f>
        <v/>
      </c>
      <c r="M261" s="19" t="str">
        <f>IF(L261="","",IFERROR(N(K261)/IF(G261="",F261,G261),0))</f>
        <v/>
      </c>
      <c r="N261" s="18" t="str">
        <f>IF(OR(C261="",N(E261)=0),"",IF(G261="",F261,G261)/E261)</f>
        <v/>
      </c>
      <c r="O261" s="20" t="n"/>
      <c r="P261" s="5" t="n"/>
      <c r="Q261" s="5" t="n"/>
    </row>
    <row r="262">
      <c r="A262" s="5" t="n"/>
      <c r="B262" s="13" t="n"/>
      <c r="C262" s="14" t="n"/>
      <c r="D262" s="15" t="n"/>
      <c r="E262" s="22" t="n"/>
      <c r="F262" s="21" t="n"/>
      <c r="G262" s="21" t="n"/>
      <c r="H262" s="5" t="n"/>
      <c r="I262" s="5" t="n"/>
      <c r="J262" s="14" t="n"/>
      <c r="K262" s="18" t="str">
        <f>IF(C262="","",SUMIF('Buyer payments'!$A$8:$A$507,C262,'Buyer payments'!$F$8:$F$507))</f>
        <v/>
      </c>
      <c r="L262" s="18" t="str">
        <f>IF(OR(C262="",AND(H262&lt;&gt;"Contract signed",H262&lt;&gt;"Handed over")),"",IF(G262="",F262,G262)-N(K262))</f>
        <v/>
      </c>
      <c r="M262" s="19" t="str">
        <f>IF(L262="","",IFERROR(N(K262)/IF(G262="",F262,G262),0))</f>
        <v/>
      </c>
      <c r="N262" s="18" t="str">
        <f>IF(OR(C262="",N(E262)=0),"",IF(G262="",F262,G262)/E262)</f>
        <v/>
      </c>
      <c r="O262" s="20" t="n"/>
      <c r="P262" s="5" t="n"/>
      <c r="Q262" s="5" t="n"/>
    </row>
    <row r="263">
      <c r="A263" s="5" t="n"/>
      <c r="B263" s="13" t="n"/>
      <c r="C263" s="14" t="n"/>
      <c r="D263" s="15" t="n"/>
      <c r="E263" s="22" t="n"/>
      <c r="F263" s="21" t="n"/>
      <c r="G263" s="21" t="n"/>
      <c r="H263" s="5" t="n"/>
      <c r="I263" s="5" t="n"/>
      <c r="J263" s="14" t="n"/>
      <c r="K263" s="18" t="str">
        <f>IF(C263="","",SUMIF('Buyer payments'!$A$8:$A$507,C263,'Buyer payments'!$F$8:$F$507))</f>
        <v/>
      </c>
      <c r="L263" s="18" t="str">
        <f>IF(OR(C263="",AND(H263&lt;&gt;"Contract signed",H263&lt;&gt;"Handed over")),"",IF(G263="",F263,G263)-N(K263))</f>
        <v/>
      </c>
      <c r="M263" s="19" t="str">
        <f>IF(L263="","",IFERROR(N(K263)/IF(G263="",F263,G263),0))</f>
        <v/>
      </c>
      <c r="N263" s="18" t="str">
        <f>IF(OR(C263="",N(E263)=0),"",IF(G263="",F263,G263)/E263)</f>
        <v/>
      </c>
      <c r="O263" s="20" t="n"/>
      <c r="P263" s="5" t="n"/>
      <c r="Q263" s="5" t="n"/>
    </row>
    <row r="264">
      <c r="A264" s="5" t="n"/>
      <c r="B264" s="13" t="n"/>
      <c r="C264" s="14" t="n"/>
      <c r="D264" s="15" t="n"/>
      <c r="E264" s="22" t="n"/>
      <c r="F264" s="21" t="n"/>
      <c r="G264" s="21" t="n"/>
      <c r="H264" s="5" t="n"/>
      <c r="I264" s="5" t="n"/>
      <c r="J264" s="14" t="n"/>
      <c r="K264" s="18" t="str">
        <f>IF(C264="","",SUMIF('Buyer payments'!$A$8:$A$507,C264,'Buyer payments'!$F$8:$F$507))</f>
        <v/>
      </c>
      <c r="L264" s="18" t="str">
        <f>IF(OR(C264="",AND(H264&lt;&gt;"Contract signed",H264&lt;&gt;"Handed over")),"",IF(G264="",F264,G264)-N(K264))</f>
        <v/>
      </c>
      <c r="M264" s="19" t="str">
        <f>IF(L264="","",IFERROR(N(K264)/IF(G264="",F264,G264),0))</f>
        <v/>
      </c>
      <c r="N264" s="18" t="str">
        <f>IF(OR(C264="",N(E264)=0),"",IF(G264="",F264,G264)/E264)</f>
        <v/>
      </c>
      <c r="O264" s="20" t="n"/>
      <c r="P264" s="5" t="n"/>
      <c r="Q264" s="5" t="n"/>
    </row>
    <row r="265">
      <c r="A265" s="5" t="n"/>
      <c r="B265" s="13" t="n"/>
      <c r="C265" s="14" t="n"/>
      <c r="D265" s="15" t="n"/>
      <c r="E265" s="22" t="n"/>
      <c r="F265" s="21" t="n"/>
      <c r="G265" s="21" t="n"/>
      <c r="H265" s="5" t="n"/>
      <c r="I265" s="5" t="n"/>
      <c r="J265" s="14" t="n"/>
      <c r="K265" s="18" t="str">
        <f>IF(C265="","",SUMIF('Buyer payments'!$A$8:$A$507,C265,'Buyer payments'!$F$8:$F$507))</f>
        <v/>
      </c>
      <c r="L265" s="18" t="str">
        <f>IF(OR(C265="",AND(H265&lt;&gt;"Contract signed",H265&lt;&gt;"Handed over")),"",IF(G265="",F265,G265)-N(K265))</f>
        <v/>
      </c>
      <c r="M265" s="19" t="str">
        <f>IF(L265="","",IFERROR(N(K265)/IF(G265="",F265,G265),0))</f>
        <v/>
      </c>
      <c r="N265" s="18" t="str">
        <f>IF(OR(C265="",N(E265)=0),"",IF(G265="",F265,G265)/E265)</f>
        <v/>
      </c>
      <c r="O265" s="20" t="n"/>
      <c r="P265" s="5" t="n"/>
      <c r="Q265" s="5" t="n"/>
    </row>
    <row r="266">
      <c r="A266" s="5" t="n"/>
      <c r="B266" s="13" t="n"/>
      <c r="C266" s="14" t="n"/>
      <c r="D266" s="15" t="n"/>
      <c r="E266" s="22" t="n"/>
      <c r="F266" s="21" t="n"/>
      <c r="G266" s="21" t="n"/>
      <c r="H266" s="5" t="n"/>
      <c r="I266" s="5" t="n"/>
      <c r="J266" s="14" t="n"/>
      <c r="K266" s="18" t="str">
        <f>IF(C266="","",SUMIF('Buyer payments'!$A$8:$A$507,C266,'Buyer payments'!$F$8:$F$507))</f>
        <v/>
      </c>
      <c r="L266" s="18" t="str">
        <f>IF(OR(C266="",AND(H266&lt;&gt;"Contract signed",H266&lt;&gt;"Handed over")),"",IF(G266="",F266,G266)-N(K266))</f>
        <v/>
      </c>
      <c r="M266" s="19" t="str">
        <f>IF(L266="","",IFERROR(N(K266)/IF(G266="",F266,G266),0))</f>
        <v/>
      </c>
      <c r="N266" s="18" t="str">
        <f>IF(OR(C266="",N(E266)=0),"",IF(G266="",F266,G266)/E266)</f>
        <v/>
      </c>
      <c r="O266" s="20" t="n"/>
      <c r="P266" s="5" t="n"/>
      <c r="Q266" s="5" t="n"/>
    </row>
    <row r="267">
      <c r="A267" s="5" t="n"/>
      <c r="B267" s="13" t="n"/>
      <c r="C267" s="14" t="n"/>
      <c r="D267" s="15" t="n"/>
      <c r="E267" s="22" t="n"/>
      <c r="F267" s="21" t="n"/>
      <c r="G267" s="21" t="n"/>
      <c r="H267" s="5" t="n"/>
      <c r="I267" s="5" t="n"/>
      <c r="J267" s="14" t="n"/>
      <c r="K267" s="18" t="str">
        <f>IF(C267="","",SUMIF('Buyer payments'!$A$8:$A$507,C267,'Buyer payments'!$F$8:$F$507))</f>
        <v/>
      </c>
      <c r="L267" s="18" t="str">
        <f>IF(OR(C267="",AND(H267&lt;&gt;"Contract signed",H267&lt;&gt;"Handed over")),"",IF(G267="",F267,G267)-N(K267))</f>
        <v/>
      </c>
      <c r="M267" s="19" t="str">
        <f>IF(L267="","",IFERROR(N(K267)/IF(G267="",F267,G267),0))</f>
        <v/>
      </c>
      <c r="N267" s="18" t="str">
        <f>IF(OR(C267="",N(E267)=0),"",IF(G267="",F267,G267)/E267)</f>
        <v/>
      </c>
      <c r="O267" s="20" t="n"/>
      <c r="P267" s="5" t="n"/>
      <c r="Q267" s="5" t="n"/>
    </row>
    <row r="268">
      <c r="A268" s="5" t="n"/>
      <c r="B268" s="13" t="n"/>
      <c r="C268" s="14" t="n"/>
      <c r="D268" s="15" t="n"/>
      <c r="E268" s="22" t="n"/>
      <c r="F268" s="21" t="n"/>
      <c r="G268" s="21" t="n"/>
      <c r="H268" s="5" t="n"/>
      <c r="I268" s="5" t="n"/>
      <c r="J268" s="14" t="n"/>
      <c r="K268" s="18" t="str">
        <f>IF(C268="","",SUMIF('Buyer payments'!$A$8:$A$507,C268,'Buyer payments'!$F$8:$F$507))</f>
        <v/>
      </c>
      <c r="L268" s="18" t="str">
        <f>IF(OR(C268="",AND(H268&lt;&gt;"Contract signed",H268&lt;&gt;"Handed over")),"",IF(G268="",F268,G268)-N(K268))</f>
        <v/>
      </c>
      <c r="M268" s="19" t="str">
        <f>IF(L268="","",IFERROR(N(K268)/IF(G268="",F268,G268),0))</f>
        <v/>
      </c>
      <c r="N268" s="18" t="str">
        <f>IF(OR(C268="",N(E268)=0),"",IF(G268="",F268,G268)/E268)</f>
        <v/>
      </c>
      <c r="O268" s="20" t="n"/>
      <c r="P268" s="5" t="n"/>
      <c r="Q268" s="5" t="n"/>
    </row>
    <row r="269">
      <c r="A269" s="5" t="n"/>
      <c r="B269" s="13" t="n"/>
      <c r="C269" s="14" t="n"/>
      <c r="D269" s="15" t="n"/>
      <c r="E269" s="22" t="n"/>
      <c r="F269" s="21" t="n"/>
      <c r="G269" s="21" t="n"/>
      <c r="H269" s="5" t="n"/>
      <c r="I269" s="5" t="n"/>
      <c r="J269" s="14" t="n"/>
      <c r="K269" s="18" t="str">
        <f>IF(C269="","",SUMIF('Buyer payments'!$A$8:$A$507,C269,'Buyer payments'!$F$8:$F$507))</f>
        <v/>
      </c>
      <c r="L269" s="18" t="str">
        <f>IF(OR(C269="",AND(H269&lt;&gt;"Contract signed",H269&lt;&gt;"Handed over")),"",IF(G269="",F269,G269)-N(K269))</f>
        <v/>
      </c>
      <c r="M269" s="19" t="str">
        <f>IF(L269="","",IFERROR(N(K269)/IF(G269="",F269,G269),0))</f>
        <v/>
      </c>
      <c r="N269" s="18" t="str">
        <f>IF(OR(C269="",N(E269)=0),"",IF(G269="",F269,G269)/E269)</f>
        <v/>
      </c>
      <c r="O269" s="20" t="n"/>
      <c r="P269" s="5" t="n"/>
      <c r="Q269" s="5" t="n"/>
    </row>
    <row r="270">
      <c r="A270" s="5" t="n"/>
      <c r="B270" s="13" t="n"/>
      <c r="C270" s="14" t="n"/>
      <c r="D270" s="15" t="n"/>
      <c r="E270" s="22" t="n"/>
      <c r="F270" s="21" t="n"/>
      <c r="G270" s="21" t="n"/>
      <c r="H270" s="5" t="n"/>
      <c r="I270" s="5" t="n"/>
      <c r="J270" s="14" t="n"/>
      <c r="K270" s="18" t="str">
        <f>IF(C270="","",SUMIF('Buyer payments'!$A$8:$A$507,C270,'Buyer payments'!$F$8:$F$507))</f>
        <v/>
      </c>
      <c r="L270" s="18" t="str">
        <f>IF(OR(C270="",AND(H270&lt;&gt;"Contract signed",H270&lt;&gt;"Handed over")),"",IF(G270="",F270,G270)-N(K270))</f>
        <v/>
      </c>
      <c r="M270" s="19" t="str">
        <f>IF(L270="","",IFERROR(N(K270)/IF(G270="",F270,G270),0))</f>
        <v/>
      </c>
      <c r="N270" s="18" t="str">
        <f>IF(OR(C270="",N(E270)=0),"",IF(G270="",F270,G270)/E270)</f>
        <v/>
      </c>
      <c r="O270" s="20" t="n"/>
      <c r="P270" s="5" t="n"/>
      <c r="Q270" s="5" t="n"/>
    </row>
    <row r="271">
      <c r="A271" s="5" t="n"/>
      <c r="B271" s="13" t="n"/>
      <c r="C271" s="14" t="n"/>
      <c r="D271" s="15" t="n"/>
      <c r="E271" s="22" t="n"/>
      <c r="F271" s="21" t="n"/>
      <c r="G271" s="21" t="n"/>
      <c r="H271" s="5" t="n"/>
      <c r="I271" s="5" t="n"/>
      <c r="J271" s="14" t="n"/>
      <c r="K271" s="18" t="str">
        <f>IF(C271="","",SUMIF('Buyer payments'!$A$8:$A$507,C271,'Buyer payments'!$F$8:$F$507))</f>
        <v/>
      </c>
      <c r="L271" s="18" t="str">
        <f>IF(OR(C271="",AND(H271&lt;&gt;"Contract signed",H271&lt;&gt;"Handed over")),"",IF(G271="",F271,G271)-N(K271))</f>
        <v/>
      </c>
      <c r="M271" s="19" t="str">
        <f>IF(L271="","",IFERROR(N(K271)/IF(G271="",F271,G271),0))</f>
        <v/>
      </c>
      <c r="N271" s="18" t="str">
        <f>IF(OR(C271="",N(E271)=0),"",IF(G271="",F271,G271)/E271)</f>
        <v/>
      </c>
      <c r="O271" s="20" t="n"/>
      <c r="P271" s="5" t="n"/>
      <c r="Q271" s="5" t="n"/>
    </row>
    <row r="272">
      <c r="A272" s="5" t="n"/>
      <c r="B272" s="13" t="n"/>
      <c r="C272" s="14" t="n"/>
      <c r="D272" s="15" t="n"/>
      <c r="E272" s="22" t="n"/>
      <c r="F272" s="21" t="n"/>
      <c r="G272" s="21" t="n"/>
      <c r="H272" s="5" t="n"/>
      <c r="I272" s="5" t="n"/>
      <c r="J272" s="14" t="n"/>
      <c r="K272" s="18" t="str">
        <f>IF(C272="","",SUMIF('Buyer payments'!$A$8:$A$507,C272,'Buyer payments'!$F$8:$F$507))</f>
        <v/>
      </c>
      <c r="L272" s="18" t="str">
        <f>IF(OR(C272="",AND(H272&lt;&gt;"Contract signed",H272&lt;&gt;"Handed over")),"",IF(G272="",F272,G272)-N(K272))</f>
        <v/>
      </c>
      <c r="M272" s="19" t="str">
        <f>IF(L272="","",IFERROR(N(K272)/IF(G272="",F272,G272),0))</f>
        <v/>
      </c>
      <c r="N272" s="18" t="str">
        <f>IF(OR(C272="",N(E272)=0),"",IF(G272="",F272,G272)/E272)</f>
        <v/>
      </c>
      <c r="O272" s="20" t="n"/>
      <c r="P272" s="5" t="n"/>
      <c r="Q272" s="5" t="n"/>
    </row>
    <row r="273">
      <c r="A273" s="5" t="n"/>
      <c r="B273" s="13" t="n"/>
      <c r="C273" s="14" t="n"/>
      <c r="D273" s="15" t="n"/>
      <c r="E273" s="22" t="n"/>
      <c r="F273" s="21" t="n"/>
      <c r="G273" s="21" t="n"/>
      <c r="H273" s="5" t="n"/>
      <c r="I273" s="5" t="n"/>
      <c r="J273" s="14" t="n"/>
      <c r="K273" s="18" t="str">
        <f>IF(C273="","",SUMIF('Buyer payments'!$A$8:$A$507,C273,'Buyer payments'!$F$8:$F$507))</f>
        <v/>
      </c>
      <c r="L273" s="18" t="str">
        <f>IF(OR(C273="",AND(H273&lt;&gt;"Contract signed",H273&lt;&gt;"Handed over")),"",IF(G273="",F273,G273)-N(K273))</f>
        <v/>
      </c>
      <c r="M273" s="19" t="str">
        <f>IF(L273="","",IFERROR(N(K273)/IF(G273="",F273,G273),0))</f>
        <v/>
      </c>
      <c r="N273" s="18" t="str">
        <f>IF(OR(C273="",N(E273)=0),"",IF(G273="",F273,G273)/E273)</f>
        <v/>
      </c>
      <c r="O273" s="20" t="n"/>
      <c r="P273" s="5" t="n"/>
      <c r="Q273" s="5" t="n"/>
    </row>
    <row r="274">
      <c r="A274" s="5" t="n"/>
      <c r="B274" s="13" t="n"/>
      <c r="C274" s="14" t="n"/>
      <c r="D274" s="15" t="n"/>
      <c r="E274" s="22" t="n"/>
      <c r="F274" s="21" t="n"/>
      <c r="G274" s="21" t="n"/>
      <c r="H274" s="5" t="n"/>
      <c r="I274" s="5" t="n"/>
      <c r="J274" s="14" t="n"/>
      <c r="K274" s="18" t="str">
        <f>IF(C274="","",SUMIF('Buyer payments'!$A$8:$A$507,C274,'Buyer payments'!$F$8:$F$507))</f>
        <v/>
      </c>
      <c r="L274" s="18" t="str">
        <f>IF(OR(C274="",AND(H274&lt;&gt;"Contract signed",H274&lt;&gt;"Handed over")),"",IF(G274="",F274,G274)-N(K274))</f>
        <v/>
      </c>
      <c r="M274" s="19" t="str">
        <f>IF(L274="","",IFERROR(N(K274)/IF(G274="",F274,G274),0))</f>
        <v/>
      </c>
      <c r="N274" s="18" t="str">
        <f>IF(OR(C274="",N(E274)=0),"",IF(G274="",F274,G274)/E274)</f>
        <v/>
      </c>
      <c r="O274" s="20" t="n"/>
      <c r="P274" s="5" t="n"/>
      <c r="Q274" s="5" t="n"/>
    </row>
    <row r="275">
      <c r="A275" s="5" t="n"/>
      <c r="B275" s="13" t="n"/>
      <c r="C275" s="14" t="n"/>
      <c r="D275" s="15" t="n"/>
      <c r="E275" s="22" t="n"/>
      <c r="F275" s="21" t="n"/>
      <c r="G275" s="21" t="n"/>
      <c r="H275" s="5" t="n"/>
      <c r="I275" s="5" t="n"/>
      <c r="J275" s="14" t="n"/>
      <c r="K275" s="18" t="str">
        <f>IF(C275="","",SUMIF('Buyer payments'!$A$8:$A$507,C275,'Buyer payments'!$F$8:$F$507))</f>
        <v/>
      </c>
      <c r="L275" s="18" t="str">
        <f>IF(OR(C275="",AND(H275&lt;&gt;"Contract signed",H275&lt;&gt;"Handed over")),"",IF(G275="",F275,G275)-N(K275))</f>
        <v/>
      </c>
      <c r="M275" s="19" t="str">
        <f>IF(L275="","",IFERROR(N(K275)/IF(G275="",F275,G275),0))</f>
        <v/>
      </c>
      <c r="N275" s="18" t="str">
        <f>IF(OR(C275="",N(E275)=0),"",IF(G275="",F275,G275)/E275)</f>
        <v/>
      </c>
      <c r="O275" s="20" t="n"/>
      <c r="P275" s="5" t="n"/>
      <c r="Q275" s="5" t="n"/>
    </row>
    <row r="276">
      <c r="A276" s="5" t="n"/>
      <c r="B276" s="13" t="n"/>
      <c r="C276" s="14" t="n"/>
      <c r="D276" s="15" t="n"/>
      <c r="E276" s="22" t="n"/>
      <c r="F276" s="21" t="n"/>
      <c r="G276" s="21" t="n"/>
      <c r="H276" s="5" t="n"/>
      <c r="I276" s="5" t="n"/>
      <c r="J276" s="14" t="n"/>
      <c r="K276" s="18" t="str">
        <f>IF(C276="","",SUMIF('Buyer payments'!$A$8:$A$507,C276,'Buyer payments'!$F$8:$F$507))</f>
        <v/>
      </c>
      <c r="L276" s="18" t="str">
        <f>IF(OR(C276="",AND(H276&lt;&gt;"Contract signed",H276&lt;&gt;"Handed over")),"",IF(G276="",F276,G276)-N(K276))</f>
        <v/>
      </c>
      <c r="M276" s="19" t="str">
        <f>IF(L276="","",IFERROR(N(K276)/IF(G276="",F276,G276),0))</f>
        <v/>
      </c>
      <c r="N276" s="18" t="str">
        <f>IF(OR(C276="",N(E276)=0),"",IF(G276="",F276,G276)/E276)</f>
        <v/>
      </c>
      <c r="O276" s="20" t="n"/>
      <c r="P276" s="5" t="n"/>
      <c r="Q276" s="5" t="n"/>
    </row>
    <row r="277">
      <c r="A277" s="5" t="n"/>
      <c r="B277" s="13" t="n"/>
      <c r="C277" s="14" t="n"/>
      <c r="D277" s="15" t="n"/>
      <c r="E277" s="22" t="n"/>
      <c r="F277" s="21" t="n"/>
      <c r="G277" s="21" t="n"/>
      <c r="H277" s="5" t="n"/>
      <c r="I277" s="5" t="n"/>
      <c r="J277" s="14" t="n"/>
      <c r="K277" s="18" t="str">
        <f>IF(C277="","",SUMIF('Buyer payments'!$A$8:$A$507,C277,'Buyer payments'!$F$8:$F$507))</f>
        <v/>
      </c>
      <c r="L277" s="18" t="str">
        <f>IF(OR(C277="",AND(H277&lt;&gt;"Contract signed",H277&lt;&gt;"Handed over")),"",IF(G277="",F277,G277)-N(K277))</f>
        <v/>
      </c>
      <c r="M277" s="19" t="str">
        <f>IF(L277="","",IFERROR(N(K277)/IF(G277="",F277,G277),0))</f>
        <v/>
      </c>
      <c r="N277" s="18" t="str">
        <f>IF(OR(C277="",N(E277)=0),"",IF(G277="",F277,G277)/E277)</f>
        <v/>
      </c>
      <c r="O277" s="20" t="n"/>
      <c r="P277" s="5" t="n"/>
      <c r="Q277" s="5" t="n"/>
    </row>
    <row r="278">
      <c r="A278" s="5" t="n"/>
      <c r="B278" s="13" t="n"/>
      <c r="C278" s="14" t="n"/>
      <c r="D278" s="15" t="n"/>
      <c r="E278" s="22" t="n"/>
      <c r="F278" s="21" t="n"/>
      <c r="G278" s="21" t="n"/>
      <c r="H278" s="5" t="n"/>
      <c r="I278" s="5" t="n"/>
      <c r="J278" s="14" t="n"/>
      <c r="K278" s="18" t="str">
        <f>IF(C278="","",SUMIF('Buyer payments'!$A$8:$A$507,C278,'Buyer payments'!$F$8:$F$507))</f>
        <v/>
      </c>
      <c r="L278" s="18" t="str">
        <f>IF(OR(C278="",AND(H278&lt;&gt;"Contract signed",H278&lt;&gt;"Handed over")),"",IF(G278="",F278,G278)-N(K278))</f>
        <v/>
      </c>
      <c r="M278" s="19" t="str">
        <f>IF(L278="","",IFERROR(N(K278)/IF(G278="",F278,G278),0))</f>
        <v/>
      </c>
      <c r="N278" s="18" t="str">
        <f>IF(OR(C278="",N(E278)=0),"",IF(G278="",F278,G278)/E278)</f>
        <v/>
      </c>
      <c r="O278" s="20" t="n"/>
      <c r="P278" s="5" t="n"/>
      <c r="Q278" s="5" t="n"/>
    </row>
    <row r="279">
      <c r="A279" s="5" t="n"/>
      <c r="B279" s="13" t="n"/>
      <c r="C279" s="14" t="n"/>
      <c r="D279" s="15" t="n"/>
      <c r="E279" s="22" t="n"/>
      <c r="F279" s="21" t="n"/>
      <c r="G279" s="21" t="n"/>
      <c r="H279" s="5" t="n"/>
      <c r="I279" s="5" t="n"/>
      <c r="J279" s="14" t="n"/>
      <c r="K279" s="18" t="str">
        <f>IF(C279="","",SUMIF('Buyer payments'!$A$8:$A$507,C279,'Buyer payments'!$F$8:$F$507))</f>
        <v/>
      </c>
      <c r="L279" s="18" t="str">
        <f>IF(OR(C279="",AND(H279&lt;&gt;"Contract signed",H279&lt;&gt;"Handed over")),"",IF(G279="",F279,G279)-N(K279))</f>
        <v/>
      </c>
      <c r="M279" s="19" t="str">
        <f>IF(L279="","",IFERROR(N(K279)/IF(G279="",F279,G279),0))</f>
        <v/>
      </c>
      <c r="N279" s="18" t="str">
        <f>IF(OR(C279="",N(E279)=0),"",IF(G279="",F279,G279)/E279)</f>
        <v/>
      </c>
      <c r="O279" s="20" t="n"/>
      <c r="P279" s="5" t="n"/>
      <c r="Q279" s="5" t="n"/>
    </row>
    <row r="280">
      <c r="A280" s="5" t="n"/>
      <c r="B280" s="13" t="n"/>
      <c r="C280" s="14" t="n"/>
      <c r="D280" s="15" t="n"/>
      <c r="E280" s="22" t="n"/>
      <c r="F280" s="21" t="n"/>
      <c r="G280" s="21" t="n"/>
      <c r="H280" s="5" t="n"/>
      <c r="I280" s="5" t="n"/>
      <c r="J280" s="14" t="n"/>
      <c r="K280" s="18" t="str">
        <f>IF(C280="","",SUMIF('Buyer payments'!$A$8:$A$507,C280,'Buyer payments'!$F$8:$F$507))</f>
        <v/>
      </c>
      <c r="L280" s="18" t="str">
        <f>IF(OR(C280="",AND(H280&lt;&gt;"Contract signed",H280&lt;&gt;"Handed over")),"",IF(G280="",F280,G280)-N(K280))</f>
        <v/>
      </c>
      <c r="M280" s="19" t="str">
        <f>IF(L280="","",IFERROR(N(K280)/IF(G280="",F280,G280),0))</f>
        <v/>
      </c>
      <c r="N280" s="18" t="str">
        <f>IF(OR(C280="",N(E280)=0),"",IF(G280="",F280,G280)/E280)</f>
        <v/>
      </c>
      <c r="O280" s="20" t="n"/>
      <c r="P280" s="5" t="n"/>
      <c r="Q280" s="5" t="n"/>
    </row>
    <row r="281">
      <c r="A281" s="5" t="n"/>
      <c r="B281" s="13" t="n"/>
      <c r="C281" s="14" t="n"/>
      <c r="D281" s="15" t="n"/>
      <c r="E281" s="22" t="n"/>
      <c r="F281" s="21" t="n"/>
      <c r="G281" s="21" t="n"/>
      <c r="H281" s="5" t="n"/>
      <c r="I281" s="5" t="n"/>
      <c r="J281" s="14" t="n"/>
      <c r="K281" s="18" t="str">
        <f>IF(C281="","",SUMIF('Buyer payments'!$A$8:$A$507,C281,'Buyer payments'!$F$8:$F$507))</f>
        <v/>
      </c>
      <c r="L281" s="18" t="str">
        <f>IF(OR(C281="",AND(H281&lt;&gt;"Contract signed",H281&lt;&gt;"Handed over")),"",IF(G281="",F281,G281)-N(K281))</f>
        <v/>
      </c>
      <c r="M281" s="19" t="str">
        <f>IF(L281="","",IFERROR(N(K281)/IF(G281="",F281,G281),0))</f>
        <v/>
      </c>
      <c r="N281" s="18" t="str">
        <f>IF(OR(C281="",N(E281)=0),"",IF(G281="",F281,G281)/E281)</f>
        <v/>
      </c>
      <c r="O281" s="20" t="n"/>
      <c r="P281" s="5" t="n"/>
      <c r="Q281" s="5" t="n"/>
    </row>
    <row r="282">
      <c r="A282" s="5" t="n"/>
      <c r="B282" s="13" t="n"/>
      <c r="C282" s="14" t="n"/>
      <c r="D282" s="15" t="n"/>
      <c r="E282" s="22" t="n"/>
      <c r="F282" s="21" t="n"/>
      <c r="G282" s="21" t="n"/>
      <c r="H282" s="5" t="n"/>
      <c r="I282" s="5" t="n"/>
      <c r="J282" s="14" t="n"/>
      <c r="K282" s="18" t="str">
        <f>IF(C282="","",SUMIF('Buyer payments'!$A$8:$A$507,C282,'Buyer payments'!$F$8:$F$507))</f>
        <v/>
      </c>
      <c r="L282" s="18" t="str">
        <f>IF(OR(C282="",AND(H282&lt;&gt;"Contract signed",H282&lt;&gt;"Handed over")),"",IF(G282="",F282,G282)-N(K282))</f>
        <v/>
      </c>
      <c r="M282" s="19" t="str">
        <f>IF(L282="","",IFERROR(N(K282)/IF(G282="",F282,G282),0))</f>
        <v/>
      </c>
      <c r="N282" s="18" t="str">
        <f>IF(OR(C282="",N(E282)=0),"",IF(G282="",F282,G282)/E282)</f>
        <v/>
      </c>
      <c r="O282" s="20" t="n"/>
      <c r="P282" s="5" t="n"/>
      <c r="Q282" s="5" t="n"/>
    </row>
    <row r="283">
      <c r="A283" s="5" t="n"/>
      <c r="B283" s="13" t="n"/>
      <c r="C283" s="14" t="n"/>
      <c r="D283" s="15" t="n"/>
      <c r="E283" s="22" t="n"/>
      <c r="F283" s="21" t="n"/>
      <c r="G283" s="21" t="n"/>
      <c r="H283" s="5" t="n"/>
      <c r="I283" s="5" t="n"/>
      <c r="J283" s="14" t="n"/>
      <c r="K283" s="18" t="str">
        <f>IF(C283="","",SUMIF('Buyer payments'!$A$8:$A$507,C283,'Buyer payments'!$F$8:$F$507))</f>
        <v/>
      </c>
      <c r="L283" s="18" t="str">
        <f>IF(OR(C283="",AND(H283&lt;&gt;"Contract signed",H283&lt;&gt;"Handed over")),"",IF(G283="",F283,G283)-N(K283))</f>
        <v/>
      </c>
      <c r="M283" s="19" t="str">
        <f>IF(L283="","",IFERROR(N(K283)/IF(G283="",F283,G283),0))</f>
        <v/>
      </c>
      <c r="N283" s="18" t="str">
        <f>IF(OR(C283="",N(E283)=0),"",IF(G283="",F283,G283)/E283)</f>
        <v/>
      </c>
      <c r="O283" s="20" t="n"/>
      <c r="P283" s="5" t="n"/>
      <c r="Q283" s="5" t="n"/>
    </row>
    <row r="284">
      <c r="A284" s="5" t="n"/>
      <c r="B284" s="13" t="n"/>
      <c r="C284" s="14" t="n"/>
      <c r="D284" s="15" t="n"/>
      <c r="E284" s="22" t="n"/>
      <c r="F284" s="21" t="n"/>
      <c r="G284" s="21" t="n"/>
      <c r="H284" s="5" t="n"/>
      <c r="I284" s="5" t="n"/>
      <c r="J284" s="14" t="n"/>
      <c r="K284" s="18" t="str">
        <f>IF(C284="","",SUMIF('Buyer payments'!$A$8:$A$507,C284,'Buyer payments'!$F$8:$F$507))</f>
        <v/>
      </c>
      <c r="L284" s="18" t="str">
        <f>IF(OR(C284="",AND(H284&lt;&gt;"Contract signed",H284&lt;&gt;"Handed over")),"",IF(G284="",F284,G284)-N(K284))</f>
        <v/>
      </c>
      <c r="M284" s="19" t="str">
        <f>IF(L284="","",IFERROR(N(K284)/IF(G284="",F284,G284),0))</f>
        <v/>
      </c>
      <c r="N284" s="18" t="str">
        <f>IF(OR(C284="",N(E284)=0),"",IF(G284="",F284,G284)/E284)</f>
        <v/>
      </c>
      <c r="O284" s="20" t="n"/>
      <c r="P284" s="5" t="n"/>
      <c r="Q284" s="5" t="n"/>
    </row>
    <row r="285">
      <c r="A285" s="5" t="n"/>
      <c r="B285" s="13" t="n"/>
      <c r="C285" s="14" t="n"/>
      <c r="D285" s="15" t="n"/>
      <c r="E285" s="22" t="n"/>
      <c r="F285" s="21" t="n"/>
      <c r="G285" s="21" t="n"/>
      <c r="H285" s="5" t="n"/>
      <c r="I285" s="5" t="n"/>
      <c r="J285" s="14" t="n"/>
      <c r="K285" s="18" t="str">
        <f>IF(C285="","",SUMIF('Buyer payments'!$A$8:$A$507,C285,'Buyer payments'!$F$8:$F$507))</f>
        <v/>
      </c>
      <c r="L285" s="18" t="str">
        <f>IF(OR(C285="",AND(H285&lt;&gt;"Contract signed",H285&lt;&gt;"Handed over")),"",IF(G285="",F285,G285)-N(K285))</f>
        <v/>
      </c>
      <c r="M285" s="19" t="str">
        <f>IF(L285="","",IFERROR(N(K285)/IF(G285="",F285,G285),0))</f>
        <v/>
      </c>
      <c r="N285" s="18" t="str">
        <f>IF(OR(C285="",N(E285)=0),"",IF(G285="",F285,G285)/E285)</f>
        <v/>
      </c>
      <c r="O285" s="20" t="n"/>
      <c r="P285" s="5" t="n"/>
      <c r="Q285" s="5" t="n"/>
    </row>
    <row r="286">
      <c r="A286" s="5" t="n"/>
      <c r="B286" s="13" t="n"/>
      <c r="C286" s="14" t="n"/>
      <c r="D286" s="15" t="n"/>
      <c r="E286" s="22" t="n"/>
      <c r="F286" s="21" t="n"/>
      <c r="G286" s="21" t="n"/>
      <c r="H286" s="5" t="n"/>
      <c r="I286" s="5" t="n"/>
      <c r="J286" s="14" t="n"/>
      <c r="K286" s="18" t="str">
        <f>IF(C286="","",SUMIF('Buyer payments'!$A$8:$A$507,C286,'Buyer payments'!$F$8:$F$507))</f>
        <v/>
      </c>
      <c r="L286" s="18" t="str">
        <f>IF(OR(C286="",AND(H286&lt;&gt;"Contract signed",H286&lt;&gt;"Handed over")),"",IF(G286="",F286,G286)-N(K286))</f>
        <v/>
      </c>
      <c r="M286" s="19" t="str">
        <f>IF(L286="","",IFERROR(N(K286)/IF(G286="",F286,G286),0))</f>
        <v/>
      </c>
      <c r="N286" s="18" t="str">
        <f>IF(OR(C286="",N(E286)=0),"",IF(G286="",F286,G286)/E286)</f>
        <v/>
      </c>
      <c r="O286" s="20" t="n"/>
      <c r="P286" s="5" t="n"/>
      <c r="Q286" s="5" t="n"/>
    </row>
    <row r="287">
      <c r="A287" s="5" t="n"/>
      <c r="B287" s="13" t="n"/>
      <c r="C287" s="14" t="n"/>
      <c r="D287" s="15" t="n"/>
      <c r="E287" s="22" t="n"/>
      <c r="F287" s="21" t="n"/>
      <c r="G287" s="21" t="n"/>
      <c r="H287" s="5" t="n"/>
      <c r="I287" s="5" t="n"/>
      <c r="J287" s="14" t="n"/>
      <c r="K287" s="18" t="str">
        <f>IF(C287="","",SUMIF('Buyer payments'!$A$8:$A$507,C287,'Buyer payments'!$F$8:$F$507))</f>
        <v/>
      </c>
      <c r="L287" s="18" t="str">
        <f>IF(OR(C287="",AND(H287&lt;&gt;"Contract signed",H287&lt;&gt;"Handed over")),"",IF(G287="",F287,G287)-N(K287))</f>
        <v/>
      </c>
      <c r="M287" s="19" t="str">
        <f>IF(L287="","",IFERROR(N(K287)/IF(G287="",F287,G287),0))</f>
        <v/>
      </c>
      <c r="N287" s="18" t="str">
        <f>IF(OR(C287="",N(E287)=0),"",IF(G287="",F287,G287)/E287)</f>
        <v/>
      </c>
      <c r="O287" s="20" t="n"/>
      <c r="P287" s="5" t="n"/>
      <c r="Q287" s="5" t="n"/>
    </row>
    <row r="288">
      <c r="A288" s="5" t="n"/>
      <c r="B288" s="13" t="n"/>
      <c r="C288" s="14" t="n"/>
      <c r="D288" s="15" t="n"/>
      <c r="E288" s="22" t="n"/>
      <c r="F288" s="21" t="n"/>
      <c r="G288" s="21" t="n"/>
      <c r="H288" s="5" t="n"/>
      <c r="I288" s="5" t="n"/>
      <c r="J288" s="14" t="n"/>
      <c r="K288" s="18" t="str">
        <f>IF(C288="","",SUMIF('Buyer payments'!$A$8:$A$507,C288,'Buyer payments'!$F$8:$F$507))</f>
        <v/>
      </c>
      <c r="L288" s="18" t="str">
        <f>IF(OR(C288="",AND(H288&lt;&gt;"Contract signed",H288&lt;&gt;"Handed over")),"",IF(G288="",F288,G288)-N(K288))</f>
        <v/>
      </c>
      <c r="M288" s="19" t="str">
        <f>IF(L288="","",IFERROR(N(K288)/IF(G288="",F288,G288),0))</f>
        <v/>
      </c>
      <c r="N288" s="18" t="str">
        <f>IF(OR(C288="",N(E288)=0),"",IF(G288="",F288,G288)/E288)</f>
        <v/>
      </c>
      <c r="O288" s="20" t="n"/>
      <c r="P288" s="5" t="n"/>
      <c r="Q288" s="5" t="n"/>
    </row>
    <row r="289">
      <c r="A289" s="5" t="n"/>
      <c r="B289" s="13" t="n"/>
      <c r="C289" s="14" t="n"/>
      <c r="D289" s="15" t="n"/>
      <c r="E289" s="22" t="n"/>
      <c r="F289" s="21" t="n"/>
      <c r="G289" s="21" t="n"/>
      <c r="H289" s="5" t="n"/>
      <c r="I289" s="5" t="n"/>
      <c r="J289" s="14" t="n"/>
      <c r="K289" s="18" t="str">
        <f>IF(C289="","",SUMIF('Buyer payments'!$A$8:$A$507,C289,'Buyer payments'!$F$8:$F$507))</f>
        <v/>
      </c>
      <c r="L289" s="18" t="str">
        <f>IF(OR(C289="",AND(H289&lt;&gt;"Contract signed",H289&lt;&gt;"Handed over")),"",IF(G289="",F289,G289)-N(K289))</f>
        <v/>
      </c>
      <c r="M289" s="19" t="str">
        <f>IF(L289="","",IFERROR(N(K289)/IF(G289="",F289,G289),0))</f>
        <v/>
      </c>
      <c r="N289" s="18" t="str">
        <f>IF(OR(C289="",N(E289)=0),"",IF(G289="",F289,G289)/E289)</f>
        <v/>
      </c>
      <c r="O289" s="20" t="n"/>
      <c r="P289" s="5" t="n"/>
      <c r="Q289" s="5" t="n"/>
    </row>
    <row r="290">
      <c r="A290" s="5" t="n"/>
      <c r="B290" s="13" t="n"/>
      <c r="C290" s="14" t="n"/>
      <c r="D290" s="15" t="n"/>
      <c r="E290" s="22" t="n"/>
      <c r="F290" s="21" t="n"/>
      <c r="G290" s="21" t="n"/>
      <c r="H290" s="5" t="n"/>
      <c r="I290" s="5" t="n"/>
      <c r="J290" s="14" t="n"/>
      <c r="K290" s="18" t="str">
        <f>IF(C290="","",SUMIF('Buyer payments'!$A$8:$A$507,C290,'Buyer payments'!$F$8:$F$507))</f>
        <v/>
      </c>
      <c r="L290" s="18" t="str">
        <f>IF(OR(C290="",AND(H290&lt;&gt;"Contract signed",H290&lt;&gt;"Handed over")),"",IF(G290="",F290,G290)-N(K290))</f>
        <v/>
      </c>
      <c r="M290" s="19" t="str">
        <f>IF(L290="","",IFERROR(N(K290)/IF(G290="",F290,G290),0))</f>
        <v/>
      </c>
      <c r="N290" s="18" t="str">
        <f>IF(OR(C290="",N(E290)=0),"",IF(G290="",F290,G290)/E290)</f>
        <v/>
      </c>
      <c r="O290" s="20" t="n"/>
      <c r="P290" s="5" t="n"/>
      <c r="Q290" s="5" t="n"/>
    </row>
    <row r="291">
      <c r="A291" s="5" t="n"/>
      <c r="B291" s="13" t="n"/>
      <c r="C291" s="14" t="n"/>
      <c r="D291" s="15" t="n"/>
      <c r="E291" s="22" t="n"/>
      <c r="F291" s="21" t="n"/>
      <c r="G291" s="21" t="n"/>
      <c r="H291" s="5" t="n"/>
      <c r="I291" s="5" t="n"/>
      <c r="J291" s="14" t="n"/>
      <c r="K291" s="18" t="str">
        <f>IF(C291="","",SUMIF('Buyer payments'!$A$8:$A$507,C291,'Buyer payments'!$F$8:$F$507))</f>
        <v/>
      </c>
      <c r="L291" s="18" t="str">
        <f>IF(OR(C291="",AND(H291&lt;&gt;"Contract signed",H291&lt;&gt;"Handed over")),"",IF(G291="",F291,G291)-N(K291))</f>
        <v/>
      </c>
      <c r="M291" s="19" t="str">
        <f>IF(L291="","",IFERROR(N(K291)/IF(G291="",F291,G291),0))</f>
        <v/>
      </c>
      <c r="N291" s="18" t="str">
        <f>IF(OR(C291="",N(E291)=0),"",IF(G291="",F291,G291)/E291)</f>
        <v/>
      </c>
      <c r="O291" s="20" t="n"/>
      <c r="P291" s="5" t="n"/>
      <c r="Q291" s="5" t="n"/>
    </row>
    <row r="292">
      <c r="A292" s="5" t="n"/>
      <c r="B292" s="13" t="n"/>
      <c r="C292" s="14" t="n"/>
      <c r="D292" s="15" t="n"/>
      <c r="E292" s="22" t="n"/>
      <c r="F292" s="21" t="n"/>
      <c r="G292" s="21" t="n"/>
      <c r="H292" s="5" t="n"/>
      <c r="I292" s="5" t="n"/>
      <c r="J292" s="14" t="n"/>
      <c r="K292" s="18" t="str">
        <f>IF(C292="","",SUMIF('Buyer payments'!$A$8:$A$507,C292,'Buyer payments'!$F$8:$F$507))</f>
        <v/>
      </c>
      <c r="L292" s="18" t="str">
        <f>IF(OR(C292="",AND(H292&lt;&gt;"Contract signed",H292&lt;&gt;"Handed over")),"",IF(G292="",F292,G292)-N(K292))</f>
        <v/>
      </c>
      <c r="M292" s="19" t="str">
        <f>IF(L292="","",IFERROR(N(K292)/IF(G292="",F292,G292),0))</f>
        <v/>
      </c>
      <c r="N292" s="18" t="str">
        <f>IF(OR(C292="",N(E292)=0),"",IF(G292="",F292,G292)/E292)</f>
        <v/>
      </c>
      <c r="O292" s="20" t="n"/>
      <c r="P292" s="5" t="n"/>
      <c r="Q292" s="5" t="n"/>
    </row>
    <row r="293">
      <c r="A293" s="5" t="n"/>
      <c r="B293" s="13" t="n"/>
      <c r="C293" s="14" t="n"/>
      <c r="D293" s="15" t="n"/>
      <c r="E293" s="22" t="n"/>
      <c r="F293" s="21" t="n"/>
      <c r="G293" s="21" t="n"/>
      <c r="H293" s="5" t="n"/>
      <c r="I293" s="5" t="n"/>
      <c r="J293" s="14" t="n"/>
      <c r="K293" s="18" t="str">
        <f>IF(C293="","",SUMIF('Buyer payments'!$A$8:$A$507,C293,'Buyer payments'!$F$8:$F$507))</f>
        <v/>
      </c>
      <c r="L293" s="18" t="str">
        <f>IF(OR(C293="",AND(H293&lt;&gt;"Contract signed",H293&lt;&gt;"Handed over")),"",IF(G293="",F293,G293)-N(K293))</f>
        <v/>
      </c>
      <c r="M293" s="19" t="str">
        <f>IF(L293="","",IFERROR(N(K293)/IF(G293="",F293,G293),0))</f>
        <v/>
      </c>
      <c r="N293" s="18" t="str">
        <f>IF(OR(C293="",N(E293)=0),"",IF(G293="",F293,G293)/E293)</f>
        <v/>
      </c>
      <c r="O293" s="20" t="n"/>
      <c r="P293" s="5" t="n"/>
      <c r="Q293" s="5" t="n"/>
    </row>
    <row r="294">
      <c r="A294" s="5" t="n"/>
      <c r="B294" s="13" t="n"/>
      <c r="C294" s="14" t="n"/>
      <c r="D294" s="15" t="n"/>
      <c r="E294" s="22" t="n"/>
      <c r="F294" s="21" t="n"/>
      <c r="G294" s="21" t="n"/>
      <c r="H294" s="5" t="n"/>
      <c r="I294" s="5" t="n"/>
      <c r="J294" s="14" t="n"/>
      <c r="K294" s="18" t="str">
        <f>IF(C294="","",SUMIF('Buyer payments'!$A$8:$A$507,C294,'Buyer payments'!$F$8:$F$507))</f>
        <v/>
      </c>
      <c r="L294" s="18" t="str">
        <f>IF(OR(C294="",AND(H294&lt;&gt;"Contract signed",H294&lt;&gt;"Handed over")),"",IF(G294="",F294,G294)-N(K294))</f>
        <v/>
      </c>
      <c r="M294" s="19" t="str">
        <f>IF(L294="","",IFERROR(N(K294)/IF(G294="",F294,G294),0))</f>
        <v/>
      </c>
      <c r="N294" s="18" t="str">
        <f>IF(OR(C294="",N(E294)=0),"",IF(G294="",F294,G294)/E294)</f>
        <v/>
      </c>
      <c r="O294" s="20" t="n"/>
      <c r="P294" s="5" t="n"/>
      <c r="Q294" s="5" t="n"/>
    </row>
    <row r="295">
      <c r="A295" s="5" t="n"/>
      <c r="B295" s="13" t="n"/>
      <c r="C295" s="14" t="n"/>
      <c r="D295" s="15" t="n"/>
      <c r="E295" s="22" t="n"/>
      <c r="F295" s="21" t="n"/>
      <c r="G295" s="21" t="n"/>
      <c r="H295" s="5" t="n"/>
      <c r="I295" s="5" t="n"/>
      <c r="J295" s="14" t="n"/>
      <c r="K295" s="18" t="str">
        <f>IF(C295="","",SUMIF('Buyer payments'!$A$8:$A$507,C295,'Buyer payments'!$F$8:$F$507))</f>
        <v/>
      </c>
      <c r="L295" s="18" t="str">
        <f>IF(OR(C295="",AND(H295&lt;&gt;"Contract signed",H295&lt;&gt;"Handed over")),"",IF(G295="",F295,G295)-N(K295))</f>
        <v/>
      </c>
      <c r="M295" s="19" t="str">
        <f>IF(L295="","",IFERROR(N(K295)/IF(G295="",F295,G295),0))</f>
        <v/>
      </c>
      <c r="N295" s="18" t="str">
        <f>IF(OR(C295="",N(E295)=0),"",IF(G295="",F295,G295)/E295)</f>
        <v/>
      </c>
      <c r="O295" s="20" t="n"/>
      <c r="P295" s="5" t="n"/>
      <c r="Q295" s="5" t="n"/>
    </row>
    <row r="296">
      <c r="A296" s="5" t="n"/>
      <c r="B296" s="13" t="n"/>
      <c r="C296" s="14" t="n"/>
      <c r="D296" s="15" t="n"/>
      <c r="E296" s="22" t="n"/>
      <c r="F296" s="21" t="n"/>
      <c r="G296" s="21" t="n"/>
      <c r="H296" s="5" t="n"/>
      <c r="I296" s="5" t="n"/>
      <c r="J296" s="14" t="n"/>
      <c r="K296" s="18" t="str">
        <f>IF(C296="","",SUMIF('Buyer payments'!$A$8:$A$507,C296,'Buyer payments'!$F$8:$F$507))</f>
        <v/>
      </c>
      <c r="L296" s="18" t="str">
        <f>IF(OR(C296="",AND(H296&lt;&gt;"Contract signed",H296&lt;&gt;"Handed over")),"",IF(G296="",F296,G296)-N(K296))</f>
        <v/>
      </c>
      <c r="M296" s="19" t="str">
        <f>IF(L296="","",IFERROR(N(K296)/IF(G296="",F296,G296),0))</f>
        <v/>
      </c>
      <c r="N296" s="18" t="str">
        <f>IF(OR(C296="",N(E296)=0),"",IF(G296="",F296,G296)/E296)</f>
        <v/>
      </c>
      <c r="O296" s="20" t="n"/>
      <c r="P296" s="5" t="n"/>
      <c r="Q296" s="5" t="n"/>
    </row>
    <row r="297">
      <c r="A297" s="5" t="n"/>
      <c r="B297" s="13" t="n"/>
      <c r="C297" s="14" t="n"/>
      <c r="D297" s="15" t="n"/>
      <c r="E297" s="22" t="n"/>
      <c r="F297" s="21" t="n"/>
      <c r="G297" s="21" t="n"/>
      <c r="H297" s="5" t="n"/>
      <c r="I297" s="5" t="n"/>
      <c r="J297" s="14" t="n"/>
      <c r="K297" s="18" t="str">
        <f>IF(C297="","",SUMIF('Buyer payments'!$A$8:$A$507,C297,'Buyer payments'!$F$8:$F$507))</f>
        <v/>
      </c>
      <c r="L297" s="18" t="str">
        <f>IF(OR(C297="",AND(H297&lt;&gt;"Contract signed",H297&lt;&gt;"Handed over")),"",IF(G297="",F297,G297)-N(K297))</f>
        <v/>
      </c>
      <c r="M297" s="19" t="str">
        <f>IF(L297="","",IFERROR(N(K297)/IF(G297="",F297,G297),0))</f>
        <v/>
      </c>
      <c r="N297" s="18" t="str">
        <f>IF(OR(C297="",N(E297)=0),"",IF(G297="",F297,G297)/E297)</f>
        <v/>
      </c>
      <c r="O297" s="20" t="n"/>
      <c r="P297" s="5" t="n"/>
      <c r="Q297" s="5" t="n"/>
    </row>
    <row r="298">
      <c r="A298" s="5" t="n"/>
      <c r="B298" s="13" t="n"/>
      <c r="C298" s="14" t="n"/>
      <c r="D298" s="15" t="n"/>
      <c r="E298" s="22" t="n"/>
      <c r="F298" s="21" t="n"/>
      <c r="G298" s="21" t="n"/>
      <c r="H298" s="5" t="n"/>
      <c r="I298" s="5" t="n"/>
      <c r="J298" s="14" t="n"/>
      <c r="K298" s="18" t="str">
        <f>IF(C298="","",SUMIF('Buyer payments'!$A$8:$A$507,C298,'Buyer payments'!$F$8:$F$507))</f>
        <v/>
      </c>
      <c r="L298" s="18" t="str">
        <f>IF(OR(C298="",AND(H298&lt;&gt;"Contract signed",H298&lt;&gt;"Handed over")),"",IF(G298="",F298,G298)-N(K298))</f>
        <v/>
      </c>
      <c r="M298" s="19" t="str">
        <f>IF(L298="","",IFERROR(N(K298)/IF(G298="",F298,G298),0))</f>
        <v/>
      </c>
      <c r="N298" s="18" t="str">
        <f>IF(OR(C298="",N(E298)=0),"",IF(G298="",F298,G298)/E298)</f>
        <v/>
      </c>
      <c r="O298" s="20" t="n"/>
      <c r="P298" s="5" t="n"/>
      <c r="Q298" s="5" t="n"/>
    </row>
    <row r="299">
      <c r="A299" s="5" t="n"/>
      <c r="B299" s="13" t="n"/>
      <c r="C299" s="14" t="n"/>
      <c r="D299" s="15" t="n"/>
      <c r="E299" s="22" t="n"/>
      <c r="F299" s="21" t="n"/>
      <c r="G299" s="21" t="n"/>
      <c r="H299" s="5" t="n"/>
      <c r="I299" s="5" t="n"/>
      <c r="J299" s="14" t="n"/>
      <c r="K299" s="18" t="str">
        <f>IF(C299="","",SUMIF('Buyer payments'!$A$8:$A$507,C299,'Buyer payments'!$F$8:$F$507))</f>
        <v/>
      </c>
      <c r="L299" s="18" t="str">
        <f>IF(OR(C299="",AND(H299&lt;&gt;"Contract signed",H299&lt;&gt;"Handed over")),"",IF(G299="",F299,G299)-N(K299))</f>
        <v/>
      </c>
      <c r="M299" s="19" t="str">
        <f>IF(L299="","",IFERROR(N(K299)/IF(G299="",F299,G299),0))</f>
        <v/>
      </c>
      <c r="N299" s="18" t="str">
        <f>IF(OR(C299="",N(E299)=0),"",IF(G299="",F299,G299)/E299)</f>
        <v/>
      </c>
      <c r="O299" s="20" t="n"/>
      <c r="P299" s="5" t="n"/>
      <c r="Q299" s="5" t="n"/>
    </row>
    <row r="300">
      <c r="A300" s="5" t="n"/>
      <c r="B300" s="13" t="n"/>
      <c r="C300" s="14" t="n"/>
      <c r="D300" s="15" t="n"/>
      <c r="E300" s="22" t="n"/>
      <c r="F300" s="21" t="n"/>
      <c r="G300" s="21" t="n"/>
      <c r="H300" s="5" t="n"/>
      <c r="I300" s="5" t="n"/>
      <c r="J300" s="14" t="n"/>
      <c r="K300" s="18" t="str">
        <f>IF(C300="","",SUMIF('Buyer payments'!$A$8:$A$507,C300,'Buyer payments'!$F$8:$F$507))</f>
        <v/>
      </c>
      <c r="L300" s="18" t="str">
        <f>IF(OR(C300="",AND(H300&lt;&gt;"Contract signed",H300&lt;&gt;"Handed over")),"",IF(G300="",F300,G300)-N(K300))</f>
        <v/>
      </c>
      <c r="M300" s="19" t="str">
        <f>IF(L300="","",IFERROR(N(K300)/IF(G300="",F300,G300),0))</f>
        <v/>
      </c>
      <c r="N300" s="18" t="str">
        <f>IF(OR(C300="",N(E300)=0),"",IF(G300="",F300,G300)/E300)</f>
        <v/>
      </c>
      <c r="O300" s="20" t="n"/>
      <c r="P300" s="5" t="n"/>
      <c r="Q300" s="5" t="n"/>
    </row>
    <row r="301">
      <c r="A301" s="5" t="n"/>
      <c r="B301" s="13" t="n"/>
      <c r="C301" s="14" t="n"/>
      <c r="D301" s="15" t="n"/>
      <c r="E301" s="22" t="n"/>
      <c r="F301" s="21" t="n"/>
      <c r="G301" s="21" t="n"/>
      <c r="H301" s="5" t="n"/>
      <c r="I301" s="5" t="n"/>
      <c r="J301" s="14" t="n"/>
      <c r="K301" s="18" t="str">
        <f>IF(C301="","",SUMIF('Buyer payments'!$A$8:$A$507,C301,'Buyer payments'!$F$8:$F$507))</f>
        <v/>
      </c>
      <c r="L301" s="18" t="str">
        <f>IF(OR(C301="",AND(H301&lt;&gt;"Contract signed",H301&lt;&gt;"Handed over")),"",IF(G301="",F301,G301)-N(K301))</f>
        <v/>
      </c>
      <c r="M301" s="19" t="str">
        <f>IF(L301="","",IFERROR(N(K301)/IF(G301="",F301,G301),0))</f>
        <v/>
      </c>
      <c r="N301" s="18" t="str">
        <f>IF(OR(C301="",N(E301)=0),"",IF(G301="",F301,G301)/E301)</f>
        <v/>
      </c>
      <c r="O301" s="20" t="n"/>
      <c r="P301" s="5" t="n"/>
      <c r="Q301" s="5" t="n"/>
    </row>
    <row r="302">
      <c r="A302" s="5" t="n"/>
      <c r="B302" s="13" t="n"/>
      <c r="C302" s="14" t="n"/>
      <c r="D302" s="15" t="n"/>
      <c r="E302" s="22" t="n"/>
      <c r="F302" s="21" t="n"/>
      <c r="G302" s="21" t="n"/>
      <c r="H302" s="5" t="n"/>
      <c r="I302" s="5" t="n"/>
      <c r="J302" s="14" t="n"/>
      <c r="K302" s="18" t="str">
        <f>IF(C302="","",SUMIF('Buyer payments'!$A$8:$A$507,C302,'Buyer payments'!$F$8:$F$507))</f>
        <v/>
      </c>
      <c r="L302" s="18" t="str">
        <f>IF(OR(C302="",AND(H302&lt;&gt;"Contract signed",H302&lt;&gt;"Handed over")),"",IF(G302="",F302,G302)-N(K302))</f>
        <v/>
      </c>
      <c r="M302" s="19" t="str">
        <f>IF(L302="","",IFERROR(N(K302)/IF(G302="",F302,G302),0))</f>
        <v/>
      </c>
      <c r="N302" s="18" t="str">
        <f>IF(OR(C302="",N(E302)=0),"",IF(G302="",F302,G302)/E302)</f>
        <v/>
      </c>
      <c r="O302" s="20" t="n"/>
      <c r="P302" s="5" t="n"/>
      <c r="Q302" s="5" t="n"/>
    </row>
    <row r="303">
      <c r="A303" s="5" t="n"/>
      <c r="B303" s="13" t="n"/>
      <c r="C303" s="14" t="n"/>
      <c r="D303" s="15" t="n"/>
      <c r="E303" s="22" t="n"/>
      <c r="F303" s="21" t="n"/>
      <c r="G303" s="21" t="n"/>
      <c r="H303" s="5" t="n"/>
      <c r="I303" s="5" t="n"/>
      <c r="J303" s="14" t="n"/>
      <c r="K303" s="18" t="str">
        <f>IF(C303="","",SUMIF('Buyer payments'!$A$8:$A$507,C303,'Buyer payments'!$F$8:$F$507))</f>
        <v/>
      </c>
      <c r="L303" s="18" t="str">
        <f>IF(OR(C303="",AND(H303&lt;&gt;"Contract signed",H303&lt;&gt;"Handed over")),"",IF(G303="",F303,G303)-N(K303))</f>
        <v/>
      </c>
      <c r="M303" s="19" t="str">
        <f>IF(L303="","",IFERROR(N(K303)/IF(G303="",F303,G303),0))</f>
        <v/>
      </c>
      <c r="N303" s="18" t="str">
        <f>IF(OR(C303="",N(E303)=0),"",IF(G303="",F303,G303)/E303)</f>
        <v/>
      </c>
      <c r="O303" s="20" t="n"/>
      <c r="P303" s="5" t="n"/>
      <c r="Q303" s="5" t="n"/>
    </row>
    <row r="304">
      <c r="A304" s="5" t="n"/>
      <c r="B304" s="13" t="n"/>
      <c r="C304" s="14" t="n"/>
      <c r="D304" s="15" t="n"/>
      <c r="E304" s="22" t="n"/>
      <c r="F304" s="21" t="n"/>
      <c r="G304" s="21" t="n"/>
      <c r="H304" s="5" t="n"/>
      <c r="I304" s="5" t="n"/>
      <c r="J304" s="14" t="n"/>
      <c r="K304" s="18" t="str">
        <f>IF(C304="","",SUMIF('Buyer payments'!$A$8:$A$507,C304,'Buyer payments'!$F$8:$F$507))</f>
        <v/>
      </c>
      <c r="L304" s="18" t="str">
        <f>IF(OR(C304="",AND(H304&lt;&gt;"Contract signed",H304&lt;&gt;"Handed over")),"",IF(G304="",F304,G304)-N(K304))</f>
        <v/>
      </c>
      <c r="M304" s="19" t="str">
        <f>IF(L304="","",IFERROR(N(K304)/IF(G304="",F304,G304),0))</f>
        <v/>
      </c>
      <c r="N304" s="18" t="str">
        <f>IF(OR(C304="",N(E304)=0),"",IF(G304="",F304,G304)/E304)</f>
        <v/>
      </c>
      <c r="O304" s="20" t="n"/>
      <c r="P304" s="5" t="n"/>
      <c r="Q304" s="5" t="n"/>
    </row>
    <row r="305">
      <c r="A305" s="5" t="n"/>
      <c r="B305" s="13" t="n"/>
      <c r="C305" s="14" t="n"/>
      <c r="D305" s="15" t="n"/>
      <c r="E305" s="22" t="n"/>
      <c r="F305" s="21" t="n"/>
      <c r="G305" s="21" t="n"/>
      <c r="H305" s="5" t="n"/>
      <c r="I305" s="5" t="n"/>
      <c r="J305" s="14" t="n"/>
      <c r="K305" s="18" t="str">
        <f>IF(C305="","",SUMIF('Buyer payments'!$A$8:$A$507,C305,'Buyer payments'!$F$8:$F$507))</f>
        <v/>
      </c>
      <c r="L305" s="18" t="str">
        <f>IF(OR(C305="",AND(H305&lt;&gt;"Contract signed",H305&lt;&gt;"Handed over")),"",IF(G305="",F305,G305)-N(K305))</f>
        <v/>
      </c>
      <c r="M305" s="19" t="str">
        <f>IF(L305="","",IFERROR(N(K305)/IF(G305="",F305,G305),0))</f>
        <v/>
      </c>
      <c r="N305" s="18" t="str">
        <f>IF(OR(C305="",N(E305)=0),"",IF(G305="",F305,G305)/E305)</f>
        <v/>
      </c>
      <c r="O305" s="20" t="n"/>
      <c r="P305" s="5" t="n"/>
      <c r="Q305" s="5" t="n"/>
    </row>
    <row r="306">
      <c r="A306" s="5" t="n"/>
      <c r="B306" s="13" t="n"/>
      <c r="C306" s="14" t="n"/>
      <c r="D306" s="15" t="n"/>
      <c r="E306" s="22" t="n"/>
      <c r="F306" s="21" t="n"/>
      <c r="G306" s="21" t="n"/>
      <c r="H306" s="5" t="n"/>
      <c r="I306" s="5" t="n"/>
      <c r="J306" s="14" t="n"/>
      <c r="K306" s="18" t="str">
        <f>IF(C306="","",SUMIF('Buyer payments'!$A$8:$A$507,C306,'Buyer payments'!$F$8:$F$507))</f>
        <v/>
      </c>
      <c r="L306" s="18" t="str">
        <f>IF(OR(C306="",AND(H306&lt;&gt;"Contract signed",H306&lt;&gt;"Handed over")),"",IF(G306="",F306,G306)-N(K306))</f>
        <v/>
      </c>
      <c r="M306" s="19" t="str">
        <f>IF(L306="","",IFERROR(N(K306)/IF(G306="",F306,G306),0))</f>
        <v/>
      </c>
      <c r="N306" s="18" t="str">
        <f>IF(OR(C306="",N(E306)=0),"",IF(G306="",F306,G306)/E306)</f>
        <v/>
      </c>
      <c r="O306" s="20" t="n"/>
      <c r="P306" s="5" t="n"/>
      <c r="Q306" s="5" t="n"/>
    </row>
    <row r="307">
      <c r="A307" s="5" t="n"/>
      <c r="B307" s="13" t="n"/>
      <c r="C307" s="14" t="n"/>
      <c r="D307" s="15" t="n"/>
      <c r="E307" s="22" t="n"/>
      <c r="F307" s="21" t="n"/>
      <c r="G307" s="21" t="n"/>
      <c r="H307" s="5" t="n"/>
      <c r="I307" s="5" t="n"/>
      <c r="J307" s="14" t="n"/>
      <c r="K307" s="18" t="str">
        <f>IF(C307="","",SUMIF('Buyer payments'!$A$8:$A$507,C307,'Buyer payments'!$F$8:$F$507))</f>
        <v/>
      </c>
      <c r="L307" s="18" t="str">
        <f>IF(OR(C307="",AND(H307&lt;&gt;"Contract signed",H307&lt;&gt;"Handed over")),"",IF(G307="",F307,G307)-N(K307))</f>
        <v/>
      </c>
      <c r="M307" s="19" t="str">
        <f>IF(L307="","",IFERROR(N(K307)/IF(G307="",F307,G307),0))</f>
        <v/>
      </c>
      <c r="N307" s="18" t="str">
        <f>IF(OR(C307="",N(E307)=0),"",IF(G307="",F307,G307)/E307)</f>
        <v/>
      </c>
      <c r="O307" s="20" t="n"/>
      <c r="P307" s="5" t="n"/>
      <c r="Q307" s="5" t="n"/>
    </row>
    <row r="308">
      <c r="A308" s="5" t="n"/>
      <c r="B308" s="13" t="n"/>
      <c r="C308" s="14" t="n"/>
      <c r="D308" s="15" t="n"/>
      <c r="E308" s="22" t="n"/>
      <c r="F308" s="21" t="n"/>
      <c r="G308" s="21" t="n"/>
      <c r="H308" s="5" t="n"/>
      <c r="I308" s="5" t="n"/>
      <c r="J308" s="14" t="n"/>
      <c r="K308" s="18" t="str">
        <f>IF(C308="","",SUMIF('Buyer payments'!$A$8:$A$507,C308,'Buyer payments'!$F$8:$F$507))</f>
        <v/>
      </c>
      <c r="L308" s="18" t="str">
        <f>IF(OR(C308="",AND(H308&lt;&gt;"Contract signed",H308&lt;&gt;"Handed over")),"",IF(G308="",F308,G308)-N(K308))</f>
        <v/>
      </c>
      <c r="M308" s="19" t="str">
        <f>IF(L308="","",IFERROR(N(K308)/IF(G308="",F308,G308),0))</f>
        <v/>
      </c>
      <c r="N308" s="18" t="str">
        <f>IF(OR(C308="",N(E308)=0),"",IF(G308="",F308,G308)/E308)</f>
        <v/>
      </c>
      <c r="O308" s="20" t="n"/>
      <c r="P308" s="5" t="n"/>
      <c r="Q308" s="5" t="n"/>
    </row>
    <row r="309">
      <c r="A309" s="5" t="n"/>
      <c r="B309" s="13" t="n"/>
      <c r="C309" s="14" t="n"/>
      <c r="D309" s="15" t="n"/>
      <c r="E309" s="22" t="n"/>
      <c r="F309" s="21" t="n"/>
      <c r="G309" s="21" t="n"/>
      <c r="H309" s="5" t="n"/>
      <c r="I309" s="5" t="n"/>
      <c r="J309" s="14" t="n"/>
      <c r="K309" s="18" t="str">
        <f>IF(C309="","",SUMIF('Buyer payments'!$A$8:$A$507,C309,'Buyer payments'!$F$8:$F$507))</f>
        <v/>
      </c>
      <c r="L309" s="18" t="str">
        <f>IF(OR(C309="",AND(H309&lt;&gt;"Contract signed",H309&lt;&gt;"Handed over")),"",IF(G309="",F309,G309)-N(K309))</f>
        <v/>
      </c>
      <c r="M309" s="19" t="str">
        <f>IF(L309="","",IFERROR(N(K309)/IF(G309="",F309,G309),0))</f>
        <v/>
      </c>
      <c r="N309" s="18" t="str">
        <f>IF(OR(C309="",N(E309)=0),"",IF(G309="",F309,G309)/E309)</f>
        <v/>
      </c>
      <c r="O309" s="20" t="n"/>
      <c r="P309" s="5" t="n"/>
      <c r="Q309" s="5" t="n"/>
    </row>
    <row r="310">
      <c r="A310" s="5" t="n"/>
      <c r="B310" s="13" t="n"/>
      <c r="C310" s="14" t="n"/>
      <c r="D310" s="15" t="n"/>
      <c r="E310" s="22" t="n"/>
      <c r="F310" s="21" t="n"/>
      <c r="G310" s="21" t="n"/>
      <c r="H310" s="5" t="n"/>
      <c r="I310" s="5" t="n"/>
      <c r="J310" s="14" t="n"/>
      <c r="K310" s="18" t="str">
        <f>IF(C310="","",SUMIF('Buyer payments'!$A$8:$A$507,C310,'Buyer payments'!$F$8:$F$507))</f>
        <v/>
      </c>
      <c r="L310" s="18" t="str">
        <f>IF(OR(C310="",AND(H310&lt;&gt;"Contract signed",H310&lt;&gt;"Handed over")),"",IF(G310="",F310,G310)-N(K310))</f>
        <v/>
      </c>
      <c r="M310" s="19" t="str">
        <f>IF(L310="","",IFERROR(N(K310)/IF(G310="",F310,G310),0))</f>
        <v/>
      </c>
      <c r="N310" s="18" t="str">
        <f>IF(OR(C310="",N(E310)=0),"",IF(G310="",F310,G310)/E310)</f>
        <v/>
      </c>
      <c r="O310" s="20" t="n"/>
      <c r="P310" s="5" t="n"/>
      <c r="Q310" s="5" t="n"/>
    </row>
    <row r="311">
      <c r="A311" s="5" t="n"/>
      <c r="B311" s="13" t="n"/>
      <c r="C311" s="14" t="n"/>
      <c r="D311" s="15" t="n"/>
      <c r="E311" s="22" t="n"/>
      <c r="F311" s="21" t="n"/>
      <c r="G311" s="21" t="n"/>
      <c r="H311" s="5" t="n"/>
      <c r="I311" s="5" t="n"/>
      <c r="J311" s="14" t="n"/>
      <c r="K311" s="18" t="str">
        <f>IF(C311="","",SUMIF('Buyer payments'!$A$8:$A$507,C311,'Buyer payments'!$F$8:$F$507))</f>
        <v/>
      </c>
      <c r="L311" s="18" t="str">
        <f>IF(OR(C311="",AND(H311&lt;&gt;"Contract signed",H311&lt;&gt;"Handed over")),"",IF(G311="",F311,G311)-N(K311))</f>
        <v/>
      </c>
      <c r="M311" s="19" t="str">
        <f>IF(L311="","",IFERROR(N(K311)/IF(G311="",F311,G311),0))</f>
        <v/>
      </c>
      <c r="N311" s="18" t="str">
        <f>IF(OR(C311="",N(E311)=0),"",IF(G311="",F311,G311)/E311)</f>
        <v/>
      </c>
      <c r="O311" s="20" t="n"/>
      <c r="P311" s="5" t="n"/>
      <c r="Q311" s="5" t="n"/>
    </row>
  </sheetData>
  <mergeCells count="3">
    <mergeCell ref="A2:Q2"/>
    <mergeCell ref="A1:Q1"/>
    <mergeCell ref="B4:D4"/>
  </mergeCells>
  <conditionalFormatting sqref="H12:H311">
    <cfRule type="expression" priority="1" dxfId="0">
      <formula>H12="Available"</formula>
    </cfRule>
    <cfRule type="expression" priority="2" dxfId="1">
      <formula>H12="Reserved"</formula>
    </cfRule>
    <cfRule type="expression" priority="3" dxfId="2">
      <formula>H12="Contract signed"</formula>
    </cfRule>
    <cfRule type="expression" priority="4" dxfId="3">
      <formula>H12="Handed over"</formula>
    </cfRule>
  </conditionalFormatting>
  <conditionalFormatting sqref="M12:M311">
    <cfRule type="dataBar" priority="5">
      <dataBar>
        <cfvo type="num" val="0"/>
        <cfvo type="num" val="1"/>
        <color rgb="005B9B87"/>
      </dataBar>
    </cfRule>
  </conditionalFormatting>
  <dataValidations count="2">
    <dataValidation sqref="H12:H311" showDropDown="0" showInputMessage="0" showErrorMessage="0" allowBlank="1" errorTitle="Not in the list" error="Pick from the list (you can edit it on the Lists sheet)" type="list" errorStyle="warning">
      <formula1>=AptStatus</formula1>
    </dataValidation>
    <dataValidation sqref="E12:G311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I507"/>
  <sheetViews>
    <sheetView showGridLines="0" rightToLeft="0" zoomScale="100" workbookViewId="0">
      <pane xSplit="1" ySplit="7" topLeftCell="B8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14" customWidth="1" min="4" max="4"/>
    <col width="15" customWidth="1" min="5" max="5"/>
    <col width="15" customWidth="1" min="6" max="6"/>
    <col width="14" customWidth="1" min="7" max="7"/>
    <col width="13" customWidth="1" min="8" max="8"/>
    <col width="26" customWidth="1" min="9" max="9"/>
  </cols>
  <sheetData>
    <row r="1" ht="34" customHeight="1">
      <c r="A1" s="1" t="inlineStr">
        <is>
          <t>Buyer payments by stage</t>
        </is>
      </c>
      <c r="B1" s="2" t="n"/>
      <c r="C1" s="2" t="n"/>
      <c r="D1" s="2" t="n"/>
      <c r="E1" s="2" t="n"/>
      <c r="F1" s="2" t="n"/>
      <c r="G1" s="2" t="n"/>
      <c r="H1" s="2" t="n"/>
      <c r="I1" s="2" t="n"/>
    </row>
    <row r="2" ht="30" customHeight="1">
      <c r="A2" s="3" t="inlineStr">
        <is>
          <t>One row per payment: unit number, stage, due date and amount per the contract, and what was actually paid. The buyer's name comes from the units sheet; an overdue unpaid payment turns red.</t>
        </is>
      </c>
    </row>
    <row r="4">
      <c r="A4" s="8" t="inlineStr">
        <is>
          <t>Total due per contracts</t>
        </is>
      </c>
      <c r="B4" s="10">
        <f>SUM($E$8:$E$507)</f>
        <v>7115000</v>
      </c>
      <c r="D4" s="8" t="inlineStr">
        <is>
          <t>Overdue</t>
        </is>
      </c>
      <c r="E4" s="10">
        <f>SUMPRODUCT(($D$8:$D$507&lt;&gt;"")*($D$8:$D$507&lt;TODAY())*($E$8:$E$507-$F$8:$F$507&gt;0)*($E$8:$E$507-$F$8:$F$507))</f>
        <v>287000</v>
      </c>
    </row>
    <row r="5">
      <c r="A5" s="8" t="inlineStr">
        <is>
          <t>Collected</t>
        </is>
      </c>
      <c r="B5" s="10">
        <f>SUM($F$8:$F$507)</f>
        <v>4828000</v>
      </c>
      <c r="D5" s="8" t="inlineStr">
        <is>
          <t>Due in the next 30 days</t>
        </is>
      </c>
      <c r="E5" s="10">
        <f>SUMPRODUCT(($D$8:$D$507&gt;=TODAY())*($D$8:$D$507&lt;=TODAY()+30)*($E$8:$E$507-$F$8:$F$507&gt;0)*($E$8:$E$507-$F$8:$F$507))</f>
        <v>855000</v>
      </c>
    </row>
    <row r="7" ht="32" customHeight="1">
      <c r="A7" s="12" t="inlineStr">
        <is>
          <t>Unit no.</t>
        </is>
      </c>
      <c r="B7" s="12" t="inlineStr">
        <is>
          <t>Buyer</t>
        </is>
      </c>
      <c r="C7" s="12" t="inlineStr">
        <is>
          <t>Stage</t>
        </is>
      </c>
      <c r="D7" s="12" t="inlineStr">
        <is>
          <t>Due date</t>
        </is>
      </c>
      <c r="E7" s="12" t="inlineStr">
        <is>
          <t>Amount due</t>
        </is>
      </c>
      <c r="F7" s="12" t="inlineStr">
        <is>
          <t>Paid</t>
        </is>
      </c>
      <c r="G7" s="12" t="inlineStr">
        <is>
          <t>Paid on</t>
        </is>
      </c>
      <c r="H7" s="12" t="inlineStr">
        <is>
          <t>Status</t>
        </is>
      </c>
      <c r="I7" s="12" t="inlineStr">
        <is>
          <t>Notes (indexation, reference...)</t>
        </is>
      </c>
    </row>
    <row r="8">
      <c r="A8" s="14" t="inlineStr">
        <is>
          <t>A-1</t>
        </is>
      </c>
      <c r="B8" s="23" t="str">
        <f>IF(A8="","",IFERROR(INDEX('Units &amp; sales'!$I$12:$I$311,MATCH(A8,'Units &amp; sales'!$C$12:$C$311,0))&amp;"",""))</f>
        <v>Cohen family</v>
      </c>
      <c r="C8" s="5" t="inlineStr">
        <is>
          <t>Deposit at signing</t>
        </is>
      </c>
      <c r="D8" s="20" t="n">
        <v>46109</v>
      </c>
      <c r="E8" s="17" t="n">
        <v>458000</v>
      </c>
      <c r="F8" s="17" t="n">
        <v>458000</v>
      </c>
      <c r="G8" s="20" t="n">
        <v>46109</v>
      </c>
      <c r="H8" s="24" t="str">
        <f>IF(E8="","",IF(N(F8)&gt;=E8,"Paid",IF(AND(D8&lt;&gt;"",D8&lt;TODAY()),"Overdue",IF(N(F8)&gt;0,"Part paid","Upcoming"))))</f>
        <v>Paid</v>
      </c>
      <c r="I8" s="5" t="n"/>
    </row>
    <row r="9">
      <c r="A9" s="14" t="inlineStr">
        <is>
          <t>A-1</t>
        </is>
      </c>
      <c r="B9" s="23" t="str">
        <f>IF(A9="","",IFERROR(INDEX('Units &amp; sales'!$I$12:$I$311,MATCH(A9,'Units &amp; sales'!$C$12:$C$311,0))&amp;"",""))</f>
        <v>Cohen family</v>
      </c>
      <c r="C9" s="5" t="inlineStr">
        <is>
          <t>Frame done</t>
        </is>
      </c>
      <c r="D9" s="20" t="n">
        <v>46289</v>
      </c>
      <c r="E9" s="17" t="n">
        <v>687000</v>
      </c>
      <c r="F9" s="17" t="n">
        <v>400000</v>
      </c>
      <c r="G9" s="20" t="n">
        <v>46294</v>
      </c>
      <c r="H9" s="24" t="str">
        <f>IF(E9="","",IF(N(F9)&gt;=E9,"Paid",IF(AND(D9&lt;&gt;"",D9&lt;TODAY()),"Overdue",IF(N(F9)&gt;0,"Part paid","Upcoming"))))</f>
        <v>Overdue</v>
      </c>
      <c r="I9" s="5" t="n"/>
    </row>
    <row r="10">
      <c r="A10" s="14" t="inlineStr">
        <is>
          <t>A-1</t>
        </is>
      </c>
      <c r="B10" s="23" t="str">
        <f>IF(A10="","",IFERROR(INDEX('Units &amp; sales'!$I$12:$I$311,MATCH(A10,'Units &amp; sales'!$C$12:$C$311,0))&amp;"",""))</f>
        <v>Cohen family</v>
      </c>
      <c r="C10" s="5" t="inlineStr">
        <is>
          <t>Key handover</t>
        </is>
      </c>
      <c r="D10" s="20" t="n">
        <v>46609</v>
      </c>
      <c r="E10" s="17" t="n">
        <v>1145000</v>
      </c>
      <c r="F10" s="21" t="n"/>
      <c r="G10" s="20" t="n"/>
      <c r="H10" s="24" t="str">
        <f>IF(E10="","",IF(N(F10)&gt;=E10,"Paid",IF(AND(D10&lt;&gt;"",D10&lt;TODAY()),"Overdue",IF(N(F10)&gt;0,"Part paid","Upcoming"))))</f>
        <v>Upcoming</v>
      </c>
      <c r="I10" s="5" t="n"/>
    </row>
    <row r="11">
      <c r="A11" s="14" t="inlineStr">
        <is>
          <t>A-3</t>
        </is>
      </c>
      <c r="B11" s="23" t="str">
        <f>IF(A11="","",IFERROR(INDEX('Units &amp; sales'!$I$12:$I$311,MATCH(A11,'Units &amp; sales'!$C$12:$C$311,0))&amp;"",""))</f>
        <v>Yossi &amp; Michal Avraham</v>
      </c>
      <c r="C11" s="5" t="inlineStr">
        <is>
          <t>Deposit at signing</t>
        </is>
      </c>
      <c r="D11" s="20" t="n">
        <v>46189</v>
      </c>
      <c r="E11" s="17" t="n">
        <v>570000</v>
      </c>
      <c r="F11" s="17" t="n">
        <v>570000</v>
      </c>
      <c r="G11" s="20" t="n">
        <v>46191</v>
      </c>
      <c r="H11" s="24" t="str">
        <f>IF(E11="","",IF(N(F11)&gt;=E11,"Paid",IF(AND(D11&lt;&gt;"",D11&lt;TODAY()),"Overdue",IF(N(F11)&gt;0,"Part paid","Upcoming"))))</f>
        <v>Paid</v>
      </c>
      <c r="I11" s="5" t="n"/>
    </row>
    <row r="12">
      <c r="A12" s="14" t="inlineStr">
        <is>
          <t>A-3</t>
        </is>
      </c>
      <c r="B12" s="23" t="str">
        <f>IF(A12="","",IFERROR(INDEX('Units &amp; sales'!$I$12:$I$311,MATCH(A12,'Units &amp; sales'!$C$12:$C$311,0))&amp;"",""))</f>
        <v>Yossi &amp; Michal Avraham</v>
      </c>
      <c r="C12" s="5" t="inlineStr">
        <is>
          <t>Frame done</t>
        </is>
      </c>
      <c r="D12" s="20" t="n">
        <v>46329</v>
      </c>
      <c r="E12" s="17" t="n">
        <v>855000</v>
      </c>
      <c r="F12" s="21" t="n"/>
      <c r="G12" s="20" t="n"/>
      <c r="H12" s="24" t="str">
        <f>IF(E12="","",IF(N(F12)&gt;=E12,"Paid",IF(AND(D12&lt;&gt;"",D12&lt;TODAY()),"Overdue",IF(N(F12)&gt;0,"Part paid","Upcoming"))))</f>
        <v>Upcoming</v>
      </c>
      <c r="I12" s="5" t="n"/>
    </row>
    <row r="13">
      <c r="A13" s="14" t="inlineStr">
        <is>
          <t>A-6</t>
        </is>
      </c>
      <c r="B13" s="23" t="str">
        <f>IF(A13="","",IFERROR(INDEX('Units &amp; sales'!$I$12:$I$311,MATCH(A13,'Units &amp; sales'!$C$12:$C$311,0))&amp;"",""))</f>
        <v>Ron Golan</v>
      </c>
      <c r="C13" s="5" t="inlineStr">
        <is>
          <t>Deposit at signing</t>
        </is>
      </c>
      <c r="D13" s="20" t="n">
        <v>45609</v>
      </c>
      <c r="E13" s="17" t="n">
        <v>3400000</v>
      </c>
      <c r="F13" s="17" t="n">
        <v>3400000</v>
      </c>
      <c r="G13" s="20" t="n">
        <v>45619</v>
      </c>
      <c r="H13" s="24" t="str">
        <f>IF(E13="","",IF(N(F13)&gt;=E13,"Paid",IF(AND(D13&lt;&gt;"",D13&lt;TODAY()),"Overdue",IF(N(F13)&gt;0,"Part paid","Upcoming"))))</f>
        <v>Paid</v>
      </c>
      <c r="I13" s="5" t="n"/>
    </row>
    <row r="14">
      <c r="A14" s="14" t="n"/>
      <c r="B14" s="23" t="str">
        <f>IF(A14="","",IFERROR(INDEX('Units &amp; sales'!$I$12:$I$311,MATCH(A14,'Units &amp; sales'!$C$12:$C$311,0))&amp;"",""))</f>
        <v/>
      </c>
      <c r="C14" s="5" t="n"/>
      <c r="D14" s="20" t="n"/>
      <c r="E14" s="21" t="n"/>
      <c r="F14" s="21" t="n"/>
      <c r="G14" s="20" t="n"/>
      <c r="H14" s="24" t="str">
        <f>IF(E14="","",IF(N(F14)&gt;=E14,"Paid",IF(AND(D14&lt;&gt;"",D14&lt;TODAY()),"Overdue",IF(N(F14)&gt;0,"Part paid","Upcoming"))))</f>
        <v/>
      </c>
      <c r="I14" s="5" t="n"/>
    </row>
    <row r="15">
      <c r="A15" s="14" t="n"/>
      <c r="B15" s="23" t="str">
        <f>IF(A15="","",IFERROR(INDEX('Units &amp; sales'!$I$12:$I$311,MATCH(A15,'Units &amp; sales'!$C$12:$C$311,0))&amp;"",""))</f>
        <v/>
      </c>
      <c r="C15" s="5" t="n"/>
      <c r="D15" s="20" t="n"/>
      <c r="E15" s="21" t="n"/>
      <c r="F15" s="21" t="n"/>
      <c r="G15" s="20" t="n"/>
      <c r="H15" s="24" t="str">
        <f>IF(E15="","",IF(N(F15)&gt;=E15,"Paid",IF(AND(D15&lt;&gt;"",D15&lt;TODAY()),"Overdue",IF(N(F15)&gt;0,"Part paid","Upcoming"))))</f>
        <v/>
      </c>
      <c r="I15" s="5" t="n"/>
    </row>
    <row r="16">
      <c r="A16" s="14" t="n"/>
      <c r="B16" s="23" t="str">
        <f>IF(A16="","",IFERROR(INDEX('Units &amp; sales'!$I$12:$I$311,MATCH(A16,'Units &amp; sales'!$C$12:$C$311,0))&amp;"",""))</f>
        <v/>
      </c>
      <c r="C16" s="5" t="n"/>
      <c r="D16" s="20" t="n"/>
      <c r="E16" s="21" t="n"/>
      <c r="F16" s="21" t="n"/>
      <c r="G16" s="20" t="n"/>
      <c r="H16" s="24" t="str">
        <f>IF(E16="","",IF(N(F16)&gt;=E16,"Paid",IF(AND(D16&lt;&gt;"",D16&lt;TODAY()),"Overdue",IF(N(F16)&gt;0,"Part paid","Upcoming"))))</f>
        <v/>
      </c>
      <c r="I16" s="5" t="n"/>
    </row>
    <row r="17">
      <c r="A17" s="14" t="n"/>
      <c r="B17" s="23" t="str">
        <f>IF(A17="","",IFERROR(INDEX('Units &amp; sales'!$I$12:$I$311,MATCH(A17,'Units &amp; sales'!$C$12:$C$311,0))&amp;"",""))</f>
        <v/>
      </c>
      <c r="C17" s="5" t="n"/>
      <c r="D17" s="20" t="n"/>
      <c r="E17" s="21" t="n"/>
      <c r="F17" s="21" t="n"/>
      <c r="G17" s="20" t="n"/>
      <c r="H17" s="24" t="str">
        <f>IF(E17="","",IF(N(F17)&gt;=E17,"Paid",IF(AND(D17&lt;&gt;"",D17&lt;TODAY()),"Overdue",IF(N(F17)&gt;0,"Part paid","Upcoming"))))</f>
        <v/>
      </c>
      <c r="I17" s="5" t="n"/>
    </row>
    <row r="18">
      <c r="A18" s="14" t="n"/>
      <c r="B18" s="23" t="str">
        <f>IF(A18="","",IFERROR(INDEX('Units &amp; sales'!$I$12:$I$311,MATCH(A18,'Units &amp; sales'!$C$12:$C$311,0))&amp;"",""))</f>
        <v/>
      </c>
      <c r="C18" s="5" t="n"/>
      <c r="D18" s="20" t="n"/>
      <c r="E18" s="21" t="n"/>
      <c r="F18" s="21" t="n"/>
      <c r="G18" s="20" t="n"/>
      <c r="H18" s="24" t="str">
        <f>IF(E18="","",IF(N(F18)&gt;=E18,"Paid",IF(AND(D18&lt;&gt;"",D18&lt;TODAY()),"Overdue",IF(N(F18)&gt;0,"Part paid","Upcoming"))))</f>
        <v/>
      </c>
      <c r="I18" s="5" t="n"/>
    </row>
    <row r="19">
      <c r="A19" s="14" t="n"/>
      <c r="B19" s="23" t="str">
        <f>IF(A19="","",IFERROR(INDEX('Units &amp; sales'!$I$12:$I$311,MATCH(A19,'Units &amp; sales'!$C$12:$C$311,0))&amp;"",""))</f>
        <v/>
      </c>
      <c r="C19" s="5" t="n"/>
      <c r="D19" s="20" t="n"/>
      <c r="E19" s="21" t="n"/>
      <c r="F19" s="21" t="n"/>
      <c r="G19" s="20" t="n"/>
      <c r="H19" s="24" t="str">
        <f>IF(E19="","",IF(N(F19)&gt;=E19,"Paid",IF(AND(D19&lt;&gt;"",D19&lt;TODAY()),"Overdue",IF(N(F19)&gt;0,"Part paid","Upcoming"))))</f>
        <v/>
      </c>
      <c r="I19" s="5" t="n"/>
    </row>
    <row r="20">
      <c r="A20" s="14" t="n"/>
      <c r="B20" s="23" t="str">
        <f>IF(A20="","",IFERROR(INDEX('Units &amp; sales'!$I$12:$I$311,MATCH(A20,'Units &amp; sales'!$C$12:$C$311,0))&amp;"",""))</f>
        <v/>
      </c>
      <c r="C20" s="5" t="n"/>
      <c r="D20" s="20" t="n"/>
      <c r="E20" s="21" t="n"/>
      <c r="F20" s="21" t="n"/>
      <c r="G20" s="20" t="n"/>
      <c r="H20" s="24" t="str">
        <f>IF(E20="","",IF(N(F20)&gt;=E20,"Paid",IF(AND(D20&lt;&gt;"",D20&lt;TODAY()),"Overdue",IF(N(F20)&gt;0,"Part paid","Upcoming"))))</f>
        <v/>
      </c>
      <c r="I20" s="5" t="n"/>
    </row>
    <row r="21">
      <c r="A21" s="14" t="n"/>
      <c r="B21" s="23" t="str">
        <f>IF(A21="","",IFERROR(INDEX('Units &amp; sales'!$I$12:$I$311,MATCH(A21,'Units &amp; sales'!$C$12:$C$311,0))&amp;"",""))</f>
        <v/>
      </c>
      <c r="C21" s="5" t="n"/>
      <c r="D21" s="20" t="n"/>
      <c r="E21" s="21" t="n"/>
      <c r="F21" s="21" t="n"/>
      <c r="G21" s="20" t="n"/>
      <c r="H21" s="24" t="str">
        <f>IF(E21="","",IF(N(F21)&gt;=E21,"Paid",IF(AND(D21&lt;&gt;"",D21&lt;TODAY()),"Overdue",IF(N(F21)&gt;0,"Part paid","Upcoming"))))</f>
        <v/>
      </c>
      <c r="I21" s="5" t="n"/>
    </row>
    <row r="22">
      <c r="A22" s="14" t="n"/>
      <c r="B22" s="23" t="str">
        <f>IF(A22="","",IFERROR(INDEX('Units &amp; sales'!$I$12:$I$311,MATCH(A22,'Units &amp; sales'!$C$12:$C$311,0))&amp;"",""))</f>
        <v/>
      </c>
      <c r="C22" s="5" t="n"/>
      <c r="D22" s="20" t="n"/>
      <c r="E22" s="21" t="n"/>
      <c r="F22" s="21" t="n"/>
      <c r="G22" s="20" t="n"/>
      <c r="H22" s="24" t="str">
        <f>IF(E22="","",IF(N(F22)&gt;=E22,"Paid",IF(AND(D22&lt;&gt;"",D22&lt;TODAY()),"Overdue",IF(N(F22)&gt;0,"Part paid","Upcoming"))))</f>
        <v/>
      </c>
      <c r="I22" s="5" t="n"/>
    </row>
    <row r="23">
      <c r="A23" s="14" t="n"/>
      <c r="B23" s="23" t="str">
        <f>IF(A23="","",IFERROR(INDEX('Units &amp; sales'!$I$12:$I$311,MATCH(A23,'Units &amp; sales'!$C$12:$C$311,0))&amp;"",""))</f>
        <v/>
      </c>
      <c r="C23" s="5" t="n"/>
      <c r="D23" s="20" t="n"/>
      <c r="E23" s="21" t="n"/>
      <c r="F23" s="21" t="n"/>
      <c r="G23" s="20" t="n"/>
      <c r="H23" s="24" t="str">
        <f>IF(E23="","",IF(N(F23)&gt;=E23,"Paid",IF(AND(D23&lt;&gt;"",D23&lt;TODAY()),"Overdue",IF(N(F23)&gt;0,"Part paid","Upcoming"))))</f>
        <v/>
      </c>
      <c r="I23" s="5" t="n"/>
    </row>
    <row r="24">
      <c r="A24" s="14" t="n"/>
      <c r="B24" s="23" t="str">
        <f>IF(A24="","",IFERROR(INDEX('Units &amp; sales'!$I$12:$I$311,MATCH(A24,'Units &amp; sales'!$C$12:$C$311,0))&amp;"",""))</f>
        <v/>
      </c>
      <c r="C24" s="5" t="n"/>
      <c r="D24" s="20" t="n"/>
      <c r="E24" s="21" t="n"/>
      <c r="F24" s="21" t="n"/>
      <c r="G24" s="20" t="n"/>
      <c r="H24" s="24" t="str">
        <f>IF(E24="","",IF(N(F24)&gt;=E24,"Paid",IF(AND(D24&lt;&gt;"",D24&lt;TODAY()),"Overdue",IF(N(F24)&gt;0,"Part paid","Upcoming"))))</f>
        <v/>
      </c>
      <c r="I24" s="5" t="n"/>
    </row>
    <row r="25">
      <c r="A25" s="14" t="n"/>
      <c r="B25" s="23" t="str">
        <f>IF(A25="","",IFERROR(INDEX('Units &amp; sales'!$I$12:$I$311,MATCH(A25,'Units &amp; sales'!$C$12:$C$311,0))&amp;"",""))</f>
        <v/>
      </c>
      <c r="C25" s="5" t="n"/>
      <c r="D25" s="20" t="n"/>
      <c r="E25" s="21" t="n"/>
      <c r="F25" s="21" t="n"/>
      <c r="G25" s="20" t="n"/>
      <c r="H25" s="24" t="str">
        <f>IF(E25="","",IF(N(F25)&gt;=E25,"Paid",IF(AND(D25&lt;&gt;"",D25&lt;TODAY()),"Overdue",IF(N(F25)&gt;0,"Part paid","Upcoming"))))</f>
        <v/>
      </c>
      <c r="I25" s="5" t="n"/>
    </row>
    <row r="26">
      <c r="A26" s="14" t="n"/>
      <c r="B26" s="23" t="str">
        <f>IF(A26="","",IFERROR(INDEX('Units &amp; sales'!$I$12:$I$311,MATCH(A26,'Units &amp; sales'!$C$12:$C$311,0))&amp;"",""))</f>
        <v/>
      </c>
      <c r="C26" s="5" t="n"/>
      <c r="D26" s="20" t="n"/>
      <c r="E26" s="21" t="n"/>
      <c r="F26" s="21" t="n"/>
      <c r="G26" s="20" t="n"/>
      <c r="H26" s="24" t="str">
        <f>IF(E26="","",IF(N(F26)&gt;=E26,"Paid",IF(AND(D26&lt;&gt;"",D26&lt;TODAY()),"Overdue",IF(N(F26)&gt;0,"Part paid","Upcoming"))))</f>
        <v/>
      </c>
      <c r="I26" s="5" t="n"/>
    </row>
    <row r="27">
      <c r="A27" s="14" t="n"/>
      <c r="B27" s="23" t="str">
        <f>IF(A27="","",IFERROR(INDEX('Units &amp; sales'!$I$12:$I$311,MATCH(A27,'Units &amp; sales'!$C$12:$C$311,0))&amp;"",""))</f>
        <v/>
      </c>
      <c r="C27" s="5" t="n"/>
      <c r="D27" s="20" t="n"/>
      <c r="E27" s="21" t="n"/>
      <c r="F27" s="21" t="n"/>
      <c r="G27" s="20" t="n"/>
      <c r="H27" s="24" t="str">
        <f>IF(E27="","",IF(N(F27)&gt;=E27,"Paid",IF(AND(D27&lt;&gt;"",D27&lt;TODAY()),"Overdue",IF(N(F27)&gt;0,"Part paid","Upcoming"))))</f>
        <v/>
      </c>
      <c r="I27" s="5" t="n"/>
    </row>
    <row r="28">
      <c r="A28" s="14" t="n"/>
      <c r="B28" s="23" t="str">
        <f>IF(A28="","",IFERROR(INDEX('Units &amp; sales'!$I$12:$I$311,MATCH(A28,'Units &amp; sales'!$C$12:$C$311,0))&amp;"",""))</f>
        <v/>
      </c>
      <c r="C28" s="5" t="n"/>
      <c r="D28" s="20" t="n"/>
      <c r="E28" s="21" t="n"/>
      <c r="F28" s="21" t="n"/>
      <c r="G28" s="20" t="n"/>
      <c r="H28" s="24" t="str">
        <f>IF(E28="","",IF(N(F28)&gt;=E28,"Paid",IF(AND(D28&lt;&gt;"",D28&lt;TODAY()),"Overdue",IF(N(F28)&gt;0,"Part paid","Upcoming"))))</f>
        <v/>
      </c>
      <c r="I28" s="5" t="n"/>
    </row>
    <row r="29">
      <c r="A29" s="14" t="n"/>
      <c r="B29" s="23" t="str">
        <f>IF(A29="","",IFERROR(INDEX('Units &amp; sales'!$I$12:$I$311,MATCH(A29,'Units &amp; sales'!$C$12:$C$311,0))&amp;"",""))</f>
        <v/>
      </c>
      <c r="C29" s="5" t="n"/>
      <c r="D29" s="20" t="n"/>
      <c r="E29" s="21" t="n"/>
      <c r="F29" s="21" t="n"/>
      <c r="G29" s="20" t="n"/>
      <c r="H29" s="24" t="str">
        <f>IF(E29="","",IF(N(F29)&gt;=E29,"Paid",IF(AND(D29&lt;&gt;"",D29&lt;TODAY()),"Overdue",IF(N(F29)&gt;0,"Part paid","Upcoming"))))</f>
        <v/>
      </c>
      <c r="I29" s="5" t="n"/>
    </row>
    <row r="30">
      <c r="A30" s="14" t="n"/>
      <c r="B30" s="23" t="str">
        <f>IF(A30="","",IFERROR(INDEX('Units &amp; sales'!$I$12:$I$311,MATCH(A30,'Units &amp; sales'!$C$12:$C$311,0))&amp;"",""))</f>
        <v/>
      </c>
      <c r="C30" s="5" t="n"/>
      <c r="D30" s="20" t="n"/>
      <c r="E30" s="21" t="n"/>
      <c r="F30" s="21" t="n"/>
      <c r="G30" s="20" t="n"/>
      <c r="H30" s="24" t="str">
        <f>IF(E30="","",IF(N(F30)&gt;=E30,"Paid",IF(AND(D30&lt;&gt;"",D30&lt;TODAY()),"Overdue",IF(N(F30)&gt;0,"Part paid","Upcoming"))))</f>
        <v/>
      </c>
      <c r="I30" s="5" t="n"/>
    </row>
    <row r="31">
      <c r="A31" s="14" t="n"/>
      <c r="B31" s="23" t="str">
        <f>IF(A31="","",IFERROR(INDEX('Units &amp; sales'!$I$12:$I$311,MATCH(A31,'Units &amp; sales'!$C$12:$C$311,0))&amp;"",""))</f>
        <v/>
      </c>
      <c r="C31" s="5" t="n"/>
      <c r="D31" s="20" t="n"/>
      <c r="E31" s="21" t="n"/>
      <c r="F31" s="21" t="n"/>
      <c r="G31" s="20" t="n"/>
      <c r="H31" s="24" t="str">
        <f>IF(E31="","",IF(N(F31)&gt;=E31,"Paid",IF(AND(D31&lt;&gt;"",D31&lt;TODAY()),"Overdue",IF(N(F31)&gt;0,"Part paid","Upcoming"))))</f>
        <v/>
      </c>
      <c r="I31" s="5" t="n"/>
    </row>
    <row r="32">
      <c r="A32" s="14" t="n"/>
      <c r="B32" s="23" t="str">
        <f>IF(A32="","",IFERROR(INDEX('Units &amp; sales'!$I$12:$I$311,MATCH(A32,'Units &amp; sales'!$C$12:$C$311,0))&amp;"",""))</f>
        <v/>
      </c>
      <c r="C32" s="5" t="n"/>
      <c r="D32" s="20" t="n"/>
      <c r="E32" s="21" t="n"/>
      <c r="F32" s="21" t="n"/>
      <c r="G32" s="20" t="n"/>
      <c r="H32" s="24" t="str">
        <f>IF(E32="","",IF(N(F32)&gt;=E32,"Paid",IF(AND(D32&lt;&gt;"",D32&lt;TODAY()),"Overdue",IF(N(F32)&gt;0,"Part paid","Upcoming"))))</f>
        <v/>
      </c>
      <c r="I32" s="5" t="n"/>
    </row>
    <row r="33">
      <c r="A33" s="14" t="n"/>
      <c r="B33" s="23" t="str">
        <f>IF(A33="","",IFERROR(INDEX('Units &amp; sales'!$I$12:$I$311,MATCH(A33,'Units &amp; sales'!$C$12:$C$311,0))&amp;"",""))</f>
        <v/>
      </c>
      <c r="C33" s="5" t="n"/>
      <c r="D33" s="20" t="n"/>
      <c r="E33" s="21" t="n"/>
      <c r="F33" s="21" t="n"/>
      <c r="G33" s="20" t="n"/>
      <c r="H33" s="24" t="str">
        <f>IF(E33="","",IF(N(F33)&gt;=E33,"Paid",IF(AND(D33&lt;&gt;"",D33&lt;TODAY()),"Overdue",IF(N(F33)&gt;0,"Part paid","Upcoming"))))</f>
        <v/>
      </c>
      <c r="I33" s="5" t="n"/>
    </row>
    <row r="34">
      <c r="A34" s="14" t="n"/>
      <c r="B34" s="23" t="str">
        <f>IF(A34="","",IFERROR(INDEX('Units &amp; sales'!$I$12:$I$311,MATCH(A34,'Units &amp; sales'!$C$12:$C$311,0))&amp;"",""))</f>
        <v/>
      </c>
      <c r="C34" s="5" t="n"/>
      <c r="D34" s="20" t="n"/>
      <c r="E34" s="21" t="n"/>
      <c r="F34" s="21" t="n"/>
      <c r="G34" s="20" t="n"/>
      <c r="H34" s="24" t="str">
        <f>IF(E34="","",IF(N(F34)&gt;=E34,"Paid",IF(AND(D34&lt;&gt;"",D34&lt;TODAY()),"Overdue",IF(N(F34)&gt;0,"Part paid","Upcoming"))))</f>
        <v/>
      </c>
      <c r="I34" s="5" t="n"/>
    </row>
    <row r="35">
      <c r="A35" s="14" t="n"/>
      <c r="B35" s="23" t="str">
        <f>IF(A35="","",IFERROR(INDEX('Units &amp; sales'!$I$12:$I$311,MATCH(A35,'Units &amp; sales'!$C$12:$C$311,0))&amp;"",""))</f>
        <v/>
      </c>
      <c r="C35" s="5" t="n"/>
      <c r="D35" s="20" t="n"/>
      <c r="E35" s="21" t="n"/>
      <c r="F35" s="21" t="n"/>
      <c r="G35" s="20" t="n"/>
      <c r="H35" s="24" t="str">
        <f>IF(E35="","",IF(N(F35)&gt;=E35,"Paid",IF(AND(D35&lt;&gt;"",D35&lt;TODAY()),"Overdue",IF(N(F35)&gt;0,"Part paid","Upcoming"))))</f>
        <v/>
      </c>
      <c r="I35" s="5" t="n"/>
    </row>
    <row r="36">
      <c r="A36" s="14" t="n"/>
      <c r="B36" s="23" t="str">
        <f>IF(A36="","",IFERROR(INDEX('Units &amp; sales'!$I$12:$I$311,MATCH(A36,'Units &amp; sales'!$C$12:$C$311,0))&amp;"",""))</f>
        <v/>
      </c>
      <c r="C36" s="5" t="n"/>
      <c r="D36" s="20" t="n"/>
      <c r="E36" s="21" t="n"/>
      <c r="F36" s="21" t="n"/>
      <c r="G36" s="20" t="n"/>
      <c r="H36" s="24" t="str">
        <f>IF(E36="","",IF(N(F36)&gt;=E36,"Paid",IF(AND(D36&lt;&gt;"",D36&lt;TODAY()),"Overdue",IF(N(F36)&gt;0,"Part paid","Upcoming"))))</f>
        <v/>
      </c>
      <c r="I36" s="5" t="n"/>
    </row>
    <row r="37">
      <c r="A37" s="14" t="n"/>
      <c r="B37" s="23" t="str">
        <f>IF(A37="","",IFERROR(INDEX('Units &amp; sales'!$I$12:$I$311,MATCH(A37,'Units &amp; sales'!$C$12:$C$311,0))&amp;"",""))</f>
        <v/>
      </c>
      <c r="C37" s="5" t="n"/>
      <c r="D37" s="20" t="n"/>
      <c r="E37" s="21" t="n"/>
      <c r="F37" s="21" t="n"/>
      <c r="G37" s="20" t="n"/>
      <c r="H37" s="24" t="str">
        <f>IF(E37="","",IF(N(F37)&gt;=E37,"Paid",IF(AND(D37&lt;&gt;"",D37&lt;TODAY()),"Overdue",IF(N(F37)&gt;0,"Part paid","Upcoming"))))</f>
        <v/>
      </c>
      <c r="I37" s="5" t="n"/>
    </row>
    <row r="38">
      <c r="A38" s="14" t="n"/>
      <c r="B38" s="23" t="str">
        <f>IF(A38="","",IFERROR(INDEX('Units &amp; sales'!$I$12:$I$311,MATCH(A38,'Units &amp; sales'!$C$12:$C$311,0))&amp;"",""))</f>
        <v/>
      </c>
      <c r="C38" s="5" t="n"/>
      <c r="D38" s="20" t="n"/>
      <c r="E38" s="21" t="n"/>
      <c r="F38" s="21" t="n"/>
      <c r="G38" s="20" t="n"/>
      <c r="H38" s="24" t="str">
        <f>IF(E38="","",IF(N(F38)&gt;=E38,"Paid",IF(AND(D38&lt;&gt;"",D38&lt;TODAY()),"Overdue",IF(N(F38)&gt;0,"Part paid","Upcoming"))))</f>
        <v/>
      </c>
      <c r="I38" s="5" t="n"/>
    </row>
    <row r="39">
      <c r="A39" s="14" t="n"/>
      <c r="B39" s="23" t="str">
        <f>IF(A39="","",IFERROR(INDEX('Units &amp; sales'!$I$12:$I$311,MATCH(A39,'Units &amp; sales'!$C$12:$C$311,0))&amp;"",""))</f>
        <v/>
      </c>
      <c r="C39" s="5" t="n"/>
      <c r="D39" s="20" t="n"/>
      <c r="E39" s="21" t="n"/>
      <c r="F39" s="21" t="n"/>
      <c r="G39" s="20" t="n"/>
      <c r="H39" s="24" t="str">
        <f>IF(E39="","",IF(N(F39)&gt;=E39,"Paid",IF(AND(D39&lt;&gt;"",D39&lt;TODAY()),"Overdue",IF(N(F39)&gt;0,"Part paid","Upcoming"))))</f>
        <v/>
      </c>
      <c r="I39" s="5" t="n"/>
    </row>
    <row r="40">
      <c r="A40" s="14" t="n"/>
      <c r="B40" s="23" t="str">
        <f>IF(A40="","",IFERROR(INDEX('Units &amp; sales'!$I$12:$I$311,MATCH(A40,'Units &amp; sales'!$C$12:$C$311,0))&amp;"",""))</f>
        <v/>
      </c>
      <c r="C40" s="5" t="n"/>
      <c r="D40" s="20" t="n"/>
      <c r="E40" s="21" t="n"/>
      <c r="F40" s="21" t="n"/>
      <c r="G40" s="20" t="n"/>
      <c r="H40" s="24" t="str">
        <f>IF(E40="","",IF(N(F40)&gt;=E40,"Paid",IF(AND(D40&lt;&gt;"",D40&lt;TODAY()),"Overdue",IF(N(F40)&gt;0,"Part paid","Upcoming"))))</f>
        <v/>
      </c>
      <c r="I40" s="5" t="n"/>
    </row>
    <row r="41">
      <c r="A41" s="14" t="n"/>
      <c r="B41" s="23" t="str">
        <f>IF(A41="","",IFERROR(INDEX('Units &amp; sales'!$I$12:$I$311,MATCH(A41,'Units &amp; sales'!$C$12:$C$311,0))&amp;"",""))</f>
        <v/>
      </c>
      <c r="C41" s="5" t="n"/>
      <c r="D41" s="20" t="n"/>
      <c r="E41" s="21" t="n"/>
      <c r="F41" s="21" t="n"/>
      <c r="G41" s="20" t="n"/>
      <c r="H41" s="24" t="str">
        <f>IF(E41="","",IF(N(F41)&gt;=E41,"Paid",IF(AND(D41&lt;&gt;"",D41&lt;TODAY()),"Overdue",IF(N(F41)&gt;0,"Part paid","Upcoming"))))</f>
        <v/>
      </c>
      <c r="I41" s="5" t="n"/>
    </row>
    <row r="42">
      <c r="A42" s="14" t="n"/>
      <c r="B42" s="23" t="str">
        <f>IF(A42="","",IFERROR(INDEX('Units &amp; sales'!$I$12:$I$311,MATCH(A42,'Units &amp; sales'!$C$12:$C$311,0))&amp;"",""))</f>
        <v/>
      </c>
      <c r="C42" s="5" t="n"/>
      <c r="D42" s="20" t="n"/>
      <c r="E42" s="21" t="n"/>
      <c r="F42" s="21" t="n"/>
      <c r="G42" s="20" t="n"/>
      <c r="H42" s="24" t="str">
        <f>IF(E42="","",IF(N(F42)&gt;=E42,"Paid",IF(AND(D42&lt;&gt;"",D42&lt;TODAY()),"Overdue",IF(N(F42)&gt;0,"Part paid","Upcoming"))))</f>
        <v/>
      </c>
      <c r="I42" s="5" t="n"/>
    </row>
    <row r="43">
      <c r="A43" s="14" t="n"/>
      <c r="B43" s="23" t="str">
        <f>IF(A43="","",IFERROR(INDEX('Units &amp; sales'!$I$12:$I$311,MATCH(A43,'Units &amp; sales'!$C$12:$C$311,0))&amp;"",""))</f>
        <v/>
      </c>
      <c r="C43" s="5" t="n"/>
      <c r="D43" s="20" t="n"/>
      <c r="E43" s="21" t="n"/>
      <c r="F43" s="21" t="n"/>
      <c r="G43" s="20" t="n"/>
      <c r="H43" s="24" t="str">
        <f>IF(E43="","",IF(N(F43)&gt;=E43,"Paid",IF(AND(D43&lt;&gt;"",D43&lt;TODAY()),"Overdue",IF(N(F43)&gt;0,"Part paid","Upcoming"))))</f>
        <v/>
      </c>
      <c r="I43" s="5" t="n"/>
    </row>
    <row r="44">
      <c r="A44" s="14" t="n"/>
      <c r="B44" s="23" t="str">
        <f>IF(A44="","",IFERROR(INDEX('Units &amp; sales'!$I$12:$I$311,MATCH(A44,'Units &amp; sales'!$C$12:$C$311,0))&amp;"",""))</f>
        <v/>
      </c>
      <c r="C44" s="5" t="n"/>
      <c r="D44" s="20" t="n"/>
      <c r="E44" s="21" t="n"/>
      <c r="F44" s="21" t="n"/>
      <c r="G44" s="20" t="n"/>
      <c r="H44" s="24" t="str">
        <f>IF(E44="","",IF(N(F44)&gt;=E44,"Paid",IF(AND(D44&lt;&gt;"",D44&lt;TODAY()),"Overdue",IF(N(F44)&gt;0,"Part paid","Upcoming"))))</f>
        <v/>
      </c>
      <c r="I44" s="5" t="n"/>
    </row>
    <row r="45">
      <c r="A45" s="14" t="n"/>
      <c r="B45" s="23" t="str">
        <f>IF(A45="","",IFERROR(INDEX('Units &amp; sales'!$I$12:$I$311,MATCH(A45,'Units &amp; sales'!$C$12:$C$311,0))&amp;"",""))</f>
        <v/>
      </c>
      <c r="C45" s="5" t="n"/>
      <c r="D45" s="20" t="n"/>
      <c r="E45" s="21" t="n"/>
      <c r="F45" s="21" t="n"/>
      <c r="G45" s="20" t="n"/>
      <c r="H45" s="24" t="str">
        <f>IF(E45="","",IF(N(F45)&gt;=E45,"Paid",IF(AND(D45&lt;&gt;"",D45&lt;TODAY()),"Overdue",IF(N(F45)&gt;0,"Part paid","Upcoming"))))</f>
        <v/>
      </c>
      <c r="I45" s="5" t="n"/>
    </row>
    <row r="46">
      <c r="A46" s="14" t="n"/>
      <c r="B46" s="23" t="str">
        <f>IF(A46="","",IFERROR(INDEX('Units &amp; sales'!$I$12:$I$311,MATCH(A46,'Units &amp; sales'!$C$12:$C$311,0))&amp;"",""))</f>
        <v/>
      </c>
      <c r="C46" s="5" t="n"/>
      <c r="D46" s="20" t="n"/>
      <c r="E46" s="21" t="n"/>
      <c r="F46" s="21" t="n"/>
      <c r="G46" s="20" t="n"/>
      <c r="H46" s="24" t="str">
        <f>IF(E46="","",IF(N(F46)&gt;=E46,"Paid",IF(AND(D46&lt;&gt;"",D46&lt;TODAY()),"Overdue",IF(N(F46)&gt;0,"Part paid","Upcoming"))))</f>
        <v/>
      </c>
      <c r="I46" s="5" t="n"/>
    </row>
    <row r="47">
      <c r="A47" s="14" t="n"/>
      <c r="B47" s="23" t="str">
        <f>IF(A47="","",IFERROR(INDEX('Units &amp; sales'!$I$12:$I$311,MATCH(A47,'Units &amp; sales'!$C$12:$C$311,0))&amp;"",""))</f>
        <v/>
      </c>
      <c r="C47" s="5" t="n"/>
      <c r="D47" s="20" t="n"/>
      <c r="E47" s="21" t="n"/>
      <c r="F47" s="21" t="n"/>
      <c r="G47" s="20" t="n"/>
      <c r="H47" s="24" t="str">
        <f>IF(E47="","",IF(N(F47)&gt;=E47,"Paid",IF(AND(D47&lt;&gt;"",D47&lt;TODAY()),"Overdue",IF(N(F47)&gt;0,"Part paid","Upcoming"))))</f>
        <v/>
      </c>
      <c r="I47" s="5" t="n"/>
    </row>
    <row r="48">
      <c r="A48" s="14" t="n"/>
      <c r="B48" s="23" t="str">
        <f>IF(A48="","",IFERROR(INDEX('Units &amp; sales'!$I$12:$I$311,MATCH(A48,'Units &amp; sales'!$C$12:$C$311,0))&amp;"",""))</f>
        <v/>
      </c>
      <c r="C48" s="5" t="n"/>
      <c r="D48" s="20" t="n"/>
      <c r="E48" s="21" t="n"/>
      <c r="F48" s="21" t="n"/>
      <c r="G48" s="20" t="n"/>
      <c r="H48" s="24" t="str">
        <f>IF(E48="","",IF(N(F48)&gt;=E48,"Paid",IF(AND(D48&lt;&gt;"",D48&lt;TODAY()),"Overdue",IF(N(F48)&gt;0,"Part paid","Upcoming"))))</f>
        <v/>
      </c>
      <c r="I48" s="5" t="n"/>
    </row>
    <row r="49">
      <c r="A49" s="14" t="n"/>
      <c r="B49" s="23" t="str">
        <f>IF(A49="","",IFERROR(INDEX('Units &amp; sales'!$I$12:$I$311,MATCH(A49,'Units &amp; sales'!$C$12:$C$311,0))&amp;"",""))</f>
        <v/>
      </c>
      <c r="C49" s="5" t="n"/>
      <c r="D49" s="20" t="n"/>
      <c r="E49" s="21" t="n"/>
      <c r="F49" s="21" t="n"/>
      <c r="G49" s="20" t="n"/>
      <c r="H49" s="24" t="str">
        <f>IF(E49="","",IF(N(F49)&gt;=E49,"Paid",IF(AND(D49&lt;&gt;"",D49&lt;TODAY()),"Overdue",IF(N(F49)&gt;0,"Part paid","Upcoming"))))</f>
        <v/>
      </c>
      <c r="I49" s="5" t="n"/>
    </row>
    <row r="50">
      <c r="A50" s="14" t="n"/>
      <c r="B50" s="23" t="str">
        <f>IF(A50="","",IFERROR(INDEX('Units &amp; sales'!$I$12:$I$311,MATCH(A50,'Units &amp; sales'!$C$12:$C$311,0))&amp;"",""))</f>
        <v/>
      </c>
      <c r="C50" s="5" t="n"/>
      <c r="D50" s="20" t="n"/>
      <c r="E50" s="21" t="n"/>
      <c r="F50" s="21" t="n"/>
      <c r="G50" s="20" t="n"/>
      <c r="H50" s="24" t="str">
        <f>IF(E50="","",IF(N(F50)&gt;=E50,"Paid",IF(AND(D50&lt;&gt;"",D50&lt;TODAY()),"Overdue",IF(N(F50)&gt;0,"Part paid","Upcoming"))))</f>
        <v/>
      </c>
      <c r="I50" s="5" t="n"/>
    </row>
    <row r="51">
      <c r="A51" s="14" t="n"/>
      <c r="B51" s="23" t="str">
        <f>IF(A51="","",IFERROR(INDEX('Units &amp; sales'!$I$12:$I$311,MATCH(A51,'Units &amp; sales'!$C$12:$C$311,0))&amp;"",""))</f>
        <v/>
      </c>
      <c r="C51" s="5" t="n"/>
      <c r="D51" s="20" t="n"/>
      <c r="E51" s="21" t="n"/>
      <c r="F51" s="21" t="n"/>
      <c r="G51" s="20" t="n"/>
      <c r="H51" s="24" t="str">
        <f>IF(E51="","",IF(N(F51)&gt;=E51,"Paid",IF(AND(D51&lt;&gt;"",D51&lt;TODAY()),"Overdue",IF(N(F51)&gt;0,"Part paid","Upcoming"))))</f>
        <v/>
      </c>
      <c r="I51" s="5" t="n"/>
    </row>
    <row r="52">
      <c r="A52" s="14" t="n"/>
      <c r="B52" s="23" t="str">
        <f>IF(A52="","",IFERROR(INDEX('Units &amp; sales'!$I$12:$I$311,MATCH(A52,'Units &amp; sales'!$C$12:$C$311,0))&amp;"",""))</f>
        <v/>
      </c>
      <c r="C52" s="5" t="n"/>
      <c r="D52" s="20" t="n"/>
      <c r="E52" s="21" t="n"/>
      <c r="F52" s="21" t="n"/>
      <c r="G52" s="20" t="n"/>
      <c r="H52" s="24" t="str">
        <f>IF(E52="","",IF(N(F52)&gt;=E52,"Paid",IF(AND(D52&lt;&gt;"",D52&lt;TODAY()),"Overdue",IF(N(F52)&gt;0,"Part paid","Upcoming"))))</f>
        <v/>
      </c>
      <c r="I52" s="5" t="n"/>
    </row>
    <row r="53">
      <c r="A53" s="14" t="n"/>
      <c r="B53" s="23" t="str">
        <f>IF(A53="","",IFERROR(INDEX('Units &amp; sales'!$I$12:$I$311,MATCH(A53,'Units &amp; sales'!$C$12:$C$311,0))&amp;"",""))</f>
        <v/>
      </c>
      <c r="C53" s="5" t="n"/>
      <c r="D53" s="20" t="n"/>
      <c r="E53" s="21" t="n"/>
      <c r="F53" s="21" t="n"/>
      <c r="G53" s="20" t="n"/>
      <c r="H53" s="24" t="str">
        <f>IF(E53="","",IF(N(F53)&gt;=E53,"Paid",IF(AND(D53&lt;&gt;"",D53&lt;TODAY()),"Overdue",IF(N(F53)&gt;0,"Part paid","Upcoming"))))</f>
        <v/>
      </c>
      <c r="I53" s="5" t="n"/>
    </row>
    <row r="54">
      <c r="A54" s="14" t="n"/>
      <c r="B54" s="23" t="str">
        <f>IF(A54="","",IFERROR(INDEX('Units &amp; sales'!$I$12:$I$311,MATCH(A54,'Units &amp; sales'!$C$12:$C$311,0))&amp;"",""))</f>
        <v/>
      </c>
      <c r="C54" s="5" t="n"/>
      <c r="D54" s="20" t="n"/>
      <c r="E54" s="21" t="n"/>
      <c r="F54" s="21" t="n"/>
      <c r="G54" s="20" t="n"/>
      <c r="H54" s="24" t="str">
        <f>IF(E54="","",IF(N(F54)&gt;=E54,"Paid",IF(AND(D54&lt;&gt;"",D54&lt;TODAY()),"Overdue",IF(N(F54)&gt;0,"Part paid","Upcoming"))))</f>
        <v/>
      </c>
      <c r="I54" s="5" t="n"/>
    </row>
    <row r="55">
      <c r="A55" s="14" t="n"/>
      <c r="B55" s="23" t="str">
        <f>IF(A55="","",IFERROR(INDEX('Units &amp; sales'!$I$12:$I$311,MATCH(A55,'Units &amp; sales'!$C$12:$C$311,0))&amp;"",""))</f>
        <v/>
      </c>
      <c r="C55" s="5" t="n"/>
      <c r="D55" s="20" t="n"/>
      <c r="E55" s="21" t="n"/>
      <c r="F55" s="21" t="n"/>
      <c r="G55" s="20" t="n"/>
      <c r="H55" s="24" t="str">
        <f>IF(E55="","",IF(N(F55)&gt;=E55,"Paid",IF(AND(D55&lt;&gt;"",D55&lt;TODAY()),"Overdue",IF(N(F55)&gt;0,"Part paid","Upcoming"))))</f>
        <v/>
      </c>
      <c r="I55" s="5" t="n"/>
    </row>
    <row r="56">
      <c r="A56" s="14" t="n"/>
      <c r="B56" s="23" t="str">
        <f>IF(A56="","",IFERROR(INDEX('Units &amp; sales'!$I$12:$I$311,MATCH(A56,'Units &amp; sales'!$C$12:$C$311,0))&amp;"",""))</f>
        <v/>
      </c>
      <c r="C56" s="5" t="n"/>
      <c r="D56" s="20" t="n"/>
      <c r="E56" s="21" t="n"/>
      <c r="F56" s="21" t="n"/>
      <c r="G56" s="20" t="n"/>
      <c r="H56" s="24" t="str">
        <f>IF(E56="","",IF(N(F56)&gt;=E56,"Paid",IF(AND(D56&lt;&gt;"",D56&lt;TODAY()),"Overdue",IF(N(F56)&gt;0,"Part paid","Upcoming"))))</f>
        <v/>
      </c>
      <c r="I56" s="5" t="n"/>
    </row>
    <row r="57">
      <c r="A57" s="14" t="n"/>
      <c r="B57" s="23" t="str">
        <f>IF(A57="","",IFERROR(INDEX('Units &amp; sales'!$I$12:$I$311,MATCH(A57,'Units &amp; sales'!$C$12:$C$311,0))&amp;"",""))</f>
        <v/>
      </c>
      <c r="C57" s="5" t="n"/>
      <c r="D57" s="20" t="n"/>
      <c r="E57" s="21" t="n"/>
      <c r="F57" s="21" t="n"/>
      <c r="G57" s="20" t="n"/>
      <c r="H57" s="24" t="str">
        <f>IF(E57="","",IF(N(F57)&gt;=E57,"Paid",IF(AND(D57&lt;&gt;"",D57&lt;TODAY()),"Overdue",IF(N(F57)&gt;0,"Part paid","Upcoming"))))</f>
        <v/>
      </c>
      <c r="I57" s="5" t="n"/>
    </row>
    <row r="58">
      <c r="A58" s="14" t="n"/>
      <c r="B58" s="23" t="str">
        <f>IF(A58="","",IFERROR(INDEX('Units &amp; sales'!$I$12:$I$311,MATCH(A58,'Units &amp; sales'!$C$12:$C$311,0))&amp;"",""))</f>
        <v/>
      </c>
      <c r="C58" s="5" t="n"/>
      <c r="D58" s="20" t="n"/>
      <c r="E58" s="21" t="n"/>
      <c r="F58" s="21" t="n"/>
      <c r="G58" s="20" t="n"/>
      <c r="H58" s="24" t="str">
        <f>IF(E58="","",IF(N(F58)&gt;=E58,"Paid",IF(AND(D58&lt;&gt;"",D58&lt;TODAY()),"Overdue",IF(N(F58)&gt;0,"Part paid","Upcoming"))))</f>
        <v/>
      </c>
      <c r="I58" s="5" t="n"/>
    </row>
    <row r="59">
      <c r="A59" s="14" t="n"/>
      <c r="B59" s="23" t="str">
        <f>IF(A59="","",IFERROR(INDEX('Units &amp; sales'!$I$12:$I$311,MATCH(A59,'Units &amp; sales'!$C$12:$C$311,0))&amp;"",""))</f>
        <v/>
      </c>
      <c r="C59" s="5" t="n"/>
      <c r="D59" s="20" t="n"/>
      <c r="E59" s="21" t="n"/>
      <c r="F59" s="21" t="n"/>
      <c r="G59" s="20" t="n"/>
      <c r="H59" s="24" t="str">
        <f>IF(E59="","",IF(N(F59)&gt;=E59,"Paid",IF(AND(D59&lt;&gt;"",D59&lt;TODAY()),"Overdue",IF(N(F59)&gt;0,"Part paid","Upcoming"))))</f>
        <v/>
      </c>
      <c r="I59" s="5" t="n"/>
    </row>
    <row r="60">
      <c r="A60" s="14" t="n"/>
      <c r="B60" s="23" t="str">
        <f>IF(A60="","",IFERROR(INDEX('Units &amp; sales'!$I$12:$I$311,MATCH(A60,'Units &amp; sales'!$C$12:$C$311,0))&amp;"",""))</f>
        <v/>
      </c>
      <c r="C60" s="5" t="n"/>
      <c r="D60" s="20" t="n"/>
      <c r="E60" s="21" t="n"/>
      <c r="F60" s="21" t="n"/>
      <c r="G60" s="20" t="n"/>
      <c r="H60" s="24" t="str">
        <f>IF(E60="","",IF(N(F60)&gt;=E60,"Paid",IF(AND(D60&lt;&gt;"",D60&lt;TODAY()),"Overdue",IF(N(F60)&gt;0,"Part paid","Upcoming"))))</f>
        <v/>
      </c>
      <c r="I60" s="5" t="n"/>
    </row>
    <row r="61">
      <c r="A61" s="14" t="n"/>
      <c r="B61" s="23" t="str">
        <f>IF(A61="","",IFERROR(INDEX('Units &amp; sales'!$I$12:$I$311,MATCH(A61,'Units &amp; sales'!$C$12:$C$311,0))&amp;"",""))</f>
        <v/>
      </c>
      <c r="C61" s="5" t="n"/>
      <c r="D61" s="20" t="n"/>
      <c r="E61" s="21" t="n"/>
      <c r="F61" s="21" t="n"/>
      <c r="G61" s="20" t="n"/>
      <c r="H61" s="24" t="str">
        <f>IF(E61="","",IF(N(F61)&gt;=E61,"Paid",IF(AND(D61&lt;&gt;"",D61&lt;TODAY()),"Overdue",IF(N(F61)&gt;0,"Part paid","Upcoming"))))</f>
        <v/>
      </c>
      <c r="I61" s="5" t="n"/>
    </row>
    <row r="62">
      <c r="A62" s="14" t="n"/>
      <c r="B62" s="23" t="str">
        <f>IF(A62="","",IFERROR(INDEX('Units &amp; sales'!$I$12:$I$311,MATCH(A62,'Units &amp; sales'!$C$12:$C$311,0))&amp;"",""))</f>
        <v/>
      </c>
      <c r="C62" s="5" t="n"/>
      <c r="D62" s="20" t="n"/>
      <c r="E62" s="21" t="n"/>
      <c r="F62" s="21" t="n"/>
      <c r="G62" s="20" t="n"/>
      <c r="H62" s="24" t="str">
        <f>IF(E62="","",IF(N(F62)&gt;=E62,"Paid",IF(AND(D62&lt;&gt;"",D62&lt;TODAY()),"Overdue",IF(N(F62)&gt;0,"Part paid","Upcoming"))))</f>
        <v/>
      </c>
      <c r="I62" s="5" t="n"/>
    </row>
    <row r="63">
      <c r="A63" s="14" t="n"/>
      <c r="B63" s="23" t="str">
        <f>IF(A63="","",IFERROR(INDEX('Units &amp; sales'!$I$12:$I$311,MATCH(A63,'Units &amp; sales'!$C$12:$C$311,0))&amp;"",""))</f>
        <v/>
      </c>
      <c r="C63" s="5" t="n"/>
      <c r="D63" s="20" t="n"/>
      <c r="E63" s="21" t="n"/>
      <c r="F63" s="21" t="n"/>
      <c r="G63" s="20" t="n"/>
      <c r="H63" s="24" t="str">
        <f>IF(E63="","",IF(N(F63)&gt;=E63,"Paid",IF(AND(D63&lt;&gt;"",D63&lt;TODAY()),"Overdue",IF(N(F63)&gt;0,"Part paid","Upcoming"))))</f>
        <v/>
      </c>
      <c r="I63" s="5" t="n"/>
    </row>
    <row r="64">
      <c r="A64" s="14" t="n"/>
      <c r="B64" s="23" t="str">
        <f>IF(A64="","",IFERROR(INDEX('Units &amp; sales'!$I$12:$I$311,MATCH(A64,'Units &amp; sales'!$C$12:$C$311,0))&amp;"",""))</f>
        <v/>
      </c>
      <c r="C64" s="5" t="n"/>
      <c r="D64" s="20" t="n"/>
      <c r="E64" s="21" t="n"/>
      <c r="F64" s="21" t="n"/>
      <c r="G64" s="20" t="n"/>
      <c r="H64" s="24" t="str">
        <f>IF(E64="","",IF(N(F64)&gt;=E64,"Paid",IF(AND(D64&lt;&gt;"",D64&lt;TODAY()),"Overdue",IF(N(F64)&gt;0,"Part paid","Upcoming"))))</f>
        <v/>
      </c>
      <c r="I64" s="5" t="n"/>
    </row>
    <row r="65">
      <c r="A65" s="14" t="n"/>
      <c r="B65" s="23" t="str">
        <f>IF(A65="","",IFERROR(INDEX('Units &amp; sales'!$I$12:$I$311,MATCH(A65,'Units &amp; sales'!$C$12:$C$311,0))&amp;"",""))</f>
        <v/>
      </c>
      <c r="C65" s="5" t="n"/>
      <c r="D65" s="20" t="n"/>
      <c r="E65" s="21" t="n"/>
      <c r="F65" s="21" t="n"/>
      <c r="G65" s="20" t="n"/>
      <c r="H65" s="24" t="str">
        <f>IF(E65="","",IF(N(F65)&gt;=E65,"Paid",IF(AND(D65&lt;&gt;"",D65&lt;TODAY()),"Overdue",IF(N(F65)&gt;0,"Part paid","Upcoming"))))</f>
        <v/>
      </c>
      <c r="I65" s="5" t="n"/>
    </row>
    <row r="66">
      <c r="A66" s="14" t="n"/>
      <c r="B66" s="23" t="str">
        <f>IF(A66="","",IFERROR(INDEX('Units &amp; sales'!$I$12:$I$311,MATCH(A66,'Units &amp; sales'!$C$12:$C$311,0))&amp;"",""))</f>
        <v/>
      </c>
      <c r="C66" s="5" t="n"/>
      <c r="D66" s="20" t="n"/>
      <c r="E66" s="21" t="n"/>
      <c r="F66" s="21" t="n"/>
      <c r="G66" s="20" t="n"/>
      <c r="H66" s="24" t="str">
        <f>IF(E66="","",IF(N(F66)&gt;=E66,"Paid",IF(AND(D66&lt;&gt;"",D66&lt;TODAY()),"Overdue",IF(N(F66)&gt;0,"Part paid","Upcoming"))))</f>
        <v/>
      </c>
      <c r="I66" s="5" t="n"/>
    </row>
    <row r="67">
      <c r="A67" s="14" t="n"/>
      <c r="B67" s="23" t="str">
        <f>IF(A67="","",IFERROR(INDEX('Units &amp; sales'!$I$12:$I$311,MATCH(A67,'Units &amp; sales'!$C$12:$C$311,0))&amp;"",""))</f>
        <v/>
      </c>
      <c r="C67" s="5" t="n"/>
      <c r="D67" s="20" t="n"/>
      <c r="E67" s="21" t="n"/>
      <c r="F67" s="21" t="n"/>
      <c r="G67" s="20" t="n"/>
      <c r="H67" s="24" t="str">
        <f>IF(E67="","",IF(N(F67)&gt;=E67,"Paid",IF(AND(D67&lt;&gt;"",D67&lt;TODAY()),"Overdue",IF(N(F67)&gt;0,"Part paid","Upcoming"))))</f>
        <v/>
      </c>
      <c r="I67" s="5" t="n"/>
    </row>
    <row r="68">
      <c r="A68" s="14" t="n"/>
      <c r="B68" s="23" t="str">
        <f>IF(A68="","",IFERROR(INDEX('Units &amp; sales'!$I$12:$I$311,MATCH(A68,'Units &amp; sales'!$C$12:$C$311,0))&amp;"",""))</f>
        <v/>
      </c>
      <c r="C68" s="5" t="n"/>
      <c r="D68" s="20" t="n"/>
      <c r="E68" s="21" t="n"/>
      <c r="F68" s="21" t="n"/>
      <c r="G68" s="20" t="n"/>
      <c r="H68" s="24" t="str">
        <f>IF(E68="","",IF(N(F68)&gt;=E68,"Paid",IF(AND(D68&lt;&gt;"",D68&lt;TODAY()),"Overdue",IF(N(F68)&gt;0,"Part paid","Upcoming"))))</f>
        <v/>
      </c>
      <c r="I68" s="5" t="n"/>
    </row>
    <row r="69">
      <c r="A69" s="14" t="n"/>
      <c r="B69" s="23" t="str">
        <f>IF(A69="","",IFERROR(INDEX('Units &amp; sales'!$I$12:$I$311,MATCH(A69,'Units &amp; sales'!$C$12:$C$311,0))&amp;"",""))</f>
        <v/>
      </c>
      <c r="C69" s="5" t="n"/>
      <c r="D69" s="20" t="n"/>
      <c r="E69" s="21" t="n"/>
      <c r="F69" s="21" t="n"/>
      <c r="G69" s="20" t="n"/>
      <c r="H69" s="24" t="str">
        <f>IF(E69="","",IF(N(F69)&gt;=E69,"Paid",IF(AND(D69&lt;&gt;"",D69&lt;TODAY()),"Overdue",IF(N(F69)&gt;0,"Part paid","Upcoming"))))</f>
        <v/>
      </c>
      <c r="I69" s="5" t="n"/>
    </row>
    <row r="70">
      <c r="A70" s="14" t="n"/>
      <c r="B70" s="23" t="str">
        <f>IF(A70="","",IFERROR(INDEX('Units &amp; sales'!$I$12:$I$311,MATCH(A70,'Units &amp; sales'!$C$12:$C$311,0))&amp;"",""))</f>
        <v/>
      </c>
      <c r="C70" s="5" t="n"/>
      <c r="D70" s="20" t="n"/>
      <c r="E70" s="21" t="n"/>
      <c r="F70" s="21" t="n"/>
      <c r="G70" s="20" t="n"/>
      <c r="H70" s="24" t="str">
        <f>IF(E70="","",IF(N(F70)&gt;=E70,"Paid",IF(AND(D70&lt;&gt;"",D70&lt;TODAY()),"Overdue",IF(N(F70)&gt;0,"Part paid","Upcoming"))))</f>
        <v/>
      </c>
      <c r="I70" s="5" t="n"/>
    </row>
    <row r="71">
      <c r="A71" s="14" t="n"/>
      <c r="B71" s="23" t="str">
        <f>IF(A71="","",IFERROR(INDEX('Units &amp; sales'!$I$12:$I$311,MATCH(A71,'Units &amp; sales'!$C$12:$C$311,0))&amp;"",""))</f>
        <v/>
      </c>
      <c r="C71" s="5" t="n"/>
      <c r="D71" s="20" t="n"/>
      <c r="E71" s="21" t="n"/>
      <c r="F71" s="21" t="n"/>
      <c r="G71" s="20" t="n"/>
      <c r="H71" s="24" t="str">
        <f>IF(E71="","",IF(N(F71)&gt;=E71,"Paid",IF(AND(D71&lt;&gt;"",D71&lt;TODAY()),"Overdue",IF(N(F71)&gt;0,"Part paid","Upcoming"))))</f>
        <v/>
      </c>
      <c r="I71" s="5" t="n"/>
    </row>
    <row r="72">
      <c r="A72" s="14" t="n"/>
      <c r="B72" s="23" t="str">
        <f>IF(A72="","",IFERROR(INDEX('Units &amp; sales'!$I$12:$I$311,MATCH(A72,'Units &amp; sales'!$C$12:$C$311,0))&amp;"",""))</f>
        <v/>
      </c>
      <c r="C72" s="5" t="n"/>
      <c r="D72" s="20" t="n"/>
      <c r="E72" s="21" t="n"/>
      <c r="F72" s="21" t="n"/>
      <c r="G72" s="20" t="n"/>
      <c r="H72" s="24" t="str">
        <f>IF(E72="","",IF(N(F72)&gt;=E72,"Paid",IF(AND(D72&lt;&gt;"",D72&lt;TODAY()),"Overdue",IF(N(F72)&gt;0,"Part paid","Upcoming"))))</f>
        <v/>
      </c>
      <c r="I72" s="5" t="n"/>
    </row>
    <row r="73">
      <c r="A73" s="14" t="n"/>
      <c r="B73" s="23" t="str">
        <f>IF(A73="","",IFERROR(INDEX('Units &amp; sales'!$I$12:$I$311,MATCH(A73,'Units &amp; sales'!$C$12:$C$311,0))&amp;"",""))</f>
        <v/>
      </c>
      <c r="C73" s="5" t="n"/>
      <c r="D73" s="20" t="n"/>
      <c r="E73" s="21" t="n"/>
      <c r="F73" s="21" t="n"/>
      <c r="G73" s="20" t="n"/>
      <c r="H73" s="24" t="str">
        <f>IF(E73="","",IF(N(F73)&gt;=E73,"Paid",IF(AND(D73&lt;&gt;"",D73&lt;TODAY()),"Overdue",IF(N(F73)&gt;0,"Part paid","Upcoming"))))</f>
        <v/>
      </c>
      <c r="I73" s="5" t="n"/>
    </row>
    <row r="74">
      <c r="A74" s="14" t="n"/>
      <c r="B74" s="23" t="str">
        <f>IF(A74="","",IFERROR(INDEX('Units &amp; sales'!$I$12:$I$311,MATCH(A74,'Units &amp; sales'!$C$12:$C$311,0))&amp;"",""))</f>
        <v/>
      </c>
      <c r="C74" s="5" t="n"/>
      <c r="D74" s="20" t="n"/>
      <c r="E74" s="21" t="n"/>
      <c r="F74" s="21" t="n"/>
      <c r="G74" s="20" t="n"/>
      <c r="H74" s="24" t="str">
        <f>IF(E74="","",IF(N(F74)&gt;=E74,"Paid",IF(AND(D74&lt;&gt;"",D74&lt;TODAY()),"Overdue",IF(N(F74)&gt;0,"Part paid","Upcoming"))))</f>
        <v/>
      </c>
      <c r="I74" s="5" t="n"/>
    </row>
    <row r="75">
      <c r="A75" s="14" t="n"/>
      <c r="B75" s="23" t="str">
        <f>IF(A75="","",IFERROR(INDEX('Units &amp; sales'!$I$12:$I$311,MATCH(A75,'Units &amp; sales'!$C$12:$C$311,0))&amp;"",""))</f>
        <v/>
      </c>
      <c r="C75" s="5" t="n"/>
      <c r="D75" s="20" t="n"/>
      <c r="E75" s="21" t="n"/>
      <c r="F75" s="21" t="n"/>
      <c r="G75" s="20" t="n"/>
      <c r="H75" s="24" t="str">
        <f>IF(E75="","",IF(N(F75)&gt;=E75,"Paid",IF(AND(D75&lt;&gt;"",D75&lt;TODAY()),"Overdue",IF(N(F75)&gt;0,"Part paid","Upcoming"))))</f>
        <v/>
      </c>
      <c r="I75" s="5" t="n"/>
    </row>
    <row r="76">
      <c r="A76" s="14" t="n"/>
      <c r="B76" s="23" t="str">
        <f>IF(A76="","",IFERROR(INDEX('Units &amp; sales'!$I$12:$I$311,MATCH(A76,'Units &amp; sales'!$C$12:$C$311,0))&amp;"",""))</f>
        <v/>
      </c>
      <c r="C76" s="5" t="n"/>
      <c r="D76" s="20" t="n"/>
      <c r="E76" s="21" t="n"/>
      <c r="F76" s="21" t="n"/>
      <c r="G76" s="20" t="n"/>
      <c r="H76" s="24" t="str">
        <f>IF(E76="","",IF(N(F76)&gt;=E76,"Paid",IF(AND(D76&lt;&gt;"",D76&lt;TODAY()),"Overdue",IF(N(F76)&gt;0,"Part paid","Upcoming"))))</f>
        <v/>
      </c>
      <c r="I76" s="5" t="n"/>
    </row>
    <row r="77">
      <c r="A77" s="14" t="n"/>
      <c r="B77" s="23" t="str">
        <f>IF(A77="","",IFERROR(INDEX('Units &amp; sales'!$I$12:$I$311,MATCH(A77,'Units &amp; sales'!$C$12:$C$311,0))&amp;"",""))</f>
        <v/>
      </c>
      <c r="C77" s="5" t="n"/>
      <c r="D77" s="20" t="n"/>
      <c r="E77" s="21" t="n"/>
      <c r="F77" s="21" t="n"/>
      <c r="G77" s="20" t="n"/>
      <c r="H77" s="24" t="str">
        <f>IF(E77="","",IF(N(F77)&gt;=E77,"Paid",IF(AND(D77&lt;&gt;"",D77&lt;TODAY()),"Overdue",IF(N(F77)&gt;0,"Part paid","Upcoming"))))</f>
        <v/>
      </c>
      <c r="I77" s="5" t="n"/>
    </row>
    <row r="78">
      <c r="A78" s="14" t="n"/>
      <c r="B78" s="23" t="str">
        <f>IF(A78="","",IFERROR(INDEX('Units &amp; sales'!$I$12:$I$311,MATCH(A78,'Units &amp; sales'!$C$12:$C$311,0))&amp;"",""))</f>
        <v/>
      </c>
      <c r="C78" s="5" t="n"/>
      <c r="D78" s="20" t="n"/>
      <c r="E78" s="21" t="n"/>
      <c r="F78" s="21" t="n"/>
      <c r="G78" s="20" t="n"/>
      <c r="H78" s="24" t="str">
        <f>IF(E78="","",IF(N(F78)&gt;=E78,"Paid",IF(AND(D78&lt;&gt;"",D78&lt;TODAY()),"Overdue",IF(N(F78)&gt;0,"Part paid","Upcoming"))))</f>
        <v/>
      </c>
      <c r="I78" s="5" t="n"/>
    </row>
    <row r="79">
      <c r="A79" s="14" t="n"/>
      <c r="B79" s="23" t="str">
        <f>IF(A79="","",IFERROR(INDEX('Units &amp; sales'!$I$12:$I$311,MATCH(A79,'Units &amp; sales'!$C$12:$C$311,0))&amp;"",""))</f>
        <v/>
      </c>
      <c r="C79" s="5" t="n"/>
      <c r="D79" s="20" t="n"/>
      <c r="E79" s="21" t="n"/>
      <c r="F79" s="21" t="n"/>
      <c r="G79" s="20" t="n"/>
      <c r="H79" s="24" t="str">
        <f>IF(E79="","",IF(N(F79)&gt;=E79,"Paid",IF(AND(D79&lt;&gt;"",D79&lt;TODAY()),"Overdue",IF(N(F79)&gt;0,"Part paid","Upcoming"))))</f>
        <v/>
      </c>
      <c r="I79" s="5" t="n"/>
    </row>
    <row r="80">
      <c r="A80" s="14" t="n"/>
      <c r="B80" s="23" t="str">
        <f>IF(A80="","",IFERROR(INDEX('Units &amp; sales'!$I$12:$I$311,MATCH(A80,'Units &amp; sales'!$C$12:$C$311,0))&amp;"",""))</f>
        <v/>
      </c>
      <c r="C80" s="5" t="n"/>
      <c r="D80" s="20" t="n"/>
      <c r="E80" s="21" t="n"/>
      <c r="F80" s="21" t="n"/>
      <c r="G80" s="20" t="n"/>
      <c r="H80" s="24" t="str">
        <f>IF(E80="","",IF(N(F80)&gt;=E80,"Paid",IF(AND(D80&lt;&gt;"",D80&lt;TODAY()),"Overdue",IF(N(F80)&gt;0,"Part paid","Upcoming"))))</f>
        <v/>
      </c>
      <c r="I80" s="5" t="n"/>
    </row>
    <row r="81">
      <c r="A81" s="14" t="n"/>
      <c r="B81" s="23" t="str">
        <f>IF(A81="","",IFERROR(INDEX('Units &amp; sales'!$I$12:$I$311,MATCH(A81,'Units &amp; sales'!$C$12:$C$311,0))&amp;"",""))</f>
        <v/>
      </c>
      <c r="C81" s="5" t="n"/>
      <c r="D81" s="20" t="n"/>
      <c r="E81" s="21" t="n"/>
      <c r="F81" s="21" t="n"/>
      <c r="G81" s="20" t="n"/>
      <c r="H81" s="24" t="str">
        <f>IF(E81="","",IF(N(F81)&gt;=E81,"Paid",IF(AND(D81&lt;&gt;"",D81&lt;TODAY()),"Overdue",IF(N(F81)&gt;0,"Part paid","Upcoming"))))</f>
        <v/>
      </c>
      <c r="I81" s="5" t="n"/>
    </row>
    <row r="82">
      <c r="A82" s="14" t="n"/>
      <c r="B82" s="23" t="str">
        <f>IF(A82="","",IFERROR(INDEX('Units &amp; sales'!$I$12:$I$311,MATCH(A82,'Units &amp; sales'!$C$12:$C$311,0))&amp;"",""))</f>
        <v/>
      </c>
      <c r="C82" s="5" t="n"/>
      <c r="D82" s="20" t="n"/>
      <c r="E82" s="21" t="n"/>
      <c r="F82" s="21" t="n"/>
      <c r="G82" s="20" t="n"/>
      <c r="H82" s="24" t="str">
        <f>IF(E82="","",IF(N(F82)&gt;=E82,"Paid",IF(AND(D82&lt;&gt;"",D82&lt;TODAY()),"Overdue",IF(N(F82)&gt;0,"Part paid","Upcoming"))))</f>
        <v/>
      </c>
      <c r="I82" s="5" t="n"/>
    </row>
    <row r="83">
      <c r="A83" s="14" t="n"/>
      <c r="B83" s="23" t="str">
        <f>IF(A83="","",IFERROR(INDEX('Units &amp; sales'!$I$12:$I$311,MATCH(A83,'Units &amp; sales'!$C$12:$C$311,0))&amp;"",""))</f>
        <v/>
      </c>
      <c r="C83" s="5" t="n"/>
      <c r="D83" s="20" t="n"/>
      <c r="E83" s="21" t="n"/>
      <c r="F83" s="21" t="n"/>
      <c r="G83" s="20" t="n"/>
      <c r="H83" s="24" t="str">
        <f>IF(E83="","",IF(N(F83)&gt;=E83,"Paid",IF(AND(D83&lt;&gt;"",D83&lt;TODAY()),"Overdue",IF(N(F83)&gt;0,"Part paid","Upcoming"))))</f>
        <v/>
      </c>
      <c r="I83" s="5" t="n"/>
    </row>
    <row r="84">
      <c r="A84" s="14" t="n"/>
      <c r="B84" s="23" t="str">
        <f>IF(A84="","",IFERROR(INDEX('Units &amp; sales'!$I$12:$I$311,MATCH(A84,'Units &amp; sales'!$C$12:$C$311,0))&amp;"",""))</f>
        <v/>
      </c>
      <c r="C84" s="5" t="n"/>
      <c r="D84" s="20" t="n"/>
      <c r="E84" s="21" t="n"/>
      <c r="F84" s="21" t="n"/>
      <c r="G84" s="20" t="n"/>
      <c r="H84" s="24" t="str">
        <f>IF(E84="","",IF(N(F84)&gt;=E84,"Paid",IF(AND(D84&lt;&gt;"",D84&lt;TODAY()),"Overdue",IF(N(F84)&gt;0,"Part paid","Upcoming"))))</f>
        <v/>
      </c>
      <c r="I84" s="5" t="n"/>
    </row>
    <row r="85">
      <c r="A85" s="14" t="n"/>
      <c r="B85" s="23" t="str">
        <f>IF(A85="","",IFERROR(INDEX('Units &amp; sales'!$I$12:$I$311,MATCH(A85,'Units &amp; sales'!$C$12:$C$311,0))&amp;"",""))</f>
        <v/>
      </c>
      <c r="C85" s="5" t="n"/>
      <c r="D85" s="20" t="n"/>
      <c r="E85" s="21" t="n"/>
      <c r="F85" s="21" t="n"/>
      <c r="G85" s="20" t="n"/>
      <c r="H85" s="24" t="str">
        <f>IF(E85="","",IF(N(F85)&gt;=E85,"Paid",IF(AND(D85&lt;&gt;"",D85&lt;TODAY()),"Overdue",IF(N(F85)&gt;0,"Part paid","Upcoming"))))</f>
        <v/>
      </c>
      <c r="I85" s="5" t="n"/>
    </row>
    <row r="86">
      <c r="A86" s="14" t="n"/>
      <c r="B86" s="23" t="str">
        <f>IF(A86="","",IFERROR(INDEX('Units &amp; sales'!$I$12:$I$311,MATCH(A86,'Units &amp; sales'!$C$12:$C$311,0))&amp;"",""))</f>
        <v/>
      </c>
      <c r="C86" s="5" t="n"/>
      <c r="D86" s="20" t="n"/>
      <c r="E86" s="21" t="n"/>
      <c r="F86" s="21" t="n"/>
      <c r="G86" s="20" t="n"/>
      <c r="H86" s="24" t="str">
        <f>IF(E86="","",IF(N(F86)&gt;=E86,"Paid",IF(AND(D86&lt;&gt;"",D86&lt;TODAY()),"Overdue",IF(N(F86)&gt;0,"Part paid","Upcoming"))))</f>
        <v/>
      </c>
      <c r="I86" s="5" t="n"/>
    </row>
    <row r="87">
      <c r="A87" s="14" t="n"/>
      <c r="B87" s="23" t="str">
        <f>IF(A87="","",IFERROR(INDEX('Units &amp; sales'!$I$12:$I$311,MATCH(A87,'Units &amp; sales'!$C$12:$C$311,0))&amp;"",""))</f>
        <v/>
      </c>
      <c r="C87" s="5" t="n"/>
      <c r="D87" s="20" t="n"/>
      <c r="E87" s="21" t="n"/>
      <c r="F87" s="21" t="n"/>
      <c r="G87" s="20" t="n"/>
      <c r="H87" s="24" t="str">
        <f>IF(E87="","",IF(N(F87)&gt;=E87,"Paid",IF(AND(D87&lt;&gt;"",D87&lt;TODAY()),"Overdue",IF(N(F87)&gt;0,"Part paid","Upcoming"))))</f>
        <v/>
      </c>
      <c r="I87" s="5" t="n"/>
    </row>
    <row r="88">
      <c r="A88" s="14" t="n"/>
      <c r="B88" s="23" t="str">
        <f>IF(A88="","",IFERROR(INDEX('Units &amp; sales'!$I$12:$I$311,MATCH(A88,'Units &amp; sales'!$C$12:$C$311,0))&amp;"",""))</f>
        <v/>
      </c>
      <c r="C88" s="5" t="n"/>
      <c r="D88" s="20" t="n"/>
      <c r="E88" s="21" t="n"/>
      <c r="F88" s="21" t="n"/>
      <c r="G88" s="20" t="n"/>
      <c r="H88" s="24" t="str">
        <f>IF(E88="","",IF(N(F88)&gt;=E88,"Paid",IF(AND(D88&lt;&gt;"",D88&lt;TODAY()),"Overdue",IF(N(F88)&gt;0,"Part paid","Upcoming"))))</f>
        <v/>
      </c>
      <c r="I88" s="5" t="n"/>
    </row>
    <row r="89">
      <c r="A89" s="14" t="n"/>
      <c r="B89" s="23" t="str">
        <f>IF(A89="","",IFERROR(INDEX('Units &amp; sales'!$I$12:$I$311,MATCH(A89,'Units &amp; sales'!$C$12:$C$311,0))&amp;"",""))</f>
        <v/>
      </c>
      <c r="C89" s="5" t="n"/>
      <c r="D89" s="20" t="n"/>
      <c r="E89" s="21" t="n"/>
      <c r="F89" s="21" t="n"/>
      <c r="G89" s="20" t="n"/>
      <c r="H89" s="24" t="str">
        <f>IF(E89="","",IF(N(F89)&gt;=E89,"Paid",IF(AND(D89&lt;&gt;"",D89&lt;TODAY()),"Overdue",IF(N(F89)&gt;0,"Part paid","Upcoming"))))</f>
        <v/>
      </c>
      <c r="I89" s="5" t="n"/>
    </row>
    <row r="90">
      <c r="A90" s="14" t="n"/>
      <c r="B90" s="23" t="str">
        <f>IF(A90="","",IFERROR(INDEX('Units &amp; sales'!$I$12:$I$311,MATCH(A90,'Units &amp; sales'!$C$12:$C$311,0))&amp;"",""))</f>
        <v/>
      </c>
      <c r="C90" s="5" t="n"/>
      <c r="D90" s="20" t="n"/>
      <c r="E90" s="21" t="n"/>
      <c r="F90" s="21" t="n"/>
      <c r="G90" s="20" t="n"/>
      <c r="H90" s="24" t="str">
        <f>IF(E90="","",IF(N(F90)&gt;=E90,"Paid",IF(AND(D90&lt;&gt;"",D90&lt;TODAY()),"Overdue",IF(N(F90)&gt;0,"Part paid","Upcoming"))))</f>
        <v/>
      </c>
      <c r="I90" s="5" t="n"/>
    </row>
    <row r="91">
      <c r="A91" s="14" t="n"/>
      <c r="B91" s="23" t="str">
        <f>IF(A91="","",IFERROR(INDEX('Units &amp; sales'!$I$12:$I$311,MATCH(A91,'Units &amp; sales'!$C$12:$C$311,0))&amp;"",""))</f>
        <v/>
      </c>
      <c r="C91" s="5" t="n"/>
      <c r="D91" s="20" t="n"/>
      <c r="E91" s="21" t="n"/>
      <c r="F91" s="21" t="n"/>
      <c r="G91" s="20" t="n"/>
      <c r="H91" s="24" t="str">
        <f>IF(E91="","",IF(N(F91)&gt;=E91,"Paid",IF(AND(D91&lt;&gt;"",D91&lt;TODAY()),"Overdue",IF(N(F91)&gt;0,"Part paid","Upcoming"))))</f>
        <v/>
      </c>
      <c r="I91" s="5" t="n"/>
    </row>
    <row r="92">
      <c r="A92" s="14" t="n"/>
      <c r="B92" s="23" t="str">
        <f>IF(A92="","",IFERROR(INDEX('Units &amp; sales'!$I$12:$I$311,MATCH(A92,'Units &amp; sales'!$C$12:$C$311,0))&amp;"",""))</f>
        <v/>
      </c>
      <c r="C92" s="5" t="n"/>
      <c r="D92" s="20" t="n"/>
      <c r="E92" s="21" t="n"/>
      <c r="F92" s="21" t="n"/>
      <c r="G92" s="20" t="n"/>
      <c r="H92" s="24" t="str">
        <f>IF(E92="","",IF(N(F92)&gt;=E92,"Paid",IF(AND(D92&lt;&gt;"",D92&lt;TODAY()),"Overdue",IF(N(F92)&gt;0,"Part paid","Upcoming"))))</f>
        <v/>
      </c>
      <c r="I92" s="5" t="n"/>
    </row>
    <row r="93">
      <c r="A93" s="14" t="n"/>
      <c r="B93" s="23" t="str">
        <f>IF(A93="","",IFERROR(INDEX('Units &amp; sales'!$I$12:$I$311,MATCH(A93,'Units &amp; sales'!$C$12:$C$311,0))&amp;"",""))</f>
        <v/>
      </c>
      <c r="C93" s="5" t="n"/>
      <c r="D93" s="20" t="n"/>
      <c r="E93" s="21" t="n"/>
      <c r="F93" s="21" t="n"/>
      <c r="G93" s="20" t="n"/>
      <c r="H93" s="24" t="str">
        <f>IF(E93="","",IF(N(F93)&gt;=E93,"Paid",IF(AND(D93&lt;&gt;"",D93&lt;TODAY()),"Overdue",IF(N(F93)&gt;0,"Part paid","Upcoming"))))</f>
        <v/>
      </c>
      <c r="I93" s="5" t="n"/>
    </row>
    <row r="94">
      <c r="A94" s="14" t="n"/>
      <c r="B94" s="23" t="str">
        <f>IF(A94="","",IFERROR(INDEX('Units &amp; sales'!$I$12:$I$311,MATCH(A94,'Units &amp; sales'!$C$12:$C$311,0))&amp;"",""))</f>
        <v/>
      </c>
      <c r="C94" s="5" t="n"/>
      <c r="D94" s="20" t="n"/>
      <c r="E94" s="21" t="n"/>
      <c r="F94" s="21" t="n"/>
      <c r="G94" s="20" t="n"/>
      <c r="H94" s="24" t="str">
        <f>IF(E94="","",IF(N(F94)&gt;=E94,"Paid",IF(AND(D94&lt;&gt;"",D94&lt;TODAY()),"Overdue",IF(N(F94)&gt;0,"Part paid","Upcoming"))))</f>
        <v/>
      </c>
      <c r="I94" s="5" t="n"/>
    </row>
    <row r="95">
      <c r="A95" s="14" t="n"/>
      <c r="B95" s="23" t="str">
        <f>IF(A95="","",IFERROR(INDEX('Units &amp; sales'!$I$12:$I$311,MATCH(A95,'Units &amp; sales'!$C$12:$C$311,0))&amp;"",""))</f>
        <v/>
      </c>
      <c r="C95" s="5" t="n"/>
      <c r="D95" s="20" t="n"/>
      <c r="E95" s="21" t="n"/>
      <c r="F95" s="21" t="n"/>
      <c r="G95" s="20" t="n"/>
      <c r="H95" s="24" t="str">
        <f>IF(E95="","",IF(N(F95)&gt;=E95,"Paid",IF(AND(D95&lt;&gt;"",D95&lt;TODAY()),"Overdue",IF(N(F95)&gt;0,"Part paid","Upcoming"))))</f>
        <v/>
      </c>
      <c r="I95" s="5" t="n"/>
    </row>
    <row r="96">
      <c r="A96" s="14" t="n"/>
      <c r="B96" s="23" t="str">
        <f>IF(A96="","",IFERROR(INDEX('Units &amp; sales'!$I$12:$I$311,MATCH(A96,'Units &amp; sales'!$C$12:$C$311,0))&amp;"",""))</f>
        <v/>
      </c>
      <c r="C96" s="5" t="n"/>
      <c r="D96" s="20" t="n"/>
      <c r="E96" s="21" t="n"/>
      <c r="F96" s="21" t="n"/>
      <c r="G96" s="20" t="n"/>
      <c r="H96" s="24" t="str">
        <f>IF(E96="","",IF(N(F96)&gt;=E96,"Paid",IF(AND(D96&lt;&gt;"",D96&lt;TODAY()),"Overdue",IF(N(F96)&gt;0,"Part paid","Upcoming"))))</f>
        <v/>
      </c>
      <c r="I96" s="5" t="n"/>
    </row>
    <row r="97">
      <c r="A97" s="14" t="n"/>
      <c r="B97" s="23" t="str">
        <f>IF(A97="","",IFERROR(INDEX('Units &amp; sales'!$I$12:$I$311,MATCH(A97,'Units &amp; sales'!$C$12:$C$311,0))&amp;"",""))</f>
        <v/>
      </c>
      <c r="C97" s="5" t="n"/>
      <c r="D97" s="20" t="n"/>
      <c r="E97" s="21" t="n"/>
      <c r="F97" s="21" t="n"/>
      <c r="G97" s="20" t="n"/>
      <c r="H97" s="24" t="str">
        <f>IF(E97="","",IF(N(F97)&gt;=E97,"Paid",IF(AND(D97&lt;&gt;"",D97&lt;TODAY()),"Overdue",IF(N(F97)&gt;0,"Part paid","Upcoming"))))</f>
        <v/>
      </c>
      <c r="I97" s="5" t="n"/>
    </row>
    <row r="98">
      <c r="A98" s="14" t="n"/>
      <c r="B98" s="23" t="str">
        <f>IF(A98="","",IFERROR(INDEX('Units &amp; sales'!$I$12:$I$311,MATCH(A98,'Units &amp; sales'!$C$12:$C$311,0))&amp;"",""))</f>
        <v/>
      </c>
      <c r="C98" s="5" t="n"/>
      <c r="D98" s="20" t="n"/>
      <c r="E98" s="21" t="n"/>
      <c r="F98" s="21" t="n"/>
      <c r="G98" s="20" t="n"/>
      <c r="H98" s="24" t="str">
        <f>IF(E98="","",IF(N(F98)&gt;=E98,"Paid",IF(AND(D98&lt;&gt;"",D98&lt;TODAY()),"Overdue",IF(N(F98)&gt;0,"Part paid","Upcoming"))))</f>
        <v/>
      </c>
      <c r="I98" s="5" t="n"/>
    </row>
    <row r="99">
      <c r="A99" s="14" t="n"/>
      <c r="B99" s="23" t="str">
        <f>IF(A99="","",IFERROR(INDEX('Units &amp; sales'!$I$12:$I$311,MATCH(A99,'Units &amp; sales'!$C$12:$C$311,0))&amp;"",""))</f>
        <v/>
      </c>
      <c r="C99" s="5" t="n"/>
      <c r="D99" s="20" t="n"/>
      <c r="E99" s="21" t="n"/>
      <c r="F99" s="21" t="n"/>
      <c r="G99" s="20" t="n"/>
      <c r="H99" s="24" t="str">
        <f>IF(E99="","",IF(N(F99)&gt;=E99,"Paid",IF(AND(D99&lt;&gt;"",D99&lt;TODAY()),"Overdue",IF(N(F99)&gt;0,"Part paid","Upcoming"))))</f>
        <v/>
      </c>
      <c r="I99" s="5" t="n"/>
    </row>
    <row r="100">
      <c r="A100" s="14" t="n"/>
      <c r="B100" s="23" t="str">
        <f>IF(A100="","",IFERROR(INDEX('Units &amp; sales'!$I$12:$I$311,MATCH(A100,'Units &amp; sales'!$C$12:$C$311,0))&amp;"",""))</f>
        <v/>
      </c>
      <c r="C100" s="5" t="n"/>
      <c r="D100" s="20" t="n"/>
      <c r="E100" s="21" t="n"/>
      <c r="F100" s="21" t="n"/>
      <c r="G100" s="20" t="n"/>
      <c r="H100" s="24" t="str">
        <f>IF(E100="","",IF(N(F100)&gt;=E100,"Paid",IF(AND(D100&lt;&gt;"",D100&lt;TODAY()),"Overdue",IF(N(F100)&gt;0,"Part paid","Upcoming"))))</f>
        <v/>
      </c>
      <c r="I100" s="5" t="n"/>
    </row>
    <row r="101">
      <c r="A101" s="14" t="n"/>
      <c r="B101" s="23" t="str">
        <f>IF(A101="","",IFERROR(INDEX('Units &amp; sales'!$I$12:$I$311,MATCH(A101,'Units &amp; sales'!$C$12:$C$311,0))&amp;"",""))</f>
        <v/>
      </c>
      <c r="C101" s="5" t="n"/>
      <c r="D101" s="20" t="n"/>
      <c r="E101" s="21" t="n"/>
      <c r="F101" s="21" t="n"/>
      <c r="G101" s="20" t="n"/>
      <c r="H101" s="24" t="str">
        <f>IF(E101="","",IF(N(F101)&gt;=E101,"Paid",IF(AND(D101&lt;&gt;"",D101&lt;TODAY()),"Overdue",IF(N(F101)&gt;0,"Part paid","Upcoming"))))</f>
        <v/>
      </c>
      <c r="I101" s="5" t="n"/>
    </row>
    <row r="102">
      <c r="A102" s="14" t="n"/>
      <c r="B102" s="23" t="str">
        <f>IF(A102="","",IFERROR(INDEX('Units &amp; sales'!$I$12:$I$311,MATCH(A102,'Units &amp; sales'!$C$12:$C$311,0))&amp;"",""))</f>
        <v/>
      </c>
      <c r="C102" s="5" t="n"/>
      <c r="D102" s="20" t="n"/>
      <c r="E102" s="21" t="n"/>
      <c r="F102" s="21" t="n"/>
      <c r="G102" s="20" t="n"/>
      <c r="H102" s="24" t="str">
        <f>IF(E102="","",IF(N(F102)&gt;=E102,"Paid",IF(AND(D102&lt;&gt;"",D102&lt;TODAY()),"Overdue",IF(N(F102)&gt;0,"Part paid","Upcoming"))))</f>
        <v/>
      </c>
      <c r="I102" s="5" t="n"/>
    </row>
    <row r="103">
      <c r="A103" s="14" t="n"/>
      <c r="B103" s="23" t="str">
        <f>IF(A103="","",IFERROR(INDEX('Units &amp; sales'!$I$12:$I$311,MATCH(A103,'Units &amp; sales'!$C$12:$C$311,0))&amp;"",""))</f>
        <v/>
      </c>
      <c r="C103" s="5" t="n"/>
      <c r="D103" s="20" t="n"/>
      <c r="E103" s="21" t="n"/>
      <c r="F103" s="21" t="n"/>
      <c r="G103" s="20" t="n"/>
      <c r="H103" s="24" t="str">
        <f>IF(E103="","",IF(N(F103)&gt;=E103,"Paid",IF(AND(D103&lt;&gt;"",D103&lt;TODAY()),"Overdue",IF(N(F103)&gt;0,"Part paid","Upcoming"))))</f>
        <v/>
      </c>
      <c r="I103" s="5" t="n"/>
    </row>
    <row r="104">
      <c r="A104" s="14" t="n"/>
      <c r="B104" s="23" t="str">
        <f>IF(A104="","",IFERROR(INDEX('Units &amp; sales'!$I$12:$I$311,MATCH(A104,'Units &amp; sales'!$C$12:$C$311,0))&amp;"",""))</f>
        <v/>
      </c>
      <c r="C104" s="5" t="n"/>
      <c r="D104" s="20" t="n"/>
      <c r="E104" s="21" t="n"/>
      <c r="F104" s="21" t="n"/>
      <c r="G104" s="20" t="n"/>
      <c r="H104" s="24" t="str">
        <f>IF(E104="","",IF(N(F104)&gt;=E104,"Paid",IF(AND(D104&lt;&gt;"",D104&lt;TODAY()),"Overdue",IF(N(F104)&gt;0,"Part paid","Upcoming"))))</f>
        <v/>
      </c>
      <c r="I104" s="5" t="n"/>
    </row>
    <row r="105">
      <c r="A105" s="14" t="n"/>
      <c r="B105" s="23" t="str">
        <f>IF(A105="","",IFERROR(INDEX('Units &amp; sales'!$I$12:$I$311,MATCH(A105,'Units &amp; sales'!$C$12:$C$311,0))&amp;"",""))</f>
        <v/>
      </c>
      <c r="C105" s="5" t="n"/>
      <c r="D105" s="20" t="n"/>
      <c r="E105" s="21" t="n"/>
      <c r="F105" s="21" t="n"/>
      <c r="G105" s="20" t="n"/>
      <c r="H105" s="24" t="str">
        <f>IF(E105="","",IF(N(F105)&gt;=E105,"Paid",IF(AND(D105&lt;&gt;"",D105&lt;TODAY()),"Overdue",IF(N(F105)&gt;0,"Part paid","Upcoming"))))</f>
        <v/>
      </c>
      <c r="I105" s="5" t="n"/>
    </row>
    <row r="106">
      <c r="A106" s="14" t="n"/>
      <c r="B106" s="23" t="str">
        <f>IF(A106="","",IFERROR(INDEX('Units &amp; sales'!$I$12:$I$311,MATCH(A106,'Units &amp; sales'!$C$12:$C$311,0))&amp;"",""))</f>
        <v/>
      </c>
      <c r="C106" s="5" t="n"/>
      <c r="D106" s="20" t="n"/>
      <c r="E106" s="21" t="n"/>
      <c r="F106" s="21" t="n"/>
      <c r="G106" s="20" t="n"/>
      <c r="H106" s="24" t="str">
        <f>IF(E106="","",IF(N(F106)&gt;=E106,"Paid",IF(AND(D106&lt;&gt;"",D106&lt;TODAY()),"Overdue",IF(N(F106)&gt;0,"Part paid","Upcoming"))))</f>
        <v/>
      </c>
      <c r="I106" s="5" t="n"/>
    </row>
    <row r="107">
      <c r="A107" s="14" t="n"/>
      <c r="B107" s="23" t="str">
        <f>IF(A107="","",IFERROR(INDEX('Units &amp; sales'!$I$12:$I$311,MATCH(A107,'Units &amp; sales'!$C$12:$C$311,0))&amp;"",""))</f>
        <v/>
      </c>
      <c r="C107" s="5" t="n"/>
      <c r="D107" s="20" t="n"/>
      <c r="E107" s="21" t="n"/>
      <c r="F107" s="21" t="n"/>
      <c r="G107" s="20" t="n"/>
      <c r="H107" s="24" t="str">
        <f>IF(E107="","",IF(N(F107)&gt;=E107,"Paid",IF(AND(D107&lt;&gt;"",D107&lt;TODAY()),"Overdue",IF(N(F107)&gt;0,"Part paid","Upcoming"))))</f>
        <v/>
      </c>
      <c r="I107" s="5" t="n"/>
    </row>
    <row r="108">
      <c r="A108" s="14" t="n"/>
      <c r="B108" s="23" t="str">
        <f>IF(A108="","",IFERROR(INDEX('Units &amp; sales'!$I$12:$I$311,MATCH(A108,'Units &amp; sales'!$C$12:$C$311,0))&amp;"",""))</f>
        <v/>
      </c>
      <c r="C108" s="5" t="n"/>
      <c r="D108" s="20" t="n"/>
      <c r="E108" s="21" t="n"/>
      <c r="F108" s="21" t="n"/>
      <c r="G108" s="20" t="n"/>
      <c r="H108" s="24" t="str">
        <f>IF(E108="","",IF(N(F108)&gt;=E108,"Paid",IF(AND(D108&lt;&gt;"",D108&lt;TODAY()),"Overdue",IF(N(F108)&gt;0,"Part paid","Upcoming"))))</f>
        <v/>
      </c>
      <c r="I108" s="5" t="n"/>
    </row>
    <row r="109">
      <c r="A109" s="14" t="n"/>
      <c r="B109" s="23" t="str">
        <f>IF(A109="","",IFERROR(INDEX('Units &amp; sales'!$I$12:$I$311,MATCH(A109,'Units &amp; sales'!$C$12:$C$311,0))&amp;"",""))</f>
        <v/>
      </c>
      <c r="C109" s="5" t="n"/>
      <c r="D109" s="20" t="n"/>
      <c r="E109" s="21" t="n"/>
      <c r="F109" s="21" t="n"/>
      <c r="G109" s="20" t="n"/>
      <c r="H109" s="24" t="str">
        <f>IF(E109="","",IF(N(F109)&gt;=E109,"Paid",IF(AND(D109&lt;&gt;"",D109&lt;TODAY()),"Overdue",IF(N(F109)&gt;0,"Part paid","Upcoming"))))</f>
        <v/>
      </c>
      <c r="I109" s="5" t="n"/>
    </row>
    <row r="110">
      <c r="A110" s="14" t="n"/>
      <c r="B110" s="23" t="str">
        <f>IF(A110="","",IFERROR(INDEX('Units &amp; sales'!$I$12:$I$311,MATCH(A110,'Units &amp; sales'!$C$12:$C$311,0))&amp;"",""))</f>
        <v/>
      </c>
      <c r="C110" s="5" t="n"/>
      <c r="D110" s="20" t="n"/>
      <c r="E110" s="21" t="n"/>
      <c r="F110" s="21" t="n"/>
      <c r="G110" s="20" t="n"/>
      <c r="H110" s="24" t="str">
        <f>IF(E110="","",IF(N(F110)&gt;=E110,"Paid",IF(AND(D110&lt;&gt;"",D110&lt;TODAY()),"Overdue",IF(N(F110)&gt;0,"Part paid","Upcoming"))))</f>
        <v/>
      </c>
      <c r="I110" s="5" t="n"/>
    </row>
    <row r="111">
      <c r="A111" s="14" t="n"/>
      <c r="B111" s="23" t="str">
        <f>IF(A111="","",IFERROR(INDEX('Units &amp; sales'!$I$12:$I$311,MATCH(A111,'Units &amp; sales'!$C$12:$C$311,0))&amp;"",""))</f>
        <v/>
      </c>
      <c r="C111" s="5" t="n"/>
      <c r="D111" s="20" t="n"/>
      <c r="E111" s="21" t="n"/>
      <c r="F111" s="21" t="n"/>
      <c r="G111" s="20" t="n"/>
      <c r="H111" s="24" t="str">
        <f>IF(E111="","",IF(N(F111)&gt;=E111,"Paid",IF(AND(D111&lt;&gt;"",D111&lt;TODAY()),"Overdue",IF(N(F111)&gt;0,"Part paid","Upcoming"))))</f>
        <v/>
      </c>
      <c r="I111" s="5" t="n"/>
    </row>
    <row r="112">
      <c r="A112" s="14" t="n"/>
      <c r="B112" s="23" t="str">
        <f>IF(A112="","",IFERROR(INDEX('Units &amp; sales'!$I$12:$I$311,MATCH(A112,'Units &amp; sales'!$C$12:$C$311,0))&amp;"",""))</f>
        <v/>
      </c>
      <c r="C112" s="5" t="n"/>
      <c r="D112" s="20" t="n"/>
      <c r="E112" s="21" t="n"/>
      <c r="F112" s="21" t="n"/>
      <c r="G112" s="20" t="n"/>
      <c r="H112" s="24" t="str">
        <f>IF(E112="","",IF(N(F112)&gt;=E112,"Paid",IF(AND(D112&lt;&gt;"",D112&lt;TODAY()),"Overdue",IF(N(F112)&gt;0,"Part paid","Upcoming"))))</f>
        <v/>
      </c>
      <c r="I112" s="5" t="n"/>
    </row>
    <row r="113">
      <c r="A113" s="14" t="n"/>
      <c r="B113" s="23" t="str">
        <f>IF(A113="","",IFERROR(INDEX('Units &amp; sales'!$I$12:$I$311,MATCH(A113,'Units &amp; sales'!$C$12:$C$311,0))&amp;"",""))</f>
        <v/>
      </c>
      <c r="C113" s="5" t="n"/>
      <c r="D113" s="20" t="n"/>
      <c r="E113" s="21" t="n"/>
      <c r="F113" s="21" t="n"/>
      <c r="G113" s="20" t="n"/>
      <c r="H113" s="24" t="str">
        <f>IF(E113="","",IF(N(F113)&gt;=E113,"Paid",IF(AND(D113&lt;&gt;"",D113&lt;TODAY()),"Overdue",IF(N(F113)&gt;0,"Part paid","Upcoming"))))</f>
        <v/>
      </c>
      <c r="I113" s="5" t="n"/>
    </row>
    <row r="114">
      <c r="A114" s="14" t="n"/>
      <c r="B114" s="23" t="str">
        <f>IF(A114="","",IFERROR(INDEX('Units &amp; sales'!$I$12:$I$311,MATCH(A114,'Units &amp; sales'!$C$12:$C$311,0))&amp;"",""))</f>
        <v/>
      </c>
      <c r="C114" s="5" t="n"/>
      <c r="D114" s="20" t="n"/>
      <c r="E114" s="21" t="n"/>
      <c r="F114" s="21" t="n"/>
      <c r="G114" s="20" t="n"/>
      <c r="H114" s="24" t="str">
        <f>IF(E114="","",IF(N(F114)&gt;=E114,"Paid",IF(AND(D114&lt;&gt;"",D114&lt;TODAY()),"Overdue",IF(N(F114)&gt;0,"Part paid","Upcoming"))))</f>
        <v/>
      </c>
      <c r="I114" s="5" t="n"/>
    </row>
    <row r="115">
      <c r="A115" s="14" t="n"/>
      <c r="B115" s="23" t="str">
        <f>IF(A115="","",IFERROR(INDEX('Units &amp; sales'!$I$12:$I$311,MATCH(A115,'Units &amp; sales'!$C$12:$C$311,0))&amp;"",""))</f>
        <v/>
      </c>
      <c r="C115" s="5" t="n"/>
      <c r="D115" s="20" t="n"/>
      <c r="E115" s="21" t="n"/>
      <c r="F115" s="21" t="n"/>
      <c r="G115" s="20" t="n"/>
      <c r="H115" s="24" t="str">
        <f>IF(E115="","",IF(N(F115)&gt;=E115,"Paid",IF(AND(D115&lt;&gt;"",D115&lt;TODAY()),"Overdue",IF(N(F115)&gt;0,"Part paid","Upcoming"))))</f>
        <v/>
      </c>
      <c r="I115" s="5" t="n"/>
    </row>
    <row r="116">
      <c r="A116" s="14" t="n"/>
      <c r="B116" s="23" t="str">
        <f>IF(A116="","",IFERROR(INDEX('Units &amp; sales'!$I$12:$I$311,MATCH(A116,'Units &amp; sales'!$C$12:$C$311,0))&amp;"",""))</f>
        <v/>
      </c>
      <c r="C116" s="5" t="n"/>
      <c r="D116" s="20" t="n"/>
      <c r="E116" s="21" t="n"/>
      <c r="F116" s="21" t="n"/>
      <c r="G116" s="20" t="n"/>
      <c r="H116" s="24" t="str">
        <f>IF(E116="","",IF(N(F116)&gt;=E116,"Paid",IF(AND(D116&lt;&gt;"",D116&lt;TODAY()),"Overdue",IF(N(F116)&gt;0,"Part paid","Upcoming"))))</f>
        <v/>
      </c>
      <c r="I116" s="5" t="n"/>
    </row>
    <row r="117">
      <c r="A117" s="14" t="n"/>
      <c r="B117" s="23" t="str">
        <f>IF(A117="","",IFERROR(INDEX('Units &amp; sales'!$I$12:$I$311,MATCH(A117,'Units &amp; sales'!$C$12:$C$311,0))&amp;"",""))</f>
        <v/>
      </c>
      <c r="C117" s="5" t="n"/>
      <c r="D117" s="20" t="n"/>
      <c r="E117" s="21" t="n"/>
      <c r="F117" s="21" t="n"/>
      <c r="G117" s="20" t="n"/>
      <c r="H117" s="24" t="str">
        <f>IF(E117="","",IF(N(F117)&gt;=E117,"Paid",IF(AND(D117&lt;&gt;"",D117&lt;TODAY()),"Overdue",IF(N(F117)&gt;0,"Part paid","Upcoming"))))</f>
        <v/>
      </c>
      <c r="I117" s="5" t="n"/>
    </row>
    <row r="118">
      <c r="A118" s="14" t="n"/>
      <c r="B118" s="23" t="str">
        <f>IF(A118="","",IFERROR(INDEX('Units &amp; sales'!$I$12:$I$311,MATCH(A118,'Units &amp; sales'!$C$12:$C$311,0))&amp;"",""))</f>
        <v/>
      </c>
      <c r="C118" s="5" t="n"/>
      <c r="D118" s="20" t="n"/>
      <c r="E118" s="21" t="n"/>
      <c r="F118" s="21" t="n"/>
      <c r="G118" s="20" t="n"/>
      <c r="H118" s="24" t="str">
        <f>IF(E118="","",IF(N(F118)&gt;=E118,"Paid",IF(AND(D118&lt;&gt;"",D118&lt;TODAY()),"Overdue",IF(N(F118)&gt;0,"Part paid","Upcoming"))))</f>
        <v/>
      </c>
      <c r="I118" s="5" t="n"/>
    </row>
    <row r="119">
      <c r="A119" s="14" t="n"/>
      <c r="B119" s="23" t="str">
        <f>IF(A119="","",IFERROR(INDEX('Units &amp; sales'!$I$12:$I$311,MATCH(A119,'Units &amp; sales'!$C$12:$C$311,0))&amp;"",""))</f>
        <v/>
      </c>
      <c r="C119" s="5" t="n"/>
      <c r="D119" s="20" t="n"/>
      <c r="E119" s="21" t="n"/>
      <c r="F119" s="21" t="n"/>
      <c r="G119" s="20" t="n"/>
      <c r="H119" s="24" t="str">
        <f>IF(E119="","",IF(N(F119)&gt;=E119,"Paid",IF(AND(D119&lt;&gt;"",D119&lt;TODAY()),"Overdue",IF(N(F119)&gt;0,"Part paid","Upcoming"))))</f>
        <v/>
      </c>
      <c r="I119" s="5" t="n"/>
    </row>
    <row r="120">
      <c r="A120" s="14" t="n"/>
      <c r="B120" s="23" t="str">
        <f>IF(A120="","",IFERROR(INDEX('Units &amp; sales'!$I$12:$I$311,MATCH(A120,'Units &amp; sales'!$C$12:$C$311,0))&amp;"",""))</f>
        <v/>
      </c>
      <c r="C120" s="5" t="n"/>
      <c r="D120" s="20" t="n"/>
      <c r="E120" s="21" t="n"/>
      <c r="F120" s="21" t="n"/>
      <c r="G120" s="20" t="n"/>
      <c r="H120" s="24" t="str">
        <f>IF(E120="","",IF(N(F120)&gt;=E120,"Paid",IF(AND(D120&lt;&gt;"",D120&lt;TODAY()),"Overdue",IF(N(F120)&gt;0,"Part paid","Upcoming"))))</f>
        <v/>
      </c>
      <c r="I120" s="5" t="n"/>
    </row>
    <row r="121">
      <c r="A121" s="14" t="n"/>
      <c r="B121" s="23" t="str">
        <f>IF(A121="","",IFERROR(INDEX('Units &amp; sales'!$I$12:$I$311,MATCH(A121,'Units &amp; sales'!$C$12:$C$311,0))&amp;"",""))</f>
        <v/>
      </c>
      <c r="C121" s="5" t="n"/>
      <c r="D121" s="20" t="n"/>
      <c r="E121" s="21" t="n"/>
      <c r="F121" s="21" t="n"/>
      <c r="G121" s="20" t="n"/>
      <c r="H121" s="24" t="str">
        <f>IF(E121="","",IF(N(F121)&gt;=E121,"Paid",IF(AND(D121&lt;&gt;"",D121&lt;TODAY()),"Overdue",IF(N(F121)&gt;0,"Part paid","Upcoming"))))</f>
        <v/>
      </c>
      <c r="I121" s="5" t="n"/>
    </row>
    <row r="122">
      <c r="A122" s="14" t="n"/>
      <c r="B122" s="23" t="str">
        <f>IF(A122="","",IFERROR(INDEX('Units &amp; sales'!$I$12:$I$311,MATCH(A122,'Units &amp; sales'!$C$12:$C$311,0))&amp;"",""))</f>
        <v/>
      </c>
      <c r="C122" s="5" t="n"/>
      <c r="D122" s="20" t="n"/>
      <c r="E122" s="21" t="n"/>
      <c r="F122" s="21" t="n"/>
      <c r="G122" s="20" t="n"/>
      <c r="H122" s="24" t="str">
        <f>IF(E122="","",IF(N(F122)&gt;=E122,"Paid",IF(AND(D122&lt;&gt;"",D122&lt;TODAY()),"Overdue",IF(N(F122)&gt;0,"Part paid","Upcoming"))))</f>
        <v/>
      </c>
      <c r="I122" s="5" t="n"/>
    </row>
    <row r="123">
      <c r="A123" s="14" t="n"/>
      <c r="B123" s="23" t="str">
        <f>IF(A123="","",IFERROR(INDEX('Units &amp; sales'!$I$12:$I$311,MATCH(A123,'Units &amp; sales'!$C$12:$C$311,0))&amp;"",""))</f>
        <v/>
      </c>
      <c r="C123" s="5" t="n"/>
      <c r="D123" s="20" t="n"/>
      <c r="E123" s="21" t="n"/>
      <c r="F123" s="21" t="n"/>
      <c r="G123" s="20" t="n"/>
      <c r="H123" s="24" t="str">
        <f>IF(E123="","",IF(N(F123)&gt;=E123,"Paid",IF(AND(D123&lt;&gt;"",D123&lt;TODAY()),"Overdue",IF(N(F123)&gt;0,"Part paid","Upcoming"))))</f>
        <v/>
      </c>
      <c r="I123" s="5" t="n"/>
    </row>
    <row r="124">
      <c r="A124" s="14" t="n"/>
      <c r="B124" s="23" t="str">
        <f>IF(A124="","",IFERROR(INDEX('Units &amp; sales'!$I$12:$I$311,MATCH(A124,'Units &amp; sales'!$C$12:$C$311,0))&amp;"",""))</f>
        <v/>
      </c>
      <c r="C124" s="5" t="n"/>
      <c r="D124" s="20" t="n"/>
      <c r="E124" s="21" t="n"/>
      <c r="F124" s="21" t="n"/>
      <c r="G124" s="20" t="n"/>
      <c r="H124" s="24" t="str">
        <f>IF(E124="","",IF(N(F124)&gt;=E124,"Paid",IF(AND(D124&lt;&gt;"",D124&lt;TODAY()),"Overdue",IF(N(F124)&gt;0,"Part paid","Upcoming"))))</f>
        <v/>
      </c>
      <c r="I124" s="5" t="n"/>
    </row>
    <row r="125">
      <c r="A125" s="14" t="n"/>
      <c r="B125" s="23" t="str">
        <f>IF(A125="","",IFERROR(INDEX('Units &amp; sales'!$I$12:$I$311,MATCH(A125,'Units &amp; sales'!$C$12:$C$311,0))&amp;"",""))</f>
        <v/>
      </c>
      <c r="C125" s="5" t="n"/>
      <c r="D125" s="20" t="n"/>
      <c r="E125" s="21" t="n"/>
      <c r="F125" s="21" t="n"/>
      <c r="G125" s="20" t="n"/>
      <c r="H125" s="24" t="str">
        <f>IF(E125="","",IF(N(F125)&gt;=E125,"Paid",IF(AND(D125&lt;&gt;"",D125&lt;TODAY()),"Overdue",IF(N(F125)&gt;0,"Part paid","Upcoming"))))</f>
        <v/>
      </c>
      <c r="I125" s="5" t="n"/>
    </row>
    <row r="126">
      <c r="A126" s="14" t="n"/>
      <c r="B126" s="23" t="str">
        <f>IF(A126="","",IFERROR(INDEX('Units &amp; sales'!$I$12:$I$311,MATCH(A126,'Units &amp; sales'!$C$12:$C$311,0))&amp;"",""))</f>
        <v/>
      </c>
      <c r="C126" s="5" t="n"/>
      <c r="D126" s="20" t="n"/>
      <c r="E126" s="21" t="n"/>
      <c r="F126" s="21" t="n"/>
      <c r="G126" s="20" t="n"/>
      <c r="H126" s="24" t="str">
        <f>IF(E126="","",IF(N(F126)&gt;=E126,"Paid",IF(AND(D126&lt;&gt;"",D126&lt;TODAY()),"Overdue",IF(N(F126)&gt;0,"Part paid","Upcoming"))))</f>
        <v/>
      </c>
      <c r="I126" s="5" t="n"/>
    </row>
    <row r="127">
      <c r="A127" s="14" t="n"/>
      <c r="B127" s="23" t="str">
        <f>IF(A127="","",IFERROR(INDEX('Units &amp; sales'!$I$12:$I$311,MATCH(A127,'Units &amp; sales'!$C$12:$C$311,0))&amp;"",""))</f>
        <v/>
      </c>
      <c r="C127" s="5" t="n"/>
      <c r="D127" s="20" t="n"/>
      <c r="E127" s="21" t="n"/>
      <c r="F127" s="21" t="n"/>
      <c r="G127" s="20" t="n"/>
      <c r="H127" s="24" t="str">
        <f>IF(E127="","",IF(N(F127)&gt;=E127,"Paid",IF(AND(D127&lt;&gt;"",D127&lt;TODAY()),"Overdue",IF(N(F127)&gt;0,"Part paid","Upcoming"))))</f>
        <v/>
      </c>
      <c r="I127" s="5" t="n"/>
    </row>
    <row r="128">
      <c r="A128" s="14" t="n"/>
      <c r="B128" s="23" t="str">
        <f>IF(A128="","",IFERROR(INDEX('Units &amp; sales'!$I$12:$I$311,MATCH(A128,'Units &amp; sales'!$C$12:$C$311,0))&amp;"",""))</f>
        <v/>
      </c>
      <c r="C128" s="5" t="n"/>
      <c r="D128" s="20" t="n"/>
      <c r="E128" s="21" t="n"/>
      <c r="F128" s="21" t="n"/>
      <c r="G128" s="20" t="n"/>
      <c r="H128" s="24" t="str">
        <f>IF(E128="","",IF(N(F128)&gt;=E128,"Paid",IF(AND(D128&lt;&gt;"",D128&lt;TODAY()),"Overdue",IF(N(F128)&gt;0,"Part paid","Upcoming"))))</f>
        <v/>
      </c>
      <c r="I128" s="5" t="n"/>
    </row>
    <row r="129">
      <c r="A129" s="14" t="n"/>
      <c r="B129" s="23" t="str">
        <f>IF(A129="","",IFERROR(INDEX('Units &amp; sales'!$I$12:$I$311,MATCH(A129,'Units &amp; sales'!$C$12:$C$311,0))&amp;"",""))</f>
        <v/>
      </c>
      <c r="C129" s="5" t="n"/>
      <c r="D129" s="20" t="n"/>
      <c r="E129" s="21" t="n"/>
      <c r="F129" s="21" t="n"/>
      <c r="G129" s="20" t="n"/>
      <c r="H129" s="24" t="str">
        <f>IF(E129="","",IF(N(F129)&gt;=E129,"Paid",IF(AND(D129&lt;&gt;"",D129&lt;TODAY()),"Overdue",IF(N(F129)&gt;0,"Part paid","Upcoming"))))</f>
        <v/>
      </c>
      <c r="I129" s="5" t="n"/>
    </row>
    <row r="130">
      <c r="A130" s="14" t="n"/>
      <c r="B130" s="23" t="str">
        <f>IF(A130="","",IFERROR(INDEX('Units &amp; sales'!$I$12:$I$311,MATCH(A130,'Units &amp; sales'!$C$12:$C$311,0))&amp;"",""))</f>
        <v/>
      </c>
      <c r="C130" s="5" t="n"/>
      <c r="D130" s="20" t="n"/>
      <c r="E130" s="21" t="n"/>
      <c r="F130" s="21" t="n"/>
      <c r="G130" s="20" t="n"/>
      <c r="H130" s="24" t="str">
        <f>IF(E130="","",IF(N(F130)&gt;=E130,"Paid",IF(AND(D130&lt;&gt;"",D130&lt;TODAY()),"Overdue",IF(N(F130)&gt;0,"Part paid","Upcoming"))))</f>
        <v/>
      </c>
      <c r="I130" s="5" t="n"/>
    </row>
    <row r="131">
      <c r="A131" s="14" t="n"/>
      <c r="B131" s="23" t="str">
        <f>IF(A131="","",IFERROR(INDEX('Units &amp; sales'!$I$12:$I$311,MATCH(A131,'Units &amp; sales'!$C$12:$C$311,0))&amp;"",""))</f>
        <v/>
      </c>
      <c r="C131" s="5" t="n"/>
      <c r="D131" s="20" t="n"/>
      <c r="E131" s="21" t="n"/>
      <c r="F131" s="21" t="n"/>
      <c r="G131" s="20" t="n"/>
      <c r="H131" s="24" t="str">
        <f>IF(E131="","",IF(N(F131)&gt;=E131,"Paid",IF(AND(D131&lt;&gt;"",D131&lt;TODAY()),"Overdue",IF(N(F131)&gt;0,"Part paid","Upcoming"))))</f>
        <v/>
      </c>
      <c r="I131" s="5" t="n"/>
    </row>
    <row r="132">
      <c r="A132" s="14" t="n"/>
      <c r="B132" s="23" t="str">
        <f>IF(A132="","",IFERROR(INDEX('Units &amp; sales'!$I$12:$I$311,MATCH(A132,'Units &amp; sales'!$C$12:$C$311,0))&amp;"",""))</f>
        <v/>
      </c>
      <c r="C132" s="5" t="n"/>
      <c r="D132" s="20" t="n"/>
      <c r="E132" s="21" t="n"/>
      <c r="F132" s="21" t="n"/>
      <c r="G132" s="20" t="n"/>
      <c r="H132" s="24" t="str">
        <f>IF(E132="","",IF(N(F132)&gt;=E132,"Paid",IF(AND(D132&lt;&gt;"",D132&lt;TODAY()),"Overdue",IF(N(F132)&gt;0,"Part paid","Upcoming"))))</f>
        <v/>
      </c>
      <c r="I132" s="5" t="n"/>
    </row>
    <row r="133">
      <c r="A133" s="14" t="n"/>
      <c r="B133" s="23" t="str">
        <f>IF(A133="","",IFERROR(INDEX('Units &amp; sales'!$I$12:$I$311,MATCH(A133,'Units &amp; sales'!$C$12:$C$311,0))&amp;"",""))</f>
        <v/>
      </c>
      <c r="C133" s="5" t="n"/>
      <c r="D133" s="20" t="n"/>
      <c r="E133" s="21" t="n"/>
      <c r="F133" s="21" t="n"/>
      <c r="G133" s="20" t="n"/>
      <c r="H133" s="24" t="str">
        <f>IF(E133="","",IF(N(F133)&gt;=E133,"Paid",IF(AND(D133&lt;&gt;"",D133&lt;TODAY()),"Overdue",IF(N(F133)&gt;0,"Part paid","Upcoming"))))</f>
        <v/>
      </c>
      <c r="I133" s="5" t="n"/>
    </row>
    <row r="134">
      <c r="A134" s="14" t="n"/>
      <c r="B134" s="23" t="str">
        <f>IF(A134="","",IFERROR(INDEX('Units &amp; sales'!$I$12:$I$311,MATCH(A134,'Units &amp; sales'!$C$12:$C$311,0))&amp;"",""))</f>
        <v/>
      </c>
      <c r="C134" s="5" t="n"/>
      <c r="D134" s="20" t="n"/>
      <c r="E134" s="21" t="n"/>
      <c r="F134" s="21" t="n"/>
      <c r="G134" s="20" t="n"/>
      <c r="H134" s="24" t="str">
        <f>IF(E134="","",IF(N(F134)&gt;=E134,"Paid",IF(AND(D134&lt;&gt;"",D134&lt;TODAY()),"Overdue",IF(N(F134)&gt;0,"Part paid","Upcoming"))))</f>
        <v/>
      </c>
      <c r="I134" s="5" t="n"/>
    </row>
    <row r="135">
      <c r="A135" s="14" t="n"/>
      <c r="B135" s="23" t="str">
        <f>IF(A135="","",IFERROR(INDEX('Units &amp; sales'!$I$12:$I$311,MATCH(A135,'Units &amp; sales'!$C$12:$C$311,0))&amp;"",""))</f>
        <v/>
      </c>
      <c r="C135" s="5" t="n"/>
      <c r="D135" s="20" t="n"/>
      <c r="E135" s="21" t="n"/>
      <c r="F135" s="21" t="n"/>
      <c r="G135" s="20" t="n"/>
      <c r="H135" s="24" t="str">
        <f>IF(E135="","",IF(N(F135)&gt;=E135,"Paid",IF(AND(D135&lt;&gt;"",D135&lt;TODAY()),"Overdue",IF(N(F135)&gt;0,"Part paid","Upcoming"))))</f>
        <v/>
      </c>
      <c r="I135" s="5" t="n"/>
    </row>
    <row r="136">
      <c r="A136" s="14" t="n"/>
      <c r="B136" s="23" t="str">
        <f>IF(A136="","",IFERROR(INDEX('Units &amp; sales'!$I$12:$I$311,MATCH(A136,'Units &amp; sales'!$C$12:$C$311,0))&amp;"",""))</f>
        <v/>
      </c>
      <c r="C136" s="5" t="n"/>
      <c r="D136" s="20" t="n"/>
      <c r="E136" s="21" t="n"/>
      <c r="F136" s="21" t="n"/>
      <c r="G136" s="20" t="n"/>
      <c r="H136" s="24" t="str">
        <f>IF(E136="","",IF(N(F136)&gt;=E136,"Paid",IF(AND(D136&lt;&gt;"",D136&lt;TODAY()),"Overdue",IF(N(F136)&gt;0,"Part paid","Upcoming"))))</f>
        <v/>
      </c>
      <c r="I136" s="5" t="n"/>
    </row>
    <row r="137">
      <c r="A137" s="14" t="n"/>
      <c r="B137" s="23" t="str">
        <f>IF(A137="","",IFERROR(INDEX('Units &amp; sales'!$I$12:$I$311,MATCH(A137,'Units &amp; sales'!$C$12:$C$311,0))&amp;"",""))</f>
        <v/>
      </c>
      <c r="C137" s="5" t="n"/>
      <c r="D137" s="20" t="n"/>
      <c r="E137" s="21" t="n"/>
      <c r="F137" s="21" t="n"/>
      <c r="G137" s="20" t="n"/>
      <c r="H137" s="24" t="str">
        <f>IF(E137="","",IF(N(F137)&gt;=E137,"Paid",IF(AND(D137&lt;&gt;"",D137&lt;TODAY()),"Overdue",IF(N(F137)&gt;0,"Part paid","Upcoming"))))</f>
        <v/>
      </c>
      <c r="I137" s="5" t="n"/>
    </row>
    <row r="138">
      <c r="A138" s="14" t="n"/>
      <c r="B138" s="23" t="str">
        <f>IF(A138="","",IFERROR(INDEX('Units &amp; sales'!$I$12:$I$311,MATCH(A138,'Units &amp; sales'!$C$12:$C$311,0))&amp;"",""))</f>
        <v/>
      </c>
      <c r="C138" s="5" t="n"/>
      <c r="D138" s="20" t="n"/>
      <c r="E138" s="21" t="n"/>
      <c r="F138" s="21" t="n"/>
      <c r="G138" s="20" t="n"/>
      <c r="H138" s="24" t="str">
        <f>IF(E138="","",IF(N(F138)&gt;=E138,"Paid",IF(AND(D138&lt;&gt;"",D138&lt;TODAY()),"Overdue",IF(N(F138)&gt;0,"Part paid","Upcoming"))))</f>
        <v/>
      </c>
      <c r="I138" s="5" t="n"/>
    </row>
    <row r="139">
      <c r="A139" s="14" t="n"/>
      <c r="B139" s="23" t="str">
        <f>IF(A139="","",IFERROR(INDEX('Units &amp; sales'!$I$12:$I$311,MATCH(A139,'Units &amp; sales'!$C$12:$C$311,0))&amp;"",""))</f>
        <v/>
      </c>
      <c r="C139" s="5" t="n"/>
      <c r="D139" s="20" t="n"/>
      <c r="E139" s="21" t="n"/>
      <c r="F139" s="21" t="n"/>
      <c r="G139" s="20" t="n"/>
      <c r="H139" s="24" t="str">
        <f>IF(E139="","",IF(N(F139)&gt;=E139,"Paid",IF(AND(D139&lt;&gt;"",D139&lt;TODAY()),"Overdue",IF(N(F139)&gt;0,"Part paid","Upcoming"))))</f>
        <v/>
      </c>
      <c r="I139" s="5" t="n"/>
    </row>
    <row r="140">
      <c r="A140" s="14" t="n"/>
      <c r="B140" s="23" t="str">
        <f>IF(A140="","",IFERROR(INDEX('Units &amp; sales'!$I$12:$I$311,MATCH(A140,'Units &amp; sales'!$C$12:$C$311,0))&amp;"",""))</f>
        <v/>
      </c>
      <c r="C140" s="5" t="n"/>
      <c r="D140" s="20" t="n"/>
      <c r="E140" s="21" t="n"/>
      <c r="F140" s="21" t="n"/>
      <c r="G140" s="20" t="n"/>
      <c r="H140" s="24" t="str">
        <f>IF(E140="","",IF(N(F140)&gt;=E140,"Paid",IF(AND(D140&lt;&gt;"",D140&lt;TODAY()),"Overdue",IF(N(F140)&gt;0,"Part paid","Upcoming"))))</f>
        <v/>
      </c>
      <c r="I140" s="5" t="n"/>
    </row>
    <row r="141">
      <c r="A141" s="14" t="n"/>
      <c r="B141" s="23" t="str">
        <f>IF(A141="","",IFERROR(INDEX('Units &amp; sales'!$I$12:$I$311,MATCH(A141,'Units &amp; sales'!$C$12:$C$311,0))&amp;"",""))</f>
        <v/>
      </c>
      <c r="C141" s="5" t="n"/>
      <c r="D141" s="20" t="n"/>
      <c r="E141" s="21" t="n"/>
      <c r="F141" s="21" t="n"/>
      <c r="G141" s="20" t="n"/>
      <c r="H141" s="24" t="str">
        <f>IF(E141="","",IF(N(F141)&gt;=E141,"Paid",IF(AND(D141&lt;&gt;"",D141&lt;TODAY()),"Overdue",IF(N(F141)&gt;0,"Part paid","Upcoming"))))</f>
        <v/>
      </c>
      <c r="I141" s="5" t="n"/>
    </row>
    <row r="142">
      <c r="A142" s="14" t="n"/>
      <c r="B142" s="23" t="str">
        <f>IF(A142="","",IFERROR(INDEX('Units &amp; sales'!$I$12:$I$311,MATCH(A142,'Units &amp; sales'!$C$12:$C$311,0))&amp;"",""))</f>
        <v/>
      </c>
      <c r="C142" s="5" t="n"/>
      <c r="D142" s="20" t="n"/>
      <c r="E142" s="21" t="n"/>
      <c r="F142" s="21" t="n"/>
      <c r="G142" s="20" t="n"/>
      <c r="H142" s="24" t="str">
        <f>IF(E142="","",IF(N(F142)&gt;=E142,"Paid",IF(AND(D142&lt;&gt;"",D142&lt;TODAY()),"Overdue",IF(N(F142)&gt;0,"Part paid","Upcoming"))))</f>
        <v/>
      </c>
      <c r="I142" s="5" t="n"/>
    </row>
    <row r="143">
      <c r="A143" s="14" t="n"/>
      <c r="B143" s="23" t="str">
        <f>IF(A143="","",IFERROR(INDEX('Units &amp; sales'!$I$12:$I$311,MATCH(A143,'Units &amp; sales'!$C$12:$C$311,0))&amp;"",""))</f>
        <v/>
      </c>
      <c r="C143" s="5" t="n"/>
      <c r="D143" s="20" t="n"/>
      <c r="E143" s="21" t="n"/>
      <c r="F143" s="21" t="n"/>
      <c r="G143" s="20" t="n"/>
      <c r="H143" s="24" t="str">
        <f>IF(E143="","",IF(N(F143)&gt;=E143,"Paid",IF(AND(D143&lt;&gt;"",D143&lt;TODAY()),"Overdue",IF(N(F143)&gt;0,"Part paid","Upcoming"))))</f>
        <v/>
      </c>
      <c r="I143" s="5" t="n"/>
    </row>
    <row r="144">
      <c r="A144" s="14" t="n"/>
      <c r="B144" s="23" t="str">
        <f>IF(A144="","",IFERROR(INDEX('Units &amp; sales'!$I$12:$I$311,MATCH(A144,'Units &amp; sales'!$C$12:$C$311,0))&amp;"",""))</f>
        <v/>
      </c>
      <c r="C144" s="5" t="n"/>
      <c r="D144" s="20" t="n"/>
      <c r="E144" s="21" t="n"/>
      <c r="F144" s="21" t="n"/>
      <c r="G144" s="20" t="n"/>
      <c r="H144" s="24" t="str">
        <f>IF(E144="","",IF(N(F144)&gt;=E144,"Paid",IF(AND(D144&lt;&gt;"",D144&lt;TODAY()),"Overdue",IF(N(F144)&gt;0,"Part paid","Upcoming"))))</f>
        <v/>
      </c>
      <c r="I144" s="5" t="n"/>
    </row>
    <row r="145">
      <c r="A145" s="14" t="n"/>
      <c r="B145" s="23" t="str">
        <f>IF(A145="","",IFERROR(INDEX('Units &amp; sales'!$I$12:$I$311,MATCH(A145,'Units &amp; sales'!$C$12:$C$311,0))&amp;"",""))</f>
        <v/>
      </c>
      <c r="C145" s="5" t="n"/>
      <c r="D145" s="20" t="n"/>
      <c r="E145" s="21" t="n"/>
      <c r="F145" s="21" t="n"/>
      <c r="G145" s="20" t="n"/>
      <c r="H145" s="24" t="str">
        <f>IF(E145="","",IF(N(F145)&gt;=E145,"Paid",IF(AND(D145&lt;&gt;"",D145&lt;TODAY()),"Overdue",IF(N(F145)&gt;0,"Part paid","Upcoming"))))</f>
        <v/>
      </c>
      <c r="I145" s="5" t="n"/>
    </row>
    <row r="146">
      <c r="A146" s="14" t="n"/>
      <c r="B146" s="23" t="str">
        <f>IF(A146="","",IFERROR(INDEX('Units &amp; sales'!$I$12:$I$311,MATCH(A146,'Units &amp; sales'!$C$12:$C$311,0))&amp;"",""))</f>
        <v/>
      </c>
      <c r="C146" s="5" t="n"/>
      <c r="D146" s="20" t="n"/>
      <c r="E146" s="21" t="n"/>
      <c r="F146" s="21" t="n"/>
      <c r="G146" s="20" t="n"/>
      <c r="H146" s="24" t="str">
        <f>IF(E146="","",IF(N(F146)&gt;=E146,"Paid",IF(AND(D146&lt;&gt;"",D146&lt;TODAY()),"Overdue",IF(N(F146)&gt;0,"Part paid","Upcoming"))))</f>
        <v/>
      </c>
      <c r="I146" s="5" t="n"/>
    </row>
    <row r="147">
      <c r="A147" s="14" t="n"/>
      <c r="B147" s="23" t="str">
        <f>IF(A147="","",IFERROR(INDEX('Units &amp; sales'!$I$12:$I$311,MATCH(A147,'Units &amp; sales'!$C$12:$C$311,0))&amp;"",""))</f>
        <v/>
      </c>
      <c r="C147" s="5" t="n"/>
      <c r="D147" s="20" t="n"/>
      <c r="E147" s="21" t="n"/>
      <c r="F147" s="21" t="n"/>
      <c r="G147" s="20" t="n"/>
      <c r="H147" s="24" t="str">
        <f>IF(E147="","",IF(N(F147)&gt;=E147,"Paid",IF(AND(D147&lt;&gt;"",D147&lt;TODAY()),"Overdue",IF(N(F147)&gt;0,"Part paid","Upcoming"))))</f>
        <v/>
      </c>
      <c r="I147" s="5" t="n"/>
    </row>
    <row r="148">
      <c r="A148" s="14" t="n"/>
      <c r="B148" s="23" t="str">
        <f>IF(A148="","",IFERROR(INDEX('Units &amp; sales'!$I$12:$I$311,MATCH(A148,'Units &amp; sales'!$C$12:$C$311,0))&amp;"",""))</f>
        <v/>
      </c>
      <c r="C148" s="5" t="n"/>
      <c r="D148" s="20" t="n"/>
      <c r="E148" s="21" t="n"/>
      <c r="F148" s="21" t="n"/>
      <c r="G148" s="20" t="n"/>
      <c r="H148" s="24" t="str">
        <f>IF(E148="","",IF(N(F148)&gt;=E148,"Paid",IF(AND(D148&lt;&gt;"",D148&lt;TODAY()),"Overdue",IF(N(F148)&gt;0,"Part paid","Upcoming"))))</f>
        <v/>
      </c>
      <c r="I148" s="5" t="n"/>
    </row>
    <row r="149">
      <c r="A149" s="14" t="n"/>
      <c r="B149" s="23" t="str">
        <f>IF(A149="","",IFERROR(INDEX('Units &amp; sales'!$I$12:$I$311,MATCH(A149,'Units &amp; sales'!$C$12:$C$311,0))&amp;"",""))</f>
        <v/>
      </c>
      <c r="C149" s="5" t="n"/>
      <c r="D149" s="20" t="n"/>
      <c r="E149" s="21" t="n"/>
      <c r="F149" s="21" t="n"/>
      <c r="G149" s="20" t="n"/>
      <c r="H149" s="24" t="str">
        <f>IF(E149="","",IF(N(F149)&gt;=E149,"Paid",IF(AND(D149&lt;&gt;"",D149&lt;TODAY()),"Overdue",IF(N(F149)&gt;0,"Part paid","Upcoming"))))</f>
        <v/>
      </c>
      <c r="I149" s="5" t="n"/>
    </row>
    <row r="150">
      <c r="A150" s="14" t="n"/>
      <c r="B150" s="23" t="str">
        <f>IF(A150="","",IFERROR(INDEX('Units &amp; sales'!$I$12:$I$311,MATCH(A150,'Units &amp; sales'!$C$12:$C$311,0))&amp;"",""))</f>
        <v/>
      </c>
      <c r="C150" s="5" t="n"/>
      <c r="D150" s="20" t="n"/>
      <c r="E150" s="21" t="n"/>
      <c r="F150" s="21" t="n"/>
      <c r="G150" s="20" t="n"/>
      <c r="H150" s="24" t="str">
        <f>IF(E150="","",IF(N(F150)&gt;=E150,"Paid",IF(AND(D150&lt;&gt;"",D150&lt;TODAY()),"Overdue",IF(N(F150)&gt;0,"Part paid","Upcoming"))))</f>
        <v/>
      </c>
      <c r="I150" s="5" t="n"/>
    </row>
    <row r="151">
      <c r="A151" s="14" t="n"/>
      <c r="B151" s="23" t="str">
        <f>IF(A151="","",IFERROR(INDEX('Units &amp; sales'!$I$12:$I$311,MATCH(A151,'Units &amp; sales'!$C$12:$C$311,0))&amp;"",""))</f>
        <v/>
      </c>
      <c r="C151" s="5" t="n"/>
      <c r="D151" s="20" t="n"/>
      <c r="E151" s="21" t="n"/>
      <c r="F151" s="21" t="n"/>
      <c r="G151" s="20" t="n"/>
      <c r="H151" s="24" t="str">
        <f>IF(E151="","",IF(N(F151)&gt;=E151,"Paid",IF(AND(D151&lt;&gt;"",D151&lt;TODAY()),"Overdue",IF(N(F151)&gt;0,"Part paid","Upcoming"))))</f>
        <v/>
      </c>
      <c r="I151" s="5" t="n"/>
    </row>
    <row r="152">
      <c r="A152" s="14" t="n"/>
      <c r="B152" s="23" t="str">
        <f>IF(A152="","",IFERROR(INDEX('Units &amp; sales'!$I$12:$I$311,MATCH(A152,'Units &amp; sales'!$C$12:$C$311,0))&amp;"",""))</f>
        <v/>
      </c>
      <c r="C152" s="5" t="n"/>
      <c r="D152" s="20" t="n"/>
      <c r="E152" s="21" t="n"/>
      <c r="F152" s="21" t="n"/>
      <c r="G152" s="20" t="n"/>
      <c r="H152" s="24" t="str">
        <f>IF(E152="","",IF(N(F152)&gt;=E152,"Paid",IF(AND(D152&lt;&gt;"",D152&lt;TODAY()),"Overdue",IF(N(F152)&gt;0,"Part paid","Upcoming"))))</f>
        <v/>
      </c>
      <c r="I152" s="5" t="n"/>
    </row>
    <row r="153">
      <c r="A153" s="14" t="n"/>
      <c r="B153" s="23" t="str">
        <f>IF(A153="","",IFERROR(INDEX('Units &amp; sales'!$I$12:$I$311,MATCH(A153,'Units &amp; sales'!$C$12:$C$311,0))&amp;"",""))</f>
        <v/>
      </c>
      <c r="C153" s="5" t="n"/>
      <c r="D153" s="20" t="n"/>
      <c r="E153" s="21" t="n"/>
      <c r="F153" s="21" t="n"/>
      <c r="G153" s="20" t="n"/>
      <c r="H153" s="24" t="str">
        <f>IF(E153="","",IF(N(F153)&gt;=E153,"Paid",IF(AND(D153&lt;&gt;"",D153&lt;TODAY()),"Overdue",IF(N(F153)&gt;0,"Part paid","Upcoming"))))</f>
        <v/>
      </c>
      <c r="I153" s="5" t="n"/>
    </row>
    <row r="154">
      <c r="A154" s="14" t="n"/>
      <c r="B154" s="23" t="str">
        <f>IF(A154="","",IFERROR(INDEX('Units &amp; sales'!$I$12:$I$311,MATCH(A154,'Units &amp; sales'!$C$12:$C$311,0))&amp;"",""))</f>
        <v/>
      </c>
      <c r="C154" s="5" t="n"/>
      <c r="D154" s="20" t="n"/>
      <c r="E154" s="21" t="n"/>
      <c r="F154" s="21" t="n"/>
      <c r="G154" s="20" t="n"/>
      <c r="H154" s="24" t="str">
        <f>IF(E154="","",IF(N(F154)&gt;=E154,"Paid",IF(AND(D154&lt;&gt;"",D154&lt;TODAY()),"Overdue",IF(N(F154)&gt;0,"Part paid","Upcoming"))))</f>
        <v/>
      </c>
      <c r="I154" s="5" t="n"/>
    </row>
    <row r="155">
      <c r="A155" s="14" t="n"/>
      <c r="B155" s="23" t="str">
        <f>IF(A155="","",IFERROR(INDEX('Units &amp; sales'!$I$12:$I$311,MATCH(A155,'Units &amp; sales'!$C$12:$C$311,0))&amp;"",""))</f>
        <v/>
      </c>
      <c r="C155" s="5" t="n"/>
      <c r="D155" s="20" t="n"/>
      <c r="E155" s="21" t="n"/>
      <c r="F155" s="21" t="n"/>
      <c r="G155" s="20" t="n"/>
      <c r="H155" s="24" t="str">
        <f>IF(E155="","",IF(N(F155)&gt;=E155,"Paid",IF(AND(D155&lt;&gt;"",D155&lt;TODAY()),"Overdue",IF(N(F155)&gt;0,"Part paid","Upcoming"))))</f>
        <v/>
      </c>
      <c r="I155" s="5" t="n"/>
    </row>
    <row r="156">
      <c r="A156" s="14" t="n"/>
      <c r="B156" s="23" t="str">
        <f>IF(A156="","",IFERROR(INDEX('Units &amp; sales'!$I$12:$I$311,MATCH(A156,'Units &amp; sales'!$C$12:$C$311,0))&amp;"",""))</f>
        <v/>
      </c>
      <c r="C156" s="5" t="n"/>
      <c r="D156" s="20" t="n"/>
      <c r="E156" s="21" t="n"/>
      <c r="F156" s="21" t="n"/>
      <c r="G156" s="20" t="n"/>
      <c r="H156" s="24" t="str">
        <f>IF(E156="","",IF(N(F156)&gt;=E156,"Paid",IF(AND(D156&lt;&gt;"",D156&lt;TODAY()),"Overdue",IF(N(F156)&gt;0,"Part paid","Upcoming"))))</f>
        <v/>
      </c>
      <c r="I156" s="5" t="n"/>
    </row>
    <row r="157">
      <c r="A157" s="14" t="n"/>
      <c r="B157" s="23" t="str">
        <f>IF(A157="","",IFERROR(INDEX('Units &amp; sales'!$I$12:$I$311,MATCH(A157,'Units &amp; sales'!$C$12:$C$311,0))&amp;"",""))</f>
        <v/>
      </c>
      <c r="C157" s="5" t="n"/>
      <c r="D157" s="20" t="n"/>
      <c r="E157" s="21" t="n"/>
      <c r="F157" s="21" t="n"/>
      <c r="G157" s="20" t="n"/>
      <c r="H157" s="24" t="str">
        <f>IF(E157="","",IF(N(F157)&gt;=E157,"Paid",IF(AND(D157&lt;&gt;"",D157&lt;TODAY()),"Overdue",IF(N(F157)&gt;0,"Part paid","Upcoming"))))</f>
        <v/>
      </c>
      <c r="I157" s="5" t="n"/>
    </row>
    <row r="158">
      <c r="A158" s="14" t="n"/>
      <c r="B158" s="23" t="str">
        <f>IF(A158="","",IFERROR(INDEX('Units &amp; sales'!$I$12:$I$311,MATCH(A158,'Units &amp; sales'!$C$12:$C$311,0))&amp;"",""))</f>
        <v/>
      </c>
      <c r="C158" s="5" t="n"/>
      <c r="D158" s="20" t="n"/>
      <c r="E158" s="21" t="n"/>
      <c r="F158" s="21" t="n"/>
      <c r="G158" s="20" t="n"/>
      <c r="H158" s="24" t="str">
        <f>IF(E158="","",IF(N(F158)&gt;=E158,"Paid",IF(AND(D158&lt;&gt;"",D158&lt;TODAY()),"Overdue",IF(N(F158)&gt;0,"Part paid","Upcoming"))))</f>
        <v/>
      </c>
      <c r="I158" s="5" t="n"/>
    </row>
    <row r="159">
      <c r="A159" s="14" t="n"/>
      <c r="B159" s="23" t="str">
        <f>IF(A159="","",IFERROR(INDEX('Units &amp; sales'!$I$12:$I$311,MATCH(A159,'Units &amp; sales'!$C$12:$C$311,0))&amp;"",""))</f>
        <v/>
      </c>
      <c r="C159" s="5" t="n"/>
      <c r="D159" s="20" t="n"/>
      <c r="E159" s="21" t="n"/>
      <c r="F159" s="21" t="n"/>
      <c r="G159" s="20" t="n"/>
      <c r="H159" s="24" t="str">
        <f>IF(E159="","",IF(N(F159)&gt;=E159,"Paid",IF(AND(D159&lt;&gt;"",D159&lt;TODAY()),"Overdue",IF(N(F159)&gt;0,"Part paid","Upcoming"))))</f>
        <v/>
      </c>
      <c r="I159" s="5" t="n"/>
    </row>
    <row r="160">
      <c r="A160" s="14" t="n"/>
      <c r="B160" s="23" t="str">
        <f>IF(A160="","",IFERROR(INDEX('Units &amp; sales'!$I$12:$I$311,MATCH(A160,'Units &amp; sales'!$C$12:$C$311,0))&amp;"",""))</f>
        <v/>
      </c>
      <c r="C160" s="5" t="n"/>
      <c r="D160" s="20" t="n"/>
      <c r="E160" s="21" t="n"/>
      <c r="F160" s="21" t="n"/>
      <c r="G160" s="20" t="n"/>
      <c r="H160" s="24" t="str">
        <f>IF(E160="","",IF(N(F160)&gt;=E160,"Paid",IF(AND(D160&lt;&gt;"",D160&lt;TODAY()),"Overdue",IF(N(F160)&gt;0,"Part paid","Upcoming"))))</f>
        <v/>
      </c>
      <c r="I160" s="5" t="n"/>
    </row>
    <row r="161">
      <c r="A161" s="14" t="n"/>
      <c r="B161" s="23" t="str">
        <f>IF(A161="","",IFERROR(INDEX('Units &amp; sales'!$I$12:$I$311,MATCH(A161,'Units &amp; sales'!$C$12:$C$311,0))&amp;"",""))</f>
        <v/>
      </c>
      <c r="C161" s="5" t="n"/>
      <c r="D161" s="20" t="n"/>
      <c r="E161" s="21" t="n"/>
      <c r="F161" s="21" t="n"/>
      <c r="G161" s="20" t="n"/>
      <c r="H161" s="24" t="str">
        <f>IF(E161="","",IF(N(F161)&gt;=E161,"Paid",IF(AND(D161&lt;&gt;"",D161&lt;TODAY()),"Overdue",IF(N(F161)&gt;0,"Part paid","Upcoming"))))</f>
        <v/>
      </c>
      <c r="I161" s="5" t="n"/>
    </row>
    <row r="162">
      <c r="A162" s="14" t="n"/>
      <c r="B162" s="23" t="str">
        <f>IF(A162="","",IFERROR(INDEX('Units &amp; sales'!$I$12:$I$311,MATCH(A162,'Units &amp; sales'!$C$12:$C$311,0))&amp;"",""))</f>
        <v/>
      </c>
      <c r="C162" s="5" t="n"/>
      <c r="D162" s="20" t="n"/>
      <c r="E162" s="21" t="n"/>
      <c r="F162" s="21" t="n"/>
      <c r="G162" s="20" t="n"/>
      <c r="H162" s="24" t="str">
        <f>IF(E162="","",IF(N(F162)&gt;=E162,"Paid",IF(AND(D162&lt;&gt;"",D162&lt;TODAY()),"Overdue",IF(N(F162)&gt;0,"Part paid","Upcoming"))))</f>
        <v/>
      </c>
      <c r="I162" s="5" t="n"/>
    </row>
    <row r="163">
      <c r="A163" s="14" t="n"/>
      <c r="B163" s="23" t="str">
        <f>IF(A163="","",IFERROR(INDEX('Units &amp; sales'!$I$12:$I$311,MATCH(A163,'Units &amp; sales'!$C$12:$C$311,0))&amp;"",""))</f>
        <v/>
      </c>
      <c r="C163" s="5" t="n"/>
      <c r="D163" s="20" t="n"/>
      <c r="E163" s="21" t="n"/>
      <c r="F163" s="21" t="n"/>
      <c r="G163" s="20" t="n"/>
      <c r="H163" s="24" t="str">
        <f>IF(E163="","",IF(N(F163)&gt;=E163,"Paid",IF(AND(D163&lt;&gt;"",D163&lt;TODAY()),"Overdue",IF(N(F163)&gt;0,"Part paid","Upcoming"))))</f>
        <v/>
      </c>
      <c r="I163" s="5" t="n"/>
    </row>
    <row r="164">
      <c r="A164" s="14" t="n"/>
      <c r="B164" s="23" t="str">
        <f>IF(A164="","",IFERROR(INDEX('Units &amp; sales'!$I$12:$I$311,MATCH(A164,'Units &amp; sales'!$C$12:$C$311,0))&amp;"",""))</f>
        <v/>
      </c>
      <c r="C164" s="5" t="n"/>
      <c r="D164" s="20" t="n"/>
      <c r="E164" s="21" t="n"/>
      <c r="F164" s="21" t="n"/>
      <c r="G164" s="20" t="n"/>
      <c r="H164" s="24" t="str">
        <f>IF(E164="","",IF(N(F164)&gt;=E164,"Paid",IF(AND(D164&lt;&gt;"",D164&lt;TODAY()),"Overdue",IF(N(F164)&gt;0,"Part paid","Upcoming"))))</f>
        <v/>
      </c>
      <c r="I164" s="5" t="n"/>
    </row>
    <row r="165">
      <c r="A165" s="14" t="n"/>
      <c r="B165" s="23" t="str">
        <f>IF(A165="","",IFERROR(INDEX('Units &amp; sales'!$I$12:$I$311,MATCH(A165,'Units &amp; sales'!$C$12:$C$311,0))&amp;"",""))</f>
        <v/>
      </c>
      <c r="C165" s="5" t="n"/>
      <c r="D165" s="20" t="n"/>
      <c r="E165" s="21" t="n"/>
      <c r="F165" s="21" t="n"/>
      <c r="G165" s="20" t="n"/>
      <c r="H165" s="24" t="str">
        <f>IF(E165="","",IF(N(F165)&gt;=E165,"Paid",IF(AND(D165&lt;&gt;"",D165&lt;TODAY()),"Overdue",IF(N(F165)&gt;0,"Part paid","Upcoming"))))</f>
        <v/>
      </c>
      <c r="I165" s="5" t="n"/>
    </row>
    <row r="166">
      <c r="A166" s="14" t="n"/>
      <c r="B166" s="23" t="str">
        <f>IF(A166="","",IFERROR(INDEX('Units &amp; sales'!$I$12:$I$311,MATCH(A166,'Units &amp; sales'!$C$12:$C$311,0))&amp;"",""))</f>
        <v/>
      </c>
      <c r="C166" s="5" t="n"/>
      <c r="D166" s="20" t="n"/>
      <c r="E166" s="21" t="n"/>
      <c r="F166" s="21" t="n"/>
      <c r="G166" s="20" t="n"/>
      <c r="H166" s="24" t="str">
        <f>IF(E166="","",IF(N(F166)&gt;=E166,"Paid",IF(AND(D166&lt;&gt;"",D166&lt;TODAY()),"Overdue",IF(N(F166)&gt;0,"Part paid","Upcoming"))))</f>
        <v/>
      </c>
      <c r="I166" s="5" t="n"/>
    </row>
    <row r="167">
      <c r="A167" s="14" t="n"/>
      <c r="B167" s="23" t="str">
        <f>IF(A167="","",IFERROR(INDEX('Units &amp; sales'!$I$12:$I$311,MATCH(A167,'Units &amp; sales'!$C$12:$C$311,0))&amp;"",""))</f>
        <v/>
      </c>
      <c r="C167" s="5" t="n"/>
      <c r="D167" s="20" t="n"/>
      <c r="E167" s="21" t="n"/>
      <c r="F167" s="21" t="n"/>
      <c r="G167" s="20" t="n"/>
      <c r="H167" s="24" t="str">
        <f>IF(E167="","",IF(N(F167)&gt;=E167,"Paid",IF(AND(D167&lt;&gt;"",D167&lt;TODAY()),"Overdue",IF(N(F167)&gt;0,"Part paid","Upcoming"))))</f>
        <v/>
      </c>
      <c r="I167" s="5" t="n"/>
    </row>
    <row r="168">
      <c r="A168" s="14" t="n"/>
      <c r="B168" s="23" t="str">
        <f>IF(A168="","",IFERROR(INDEX('Units &amp; sales'!$I$12:$I$311,MATCH(A168,'Units &amp; sales'!$C$12:$C$311,0))&amp;"",""))</f>
        <v/>
      </c>
      <c r="C168" s="5" t="n"/>
      <c r="D168" s="20" t="n"/>
      <c r="E168" s="21" t="n"/>
      <c r="F168" s="21" t="n"/>
      <c r="G168" s="20" t="n"/>
      <c r="H168" s="24" t="str">
        <f>IF(E168="","",IF(N(F168)&gt;=E168,"Paid",IF(AND(D168&lt;&gt;"",D168&lt;TODAY()),"Overdue",IF(N(F168)&gt;0,"Part paid","Upcoming"))))</f>
        <v/>
      </c>
      <c r="I168" s="5" t="n"/>
    </row>
    <row r="169">
      <c r="A169" s="14" t="n"/>
      <c r="B169" s="23" t="str">
        <f>IF(A169="","",IFERROR(INDEX('Units &amp; sales'!$I$12:$I$311,MATCH(A169,'Units &amp; sales'!$C$12:$C$311,0))&amp;"",""))</f>
        <v/>
      </c>
      <c r="C169" s="5" t="n"/>
      <c r="D169" s="20" t="n"/>
      <c r="E169" s="21" t="n"/>
      <c r="F169" s="21" t="n"/>
      <c r="G169" s="20" t="n"/>
      <c r="H169" s="24" t="str">
        <f>IF(E169="","",IF(N(F169)&gt;=E169,"Paid",IF(AND(D169&lt;&gt;"",D169&lt;TODAY()),"Overdue",IF(N(F169)&gt;0,"Part paid","Upcoming"))))</f>
        <v/>
      </c>
      <c r="I169" s="5" t="n"/>
    </row>
    <row r="170">
      <c r="A170" s="14" t="n"/>
      <c r="B170" s="23" t="str">
        <f>IF(A170="","",IFERROR(INDEX('Units &amp; sales'!$I$12:$I$311,MATCH(A170,'Units &amp; sales'!$C$12:$C$311,0))&amp;"",""))</f>
        <v/>
      </c>
      <c r="C170" s="5" t="n"/>
      <c r="D170" s="20" t="n"/>
      <c r="E170" s="21" t="n"/>
      <c r="F170" s="21" t="n"/>
      <c r="G170" s="20" t="n"/>
      <c r="H170" s="24" t="str">
        <f>IF(E170="","",IF(N(F170)&gt;=E170,"Paid",IF(AND(D170&lt;&gt;"",D170&lt;TODAY()),"Overdue",IF(N(F170)&gt;0,"Part paid","Upcoming"))))</f>
        <v/>
      </c>
      <c r="I170" s="5" t="n"/>
    </row>
    <row r="171">
      <c r="A171" s="14" t="n"/>
      <c r="B171" s="23" t="str">
        <f>IF(A171="","",IFERROR(INDEX('Units &amp; sales'!$I$12:$I$311,MATCH(A171,'Units &amp; sales'!$C$12:$C$311,0))&amp;"",""))</f>
        <v/>
      </c>
      <c r="C171" s="5" t="n"/>
      <c r="D171" s="20" t="n"/>
      <c r="E171" s="21" t="n"/>
      <c r="F171" s="21" t="n"/>
      <c r="G171" s="20" t="n"/>
      <c r="H171" s="24" t="str">
        <f>IF(E171="","",IF(N(F171)&gt;=E171,"Paid",IF(AND(D171&lt;&gt;"",D171&lt;TODAY()),"Overdue",IF(N(F171)&gt;0,"Part paid","Upcoming"))))</f>
        <v/>
      </c>
      <c r="I171" s="5" t="n"/>
    </row>
    <row r="172">
      <c r="A172" s="14" t="n"/>
      <c r="B172" s="23" t="str">
        <f>IF(A172="","",IFERROR(INDEX('Units &amp; sales'!$I$12:$I$311,MATCH(A172,'Units &amp; sales'!$C$12:$C$311,0))&amp;"",""))</f>
        <v/>
      </c>
      <c r="C172" s="5" t="n"/>
      <c r="D172" s="20" t="n"/>
      <c r="E172" s="21" t="n"/>
      <c r="F172" s="21" t="n"/>
      <c r="G172" s="20" t="n"/>
      <c r="H172" s="24" t="str">
        <f>IF(E172="","",IF(N(F172)&gt;=E172,"Paid",IF(AND(D172&lt;&gt;"",D172&lt;TODAY()),"Overdue",IF(N(F172)&gt;0,"Part paid","Upcoming"))))</f>
        <v/>
      </c>
      <c r="I172" s="5" t="n"/>
    </row>
    <row r="173">
      <c r="A173" s="14" t="n"/>
      <c r="B173" s="23" t="str">
        <f>IF(A173="","",IFERROR(INDEX('Units &amp; sales'!$I$12:$I$311,MATCH(A173,'Units &amp; sales'!$C$12:$C$311,0))&amp;"",""))</f>
        <v/>
      </c>
      <c r="C173" s="5" t="n"/>
      <c r="D173" s="20" t="n"/>
      <c r="E173" s="21" t="n"/>
      <c r="F173" s="21" t="n"/>
      <c r="G173" s="20" t="n"/>
      <c r="H173" s="24" t="str">
        <f>IF(E173="","",IF(N(F173)&gt;=E173,"Paid",IF(AND(D173&lt;&gt;"",D173&lt;TODAY()),"Overdue",IF(N(F173)&gt;0,"Part paid","Upcoming"))))</f>
        <v/>
      </c>
      <c r="I173" s="5" t="n"/>
    </row>
    <row r="174">
      <c r="A174" s="14" t="n"/>
      <c r="B174" s="23" t="str">
        <f>IF(A174="","",IFERROR(INDEX('Units &amp; sales'!$I$12:$I$311,MATCH(A174,'Units &amp; sales'!$C$12:$C$311,0))&amp;"",""))</f>
        <v/>
      </c>
      <c r="C174" s="5" t="n"/>
      <c r="D174" s="20" t="n"/>
      <c r="E174" s="21" t="n"/>
      <c r="F174" s="21" t="n"/>
      <c r="G174" s="20" t="n"/>
      <c r="H174" s="24" t="str">
        <f>IF(E174="","",IF(N(F174)&gt;=E174,"Paid",IF(AND(D174&lt;&gt;"",D174&lt;TODAY()),"Overdue",IF(N(F174)&gt;0,"Part paid","Upcoming"))))</f>
        <v/>
      </c>
      <c r="I174" s="5" t="n"/>
    </row>
    <row r="175">
      <c r="A175" s="14" t="n"/>
      <c r="B175" s="23" t="str">
        <f>IF(A175="","",IFERROR(INDEX('Units &amp; sales'!$I$12:$I$311,MATCH(A175,'Units &amp; sales'!$C$12:$C$311,0))&amp;"",""))</f>
        <v/>
      </c>
      <c r="C175" s="5" t="n"/>
      <c r="D175" s="20" t="n"/>
      <c r="E175" s="21" t="n"/>
      <c r="F175" s="21" t="n"/>
      <c r="G175" s="20" t="n"/>
      <c r="H175" s="24" t="str">
        <f>IF(E175="","",IF(N(F175)&gt;=E175,"Paid",IF(AND(D175&lt;&gt;"",D175&lt;TODAY()),"Overdue",IF(N(F175)&gt;0,"Part paid","Upcoming"))))</f>
        <v/>
      </c>
      <c r="I175" s="5" t="n"/>
    </row>
    <row r="176">
      <c r="A176" s="14" t="n"/>
      <c r="B176" s="23" t="str">
        <f>IF(A176="","",IFERROR(INDEX('Units &amp; sales'!$I$12:$I$311,MATCH(A176,'Units &amp; sales'!$C$12:$C$311,0))&amp;"",""))</f>
        <v/>
      </c>
      <c r="C176" s="5" t="n"/>
      <c r="D176" s="20" t="n"/>
      <c r="E176" s="21" t="n"/>
      <c r="F176" s="21" t="n"/>
      <c r="G176" s="20" t="n"/>
      <c r="H176" s="24" t="str">
        <f>IF(E176="","",IF(N(F176)&gt;=E176,"Paid",IF(AND(D176&lt;&gt;"",D176&lt;TODAY()),"Overdue",IF(N(F176)&gt;0,"Part paid","Upcoming"))))</f>
        <v/>
      </c>
      <c r="I176" s="5" t="n"/>
    </row>
    <row r="177">
      <c r="A177" s="14" t="n"/>
      <c r="B177" s="23" t="str">
        <f>IF(A177="","",IFERROR(INDEX('Units &amp; sales'!$I$12:$I$311,MATCH(A177,'Units &amp; sales'!$C$12:$C$311,0))&amp;"",""))</f>
        <v/>
      </c>
      <c r="C177" s="5" t="n"/>
      <c r="D177" s="20" t="n"/>
      <c r="E177" s="21" t="n"/>
      <c r="F177" s="21" t="n"/>
      <c r="G177" s="20" t="n"/>
      <c r="H177" s="24" t="str">
        <f>IF(E177="","",IF(N(F177)&gt;=E177,"Paid",IF(AND(D177&lt;&gt;"",D177&lt;TODAY()),"Overdue",IF(N(F177)&gt;0,"Part paid","Upcoming"))))</f>
        <v/>
      </c>
      <c r="I177" s="5" t="n"/>
    </row>
    <row r="178">
      <c r="A178" s="14" t="n"/>
      <c r="B178" s="23" t="str">
        <f>IF(A178="","",IFERROR(INDEX('Units &amp; sales'!$I$12:$I$311,MATCH(A178,'Units &amp; sales'!$C$12:$C$311,0))&amp;"",""))</f>
        <v/>
      </c>
      <c r="C178" s="5" t="n"/>
      <c r="D178" s="20" t="n"/>
      <c r="E178" s="21" t="n"/>
      <c r="F178" s="21" t="n"/>
      <c r="G178" s="20" t="n"/>
      <c r="H178" s="24" t="str">
        <f>IF(E178="","",IF(N(F178)&gt;=E178,"Paid",IF(AND(D178&lt;&gt;"",D178&lt;TODAY()),"Overdue",IF(N(F178)&gt;0,"Part paid","Upcoming"))))</f>
        <v/>
      </c>
      <c r="I178" s="5" t="n"/>
    </row>
    <row r="179">
      <c r="A179" s="14" t="n"/>
      <c r="B179" s="23" t="str">
        <f>IF(A179="","",IFERROR(INDEX('Units &amp; sales'!$I$12:$I$311,MATCH(A179,'Units &amp; sales'!$C$12:$C$311,0))&amp;"",""))</f>
        <v/>
      </c>
      <c r="C179" s="5" t="n"/>
      <c r="D179" s="20" t="n"/>
      <c r="E179" s="21" t="n"/>
      <c r="F179" s="21" t="n"/>
      <c r="G179" s="20" t="n"/>
      <c r="H179" s="24" t="str">
        <f>IF(E179="","",IF(N(F179)&gt;=E179,"Paid",IF(AND(D179&lt;&gt;"",D179&lt;TODAY()),"Overdue",IF(N(F179)&gt;0,"Part paid","Upcoming"))))</f>
        <v/>
      </c>
      <c r="I179" s="5" t="n"/>
    </row>
    <row r="180">
      <c r="A180" s="14" t="n"/>
      <c r="B180" s="23" t="str">
        <f>IF(A180="","",IFERROR(INDEX('Units &amp; sales'!$I$12:$I$311,MATCH(A180,'Units &amp; sales'!$C$12:$C$311,0))&amp;"",""))</f>
        <v/>
      </c>
      <c r="C180" s="5" t="n"/>
      <c r="D180" s="20" t="n"/>
      <c r="E180" s="21" t="n"/>
      <c r="F180" s="21" t="n"/>
      <c r="G180" s="20" t="n"/>
      <c r="H180" s="24" t="str">
        <f>IF(E180="","",IF(N(F180)&gt;=E180,"Paid",IF(AND(D180&lt;&gt;"",D180&lt;TODAY()),"Overdue",IF(N(F180)&gt;0,"Part paid","Upcoming"))))</f>
        <v/>
      </c>
      <c r="I180" s="5" t="n"/>
    </row>
    <row r="181">
      <c r="A181" s="14" t="n"/>
      <c r="B181" s="23" t="str">
        <f>IF(A181="","",IFERROR(INDEX('Units &amp; sales'!$I$12:$I$311,MATCH(A181,'Units &amp; sales'!$C$12:$C$311,0))&amp;"",""))</f>
        <v/>
      </c>
      <c r="C181" s="5" t="n"/>
      <c r="D181" s="20" t="n"/>
      <c r="E181" s="21" t="n"/>
      <c r="F181" s="21" t="n"/>
      <c r="G181" s="20" t="n"/>
      <c r="H181" s="24" t="str">
        <f>IF(E181="","",IF(N(F181)&gt;=E181,"Paid",IF(AND(D181&lt;&gt;"",D181&lt;TODAY()),"Overdue",IF(N(F181)&gt;0,"Part paid","Upcoming"))))</f>
        <v/>
      </c>
      <c r="I181" s="5" t="n"/>
    </row>
    <row r="182">
      <c r="A182" s="14" t="n"/>
      <c r="B182" s="23" t="str">
        <f>IF(A182="","",IFERROR(INDEX('Units &amp; sales'!$I$12:$I$311,MATCH(A182,'Units &amp; sales'!$C$12:$C$311,0))&amp;"",""))</f>
        <v/>
      </c>
      <c r="C182" s="5" t="n"/>
      <c r="D182" s="20" t="n"/>
      <c r="E182" s="21" t="n"/>
      <c r="F182" s="21" t="n"/>
      <c r="G182" s="20" t="n"/>
      <c r="H182" s="24" t="str">
        <f>IF(E182="","",IF(N(F182)&gt;=E182,"Paid",IF(AND(D182&lt;&gt;"",D182&lt;TODAY()),"Overdue",IF(N(F182)&gt;0,"Part paid","Upcoming"))))</f>
        <v/>
      </c>
      <c r="I182" s="5" t="n"/>
    </row>
    <row r="183">
      <c r="A183" s="14" t="n"/>
      <c r="B183" s="23" t="str">
        <f>IF(A183="","",IFERROR(INDEX('Units &amp; sales'!$I$12:$I$311,MATCH(A183,'Units &amp; sales'!$C$12:$C$311,0))&amp;"",""))</f>
        <v/>
      </c>
      <c r="C183" s="5" t="n"/>
      <c r="D183" s="20" t="n"/>
      <c r="E183" s="21" t="n"/>
      <c r="F183" s="21" t="n"/>
      <c r="G183" s="20" t="n"/>
      <c r="H183" s="24" t="str">
        <f>IF(E183="","",IF(N(F183)&gt;=E183,"Paid",IF(AND(D183&lt;&gt;"",D183&lt;TODAY()),"Overdue",IF(N(F183)&gt;0,"Part paid","Upcoming"))))</f>
        <v/>
      </c>
      <c r="I183" s="5" t="n"/>
    </row>
    <row r="184">
      <c r="A184" s="14" t="n"/>
      <c r="B184" s="23" t="str">
        <f>IF(A184="","",IFERROR(INDEX('Units &amp; sales'!$I$12:$I$311,MATCH(A184,'Units &amp; sales'!$C$12:$C$311,0))&amp;"",""))</f>
        <v/>
      </c>
      <c r="C184" s="5" t="n"/>
      <c r="D184" s="20" t="n"/>
      <c r="E184" s="21" t="n"/>
      <c r="F184" s="21" t="n"/>
      <c r="G184" s="20" t="n"/>
      <c r="H184" s="24" t="str">
        <f>IF(E184="","",IF(N(F184)&gt;=E184,"Paid",IF(AND(D184&lt;&gt;"",D184&lt;TODAY()),"Overdue",IF(N(F184)&gt;0,"Part paid","Upcoming"))))</f>
        <v/>
      </c>
      <c r="I184" s="5" t="n"/>
    </row>
    <row r="185">
      <c r="A185" s="14" t="n"/>
      <c r="B185" s="23" t="str">
        <f>IF(A185="","",IFERROR(INDEX('Units &amp; sales'!$I$12:$I$311,MATCH(A185,'Units &amp; sales'!$C$12:$C$311,0))&amp;"",""))</f>
        <v/>
      </c>
      <c r="C185" s="5" t="n"/>
      <c r="D185" s="20" t="n"/>
      <c r="E185" s="21" t="n"/>
      <c r="F185" s="21" t="n"/>
      <c r="G185" s="20" t="n"/>
      <c r="H185" s="24" t="str">
        <f>IF(E185="","",IF(N(F185)&gt;=E185,"Paid",IF(AND(D185&lt;&gt;"",D185&lt;TODAY()),"Overdue",IF(N(F185)&gt;0,"Part paid","Upcoming"))))</f>
        <v/>
      </c>
      <c r="I185" s="5" t="n"/>
    </row>
    <row r="186">
      <c r="A186" s="14" t="n"/>
      <c r="B186" s="23" t="str">
        <f>IF(A186="","",IFERROR(INDEX('Units &amp; sales'!$I$12:$I$311,MATCH(A186,'Units &amp; sales'!$C$12:$C$311,0))&amp;"",""))</f>
        <v/>
      </c>
      <c r="C186" s="5" t="n"/>
      <c r="D186" s="20" t="n"/>
      <c r="E186" s="21" t="n"/>
      <c r="F186" s="21" t="n"/>
      <c r="G186" s="20" t="n"/>
      <c r="H186" s="24" t="str">
        <f>IF(E186="","",IF(N(F186)&gt;=E186,"Paid",IF(AND(D186&lt;&gt;"",D186&lt;TODAY()),"Overdue",IF(N(F186)&gt;0,"Part paid","Upcoming"))))</f>
        <v/>
      </c>
      <c r="I186" s="5" t="n"/>
    </row>
    <row r="187">
      <c r="A187" s="14" t="n"/>
      <c r="B187" s="23" t="str">
        <f>IF(A187="","",IFERROR(INDEX('Units &amp; sales'!$I$12:$I$311,MATCH(A187,'Units &amp; sales'!$C$12:$C$311,0))&amp;"",""))</f>
        <v/>
      </c>
      <c r="C187" s="5" t="n"/>
      <c r="D187" s="20" t="n"/>
      <c r="E187" s="21" t="n"/>
      <c r="F187" s="21" t="n"/>
      <c r="G187" s="20" t="n"/>
      <c r="H187" s="24" t="str">
        <f>IF(E187="","",IF(N(F187)&gt;=E187,"Paid",IF(AND(D187&lt;&gt;"",D187&lt;TODAY()),"Overdue",IF(N(F187)&gt;0,"Part paid","Upcoming"))))</f>
        <v/>
      </c>
      <c r="I187" s="5" t="n"/>
    </row>
    <row r="188">
      <c r="A188" s="14" t="n"/>
      <c r="B188" s="23" t="str">
        <f>IF(A188="","",IFERROR(INDEX('Units &amp; sales'!$I$12:$I$311,MATCH(A188,'Units &amp; sales'!$C$12:$C$311,0))&amp;"",""))</f>
        <v/>
      </c>
      <c r="C188" s="5" t="n"/>
      <c r="D188" s="20" t="n"/>
      <c r="E188" s="21" t="n"/>
      <c r="F188" s="21" t="n"/>
      <c r="G188" s="20" t="n"/>
      <c r="H188" s="24" t="str">
        <f>IF(E188="","",IF(N(F188)&gt;=E188,"Paid",IF(AND(D188&lt;&gt;"",D188&lt;TODAY()),"Overdue",IF(N(F188)&gt;0,"Part paid","Upcoming"))))</f>
        <v/>
      </c>
      <c r="I188" s="5" t="n"/>
    </row>
    <row r="189">
      <c r="A189" s="14" t="n"/>
      <c r="B189" s="23" t="str">
        <f>IF(A189="","",IFERROR(INDEX('Units &amp; sales'!$I$12:$I$311,MATCH(A189,'Units &amp; sales'!$C$12:$C$311,0))&amp;"",""))</f>
        <v/>
      </c>
      <c r="C189" s="5" t="n"/>
      <c r="D189" s="20" t="n"/>
      <c r="E189" s="21" t="n"/>
      <c r="F189" s="21" t="n"/>
      <c r="G189" s="20" t="n"/>
      <c r="H189" s="24" t="str">
        <f>IF(E189="","",IF(N(F189)&gt;=E189,"Paid",IF(AND(D189&lt;&gt;"",D189&lt;TODAY()),"Overdue",IF(N(F189)&gt;0,"Part paid","Upcoming"))))</f>
        <v/>
      </c>
      <c r="I189" s="5" t="n"/>
    </row>
    <row r="190">
      <c r="A190" s="14" t="n"/>
      <c r="B190" s="23" t="str">
        <f>IF(A190="","",IFERROR(INDEX('Units &amp; sales'!$I$12:$I$311,MATCH(A190,'Units &amp; sales'!$C$12:$C$311,0))&amp;"",""))</f>
        <v/>
      </c>
      <c r="C190" s="5" t="n"/>
      <c r="D190" s="20" t="n"/>
      <c r="E190" s="21" t="n"/>
      <c r="F190" s="21" t="n"/>
      <c r="G190" s="20" t="n"/>
      <c r="H190" s="24" t="str">
        <f>IF(E190="","",IF(N(F190)&gt;=E190,"Paid",IF(AND(D190&lt;&gt;"",D190&lt;TODAY()),"Overdue",IF(N(F190)&gt;0,"Part paid","Upcoming"))))</f>
        <v/>
      </c>
      <c r="I190" s="5" t="n"/>
    </row>
    <row r="191">
      <c r="A191" s="14" t="n"/>
      <c r="B191" s="23" t="str">
        <f>IF(A191="","",IFERROR(INDEX('Units &amp; sales'!$I$12:$I$311,MATCH(A191,'Units &amp; sales'!$C$12:$C$311,0))&amp;"",""))</f>
        <v/>
      </c>
      <c r="C191" s="5" t="n"/>
      <c r="D191" s="20" t="n"/>
      <c r="E191" s="21" t="n"/>
      <c r="F191" s="21" t="n"/>
      <c r="G191" s="20" t="n"/>
      <c r="H191" s="24" t="str">
        <f>IF(E191="","",IF(N(F191)&gt;=E191,"Paid",IF(AND(D191&lt;&gt;"",D191&lt;TODAY()),"Overdue",IF(N(F191)&gt;0,"Part paid","Upcoming"))))</f>
        <v/>
      </c>
      <c r="I191" s="5" t="n"/>
    </row>
    <row r="192">
      <c r="A192" s="14" t="n"/>
      <c r="B192" s="23" t="str">
        <f>IF(A192="","",IFERROR(INDEX('Units &amp; sales'!$I$12:$I$311,MATCH(A192,'Units &amp; sales'!$C$12:$C$311,0))&amp;"",""))</f>
        <v/>
      </c>
      <c r="C192" s="5" t="n"/>
      <c r="D192" s="20" t="n"/>
      <c r="E192" s="21" t="n"/>
      <c r="F192" s="21" t="n"/>
      <c r="G192" s="20" t="n"/>
      <c r="H192" s="24" t="str">
        <f>IF(E192="","",IF(N(F192)&gt;=E192,"Paid",IF(AND(D192&lt;&gt;"",D192&lt;TODAY()),"Overdue",IF(N(F192)&gt;0,"Part paid","Upcoming"))))</f>
        <v/>
      </c>
      <c r="I192" s="5" t="n"/>
    </row>
    <row r="193">
      <c r="A193" s="14" t="n"/>
      <c r="B193" s="23" t="str">
        <f>IF(A193="","",IFERROR(INDEX('Units &amp; sales'!$I$12:$I$311,MATCH(A193,'Units &amp; sales'!$C$12:$C$311,0))&amp;"",""))</f>
        <v/>
      </c>
      <c r="C193" s="5" t="n"/>
      <c r="D193" s="20" t="n"/>
      <c r="E193" s="21" t="n"/>
      <c r="F193" s="21" t="n"/>
      <c r="G193" s="20" t="n"/>
      <c r="H193" s="24" t="str">
        <f>IF(E193="","",IF(N(F193)&gt;=E193,"Paid",IF(AND(D193&lt;&gt;"",D193&lt;TODAY()),"Overdue",IF(N(F193)&gt;0,"Part paid","Upcoming"))))</f>
        <v/>
      </c>
      <c r="I193" s="5" t="n"/>
    </row>
    <row r="194">
      <c r="A194" s="14" t="n"/>
      <c r="B194" s="23" t="str">
        <f>IF(A194="","",IFERROR(INDEX('Units &amp; sales'!$I$12:$I$311,MATCH(A194,'Units &amp; sales'!$C$12:$C$311,0))&amp;"",""))</f>
        <v/>
      </c>
      <c r="C194" s="5" t="n"/>
      <c r="D194" s="20" t="n"/>
      <c r="E194" s="21" t="n"/>
      <c r="F194" s="21" t="n"/>
      <c r="G194" s="20" t="n"/>
      <c r="H194" s="24" t="str">
        <f>IF(E194="","",IF(N(F194)&gt;=E194,"Paid",IF(AND(D194&lt;&gt;"",D194&lt;TODAY()),"Overdue",IF(N(F194)&gt;0,"Part paid","Upcoming"))))</f>
        <v/>
      </c>
      <c r="I194" s="5" t="n"/>
    </row>
    <row r="195">
      <c r="A195" s="14" t="n"/>
      <c r="B195" s="23" t="str">
        <f>IF(A195="","",IFERROR(INDEX('Units &amp; sales'!$I$12:$I$311,MATCH(A195,'Units &amp; sales'!$C$12:$C$311,0))&amp;"",""))</f>
        <v/>
      </c>
      <c r="C195" s="5" t="n"/>
      <c r="D195" s="20" t="n"/>
      <c r="E195" s="21" t="n"/>
      <c r="F195" s="21" t="n"/>
      <c r="G195" s="20" t="n"/>
      <c r="H195" s="24" t="str">
        <f>IF(E195="","",IF(N(F195)&gt;=E195,"Paid",IF(AND(D195&lt;&gt;"",D195&lt;TODAY()),"Overdue",IF(N(F195)&gt;0,"Part paid","Upcoming"))))</f>
        <v/>
      </c>
      <c r="I195" s="5" t="n"/>
    </row>
    <row r="196">
      <c r="A196" s="14" t="n"/>
      <c r="B196" s="23" t="str">
        <f>IF(A196="","",IFERROR(INDEX('Units &amp; sales'!$I$12:$I$311,MATCH(A196,'Units &amp; sales'!$C$12:$C$311,0))&amp;"",""))</f>
        <v/>
      </c>
      <c r="C196" s="5" t="n"/>
      <c r="D196" s="20" t="n"/>
      <c r="E196" s="21" t="n"/>
      <c r="F196" s="21" t="n"/>
      <c r="G196" s="20" t="n"/>
      <c r="H196" s="24" t="str">
        <f>IF(E196="","",IF(N(F196)&gt;=E196,"Paid",IF(AND(D196&lt;&gt;"",D196&lt;TODAY()),"Overdue",IF(N(F196)&gt;0,"Part paid","Upcoming"))))</f>
        <v/>
      </c>
      <c r="I196" s="5" t="n"/>
    </row>
    <row r="197">
      <c r="A197" s="14" t="n"/>
      <c r="B197" s="23" t="str">
        <f>IF(A197="","",IFERROR(INDEX('Units &amp; sales'!$I$12:$I$311,MATCH(A197,'Units &amp; sales'!$C$12:$C$311,0))&amp;"",""))</f>
        <v/>
      </c>
      <c r="C197" s="5" t="n"/>
      <c r="D197" s="20" t="n"/>
      <c r="E197" s="21" t="n"/>
      <c r="F197" s="21" t="n"/>
      <c r="G197" s="20" t="n"/>
      <c r="H197" s="24" t="str">
        <f>IF(E197="","",IF(N(F197)&gt;=E197,"Paid",IF(AND(D197&lt;&gt;"",D197&lt;TODAY()),"Overdue",IF(N(F197)&gt;0,"Part paid","Upcoming"))))</f>
        <v/>
      </c>
      <c r="I197" s="5" t="n"/>
    </row>
    <row r="198">
      <c r="A198" s="14" t="n"/>
      <c r="B198" s="23" t="str">
        <f>IF(A198="","",IFERROR(INDEX('Units &amp; sales'!$I$12:$I$311,MATCH(A198,'Units &amp; sales'!$C$12:$C$311,0))&amp;"",""))</f>
        <v/>
      </c>
      <c r="C198" s="5" t="n"/>
      <c r="D198" s="20" t="n"/>
      <c r="E198" s="21" t="n"/>
      <c r="F198" s="21" t="n"/>
      <c r="G198" s="20" t="n"/>
      <c r="H198" s="24" t="str">
        <f>IF(E198="","",IF(N(F198)&gt;=E198,"Paid",IF(AND(D198&lt;&gt;"",D198&lt;TODAY()),"Overdue",IF(N(F198)&gt;0,"Part paid","Upcoming"))))</f>
        <v/>
      </c>
      <c r="I198" s="5" t="n"/>
    </row>
    <row r="199">
      <c r="A199" s="14" t="n"/>
      <c r="B199" s="23" t="str">
        <f>IF(A199="","",IFERROR(INDEX('Units &amp; sales'!$I$12:$I$311,MATCH(A199,'Units &amp; sales'!$C$12:$C$311,0))&amp;"",""))</f>
        <v/>
      </c>
      <c r="C199" s="5" t="n"/>
      <c r="D199" s="20" t="n"/>
      <c r="E199" s="21" t="n"/>
      <c r="F199" s="21" t="n"/>
      <c r="G199" s="20" t="n"/>
      <c r="H199" s="24" t="str">
        <f>IF(E199="","",IF(N(F199)&gt;=E199,"Paid",IF(AND(D199&lt;&gt;"",D199&lt;TODAY()),"Overdue",IF(N(F199)&gt;0,"Part paid","Upcoming"))))</f>
        <v/>
      </c>
      <c r="I199" s="5" t="n"/>
    </row>
    <row r="200">
      <c r="A200" s="14" t="n"/>
      <c r="B200" s="23" t="str">
        <f>IF(A200="","",IFERROR(INDEX('Units &amp; sales'!$I$12:$I$311,MATCH(A200,'Units &amp; sales'!$C$12:$C$311,0))&amp;"",""))</f>
        <v/>
      </c>
      <c r="C200" s="5" t="n"/>
      <c r="D200" s="20" t="n"/>
      <c r="E200" s="21" t="n"/>
      <c r="F200" s="21" t="n"/>
      <c r="G200" s="20" t="n"/>
      <c r="H200" s="24" t="str">
        <f>IF(E200="","",IF(N(F200)&gt;=E200,"Paid",IF(AND(D200&lt;&gt;"",D200&lt;TODAY()),"Overdue",IF(N(F200)&gt;0,"Part paid","Upcoming"))))</f>
        <v/>
      </c>
      <c r="I200" s="5" t="n"/>
    </row>
    <row r="201">
      <c r="A201" s="14" t="n"/>
      <c r="B201" s="23" t="str">
        <f>IF(A201="","",IFERROR(INDEX('Units &amp; sales'!$I$12:$I$311,MATCH(A201,'Units &amp; sales'!$C$12:$C$311,0))&amp;"",""))</f>
        <v/>
      </c>
      <c r="C201" s="5" t="n"/>
      <c r="D201" s="20" t="n"/>
      <c r="E201" s="21" t="n"/>
      <c r="F201" s="21" t="n"/>
      <c r="G201" s="20" t="n"/>
      <c r="H201" s="24" t="str">
        <f>IF(E201="","",IF(N(F201)&gt;=E201,"Paid",IF(AND(D201&lt;&gt;"",D201&lt;TODAY()),"Overdue",IF(N(F201)&gt;0,"Part paid","Upcoming"))))</f>
        <v/>
      </c>
      <c r="I201" s="5" t="n"/>
    </row>
    <row r="202">
      <c r="A202" s="14" t="n"/>
      <c r="B202" s="23" t="str">
        <f>IF(A202="","",IFERROR(INDEX('Units &amp; sales'!$I$12:$I$311,MATCH(A202,'Units &amp; sales'!$C$12:$C$311,0))&amp;"",""))</f>
        <v/>
      </c>
      <c r="C202" s="5" t="n"/>
      <c r="D202" s="20" t="n"/>
      <c r="E202" s="21" t="n"/>
      <c r="F202" s="21" t="n"/>
      <c r="G202" s="20" t="n"/>
      <c r="H202" s="24" t="str">
        <f>IF(E202="","",IF(N(F202)&gt;=E202,"Paid",IF(AND(D202&lt;&gt;"",D202&lt;TODAY()),"Overdue",IF(N(F202)&gt;0,"Part paid","Upcoming"))))</f>
        <v/>
      </c>
      <c r="I202" s="5" t="n"/>
    </row>
    <row r="203">
      <c r="A203" s="14" t="n"/>
      <c r="B203" s="23" t="str">
        <f>IF(A203="","",IFERROR(INDEX('Units &amp; sales'!$I$12:$I$311,MATCH(A203,'Units &amp; sales'!$C$12:$C$311,0))&amp;"",""))</f>
        <v/>
      </c>
      <c r="C203" s="5" t="n"/>
      <c r="D203" s="20" t="n"/>
      <c r="E203" s="21" t="n"/>
      <c r="F203" s="21" t="n"/>
      <c r="G203" s="20" t="n"/>
      <c r="H203" s="24" t="str">
        <f>IF(E203="","",IF(N(F203)&gt;=E203,"Paid",IF(AND(D203&lt;&gt;"",D203&lt;TODAY()),"Overdue",IF(N(F203)&gt;0,"Part paid","Upcoming"))))</f>
        <v/>
      </c>
      <c r="I203" s="5" t="n"/>
    </row>
    <row r="204">
      <c r="A204" s="14" t="n"/>
      <c r="B204" s="23" t="str">
        <f>IF(A204="","",IFERROR(INDEX('Units &amp; sales'!$I$12:$I$311,MATCH(A204,'Units &amp; sales'!$C$12:$C$311,0))&amp;"",""))</f>
        <v/>
      </c>
      <c r="C204" s="5" t="n"/>
      <c r="D204" s="20" t="n"/>
      <c r="E204" s="21" t="n"/>
      <c r="F204" s="21" t="n"/>
      <c r="G204" s="20" t="n"/>
      <c r="H204" s="24" t="str">
        <f>IF(E204="","",IF(N(F204)&gt;=E204,"Paid",IF(AND(D204&lt;&gt;"",D204&lt;TODAY()),"Overdue",IF(N(F204)&gt;0,"Part paid","Upcoming"))))</f>
        <v/>
      </c>
      <c r="I204" s="5" t="n"/>
    </row>
    <row r="205">
      <c r="A205" s="14" t="n"/>
      <c r="B205" s="23" t="str">
        <f>IF(A205="","",IFERROR(INDEX('Units &amp; sales'!$I$12:$I$311,MATCH(A205,'Units &amp; sales'!$C$12:$C$311,0))&amp;"",""))</f>
        <v/>
      </c>
      <c r="C205" s="5" t="n"/>
      <c r="D205" s="20" t="n"/>
      <c r="E205" s="21" t="n"/>
      <c r="F205" s="21" t="n"/>
      <c r="G205" s="20" t="n"/>
      <c r="H205" s="24" t="str">
        <f>IF(E205="","",IF(N(F205)&gt;=E205,"Paid",IF(AND(D205&lt;&gt;"",D205&lt;TODAY()),"Overdue",IF(N(F205)&gt;0,"Part paid","Upcoming"))))</f>
        <v/>
      </c>
      <c r="I205" s="5" t="n"/>
    </row>
    <row r="206">
      <c r="A206" s="14" t="n"/>
      <c r="B206" s="23" t="str">
        <f>IF(A206="","",IFERROR(INDEX('Units &amp; sales'!$I$12:$I$311,MATCH(A206,'Units &amp; sales'!$C$12:$C$311,0))&amp;"",""))</f>
        <v/>
      </c>
      <c r="C206" s="5" t="n"/>
      <c r="D206" s="20" t="n"/>
      <c r="E206" s="21" t="n"/>
      <c r="F206" s="21" t="n"/>
      <c r="G206" s="20" t="n"/>
      <c r="H206" s="24" t="str">
        <f>IF(E206="","",IF(N(F206)&gt;=E206,"Paid",IF(AND(D206&lt;&gt;"",D206&lt;TODAY()),"Overdue",IF(N(F206)&gt;0,"Part paid","Upcoming"))))</f>
        <v/>
      </c>
      <c r="I206" s="5" t="n"/>
    </row>
    <row r="207">
      <c r="A207" s="14" t="n"/>
      <c r="B207" s="23" t="str">
        <f>IF(A207="","",IFERROR(INDEX('Units &amp; sales'!$I$12:$I$311,MATCH(A207,'Units &amp; sales'!$C$12:$C$311,0))&amp;"",""))</f>
        <v/>
      </c>
      <c r="C207" s="5" t="n"/>
      <c r="D207" s="20" t="n"/>
      <c r="E207" s="21" t="n"/>
      <c r="F207" s="21" t="n"/>
      <c r="G207" s="20" t="n"/>
      <c r="H207" s="24" t="str">
        <f>IF(E207="","",IF(N(F207)&gt;=E207,"Paid",IF(AND(D207&lt;&gt;"",D207&lt;TODAY()),"Overdue",IF(N(F207)&gt;0,"Part paid","Upcoming"))))</f>
        <v/>
      </c>
      <c r="I207" s="5" t="n"/>
    </row>
    <row r="208">
      <c r="A208" s="14" t="n"/>
      <c r="B208" s="23" t="str">
        <f>IF(A208="","",IFERROR(INDEX('Units &amp; sales'!$I$12:$I$311,MATCH(A208,'Units &amp; sales'!$C$12:$C$311,0))&amp;"",""))</f>
        <v/>
      </c>
      <c r="C208" s="5" t="n"/>
      <c r="D208" s="20" t="n"/>
      <c r="E208" s="21" t="n"/>
      <c r="F208" s="21" t="n"/>
      <c r="G208" s="20" t="n"/>
      <c r="H208" s="24" t="str">
        <f>IF(E208="","",IF(N(F208)&gt;=E208,"Paid",IF(AND(D208&lt;&gt;"",D208&lt;TODAY()),"Overdue",IF(N(F208)&gt;0,"Part paid","Upcoming"))))</f>
        <v/>
      </c>
      <c r="I208" s="5" t="n"/>
    </row>
    <row r="209">
      <c r="A209" s="14" t="n"/>
      <c r="B209" s="23" t="str">
        <f>IF(A209="","",IFERROR(INDEX('Units &amp; sales'!$I$12:$I$311,MATCH(A209,'Units &amp; sales'!$C$12:$C$311,0))&amp;"",""))</f>
        <v/>
      </c>
      <c r="C209" s="5" t="n"/>
      <c r="D209" s="20" t="n"/>
      <c r="E209" s="21" t="n"/>
      <c r="F209" s="21" t="n"/>
      <c r="G209" s="20" t="n"/>
      <c r="H209" s="24" t="str">
        <f>IF(E209="","",IF(N(F209)&gt;=E209,"Paid",IF(AND(D209&lt;&gt;"",D209&lt;TODAY()),"Overdue",IF(N(F209)&gt;0,"Part paid","Upcoming"))))</f>
        <v/>
      </c>
      <c r="I209" s="5" t="n"/>
    </row>
    <row r="210">
      <c r="A210" s="14" t="n"/>
      <c r="B210" s="23" t="str">
        <f>IF(A210="","",IFERROR(INDEX('Units &amp; sales'!$I$12:$I$311,MATCH(A210,'Units &amp; sales'!$C$12:$C$311,0))&amp;"",""))</f>
        <v/>
      </c>
      <c r="C210" s="5" t="n"/>
      <c r="D210" s="20" t="n"/>
      <c r="E210" s="21" t="n"/>
      <c r="F210" s="21" t="n"/>
      <c r="G210" s="20" t="n"/>
      <c r="H210" s="24" t="str">
        <f>IF(E210="","",IF(N(F210)&gt;=E210,"Paid",IF(AND(D210&lt;&gt;"",D210&lt;TODAY()),"Overdue",IF(N(F210)&gt;0,"Part paid","Upcoming"))))</f>
        <v/>
      </c>
      <c r="I210" s="5" t="n"/>
    </row>
    <row r="211">
      <c r="A211" s="14" t="n"/>
      <c r="B211" s="23" t="str">
        <f>IF(A211="","",IFERROR(INDEX('Units &amp; sales'!$I$12:$I$311,MATCH(A211,'Units &amp; sales'!$C$12:$C$311,0))&amp;"",""))</f>
        <v/>
      </c>
      <c r="C211" s="5" t="n"/>
      <c r="D211" s="20" t="n"/>
      <c r="E211" s="21" t="n"/>
      <c r="F211" s="21" t="n"/>
      <c r="G211" s="20" t="n"/>
      <c r="H211" s="24" t="str">
        <f>IF(E211="","",IF(N(F211)&gt;=E211,"Paid",IF(AND(D211&lt;&gt;"",D211&lt;TODAY()),"Overdue",IF(N(F211)&gt;0,"Part paid","Upcoming"))))</f>
        <v/>
      </c>
      <c r="I211" s="5" t="n"/>
    </row>
    <row r="212">
      <c r="A212" s="14" t="n"/>
      <c r="B212" s="23" t="str">
        <f>IF(A212="","",IFERROR(INDEX('Units &amp; sales'!$I$12:$I$311,MATCH(A212,'Units &amp; sales'!$C$12:$C$311,0))&amp;"",""))</f>
        <v/>
      </c>
      <c r="C212" s="5" t="n"/>
      <c r="D212" s="20" t="n"/>
      <c r="E212" s="21" t="n"/>
      <c r="F212" s="21" t="n"/>
      <c r="G212" s="20" t="n"/>
      <c r="H212" s="24" t="str">
        <f>IF(E212="","",IF(N(F212)&gt;=E212,"Paid",IF(AND(D212&lt;&gt;"",D212&lt;TODAY()),"Overdue",IF(N(F212)&gt;0,"Part paid","Upcoming"))))</f>
        <v/>
      </c>
      <c r="I212" s="5" t="n"/>
    </row>
    <row r="213">
      <c r="A213" s="14" t="n"/>
      <c r="B213" s="23" t="str">
        <f>IF(A213="","",IFERROR(INDEX('Units &amp; sales'!$I$12:$I$311,MATCH(A213,'Units &amp; sales'!$C$12:$C$311,0))&amp;"",""))</f>
        <v/>
      </c>
      <c r="C213" s="5" t="n"/>
      <c r="D213" s="20" t="n"/>
      <c r="E213" s="21" t="n"/>
      <c r="F213" s="21" t="n"/>
      <c r="G213" s="20" t="n"/>
      <c r="H213" s="24" t="str">
        <f>IF(E213="","",IF(N(F213)&gt;=E213,"Paid",IF(AND(D213&lt;&gt;"",D213&lt;TODAY()),"Overdue",IF(N(F213)&gt;0,"Part paid","Upcoming"))))</f>
        <v/>
      </c>
      <c r="I213" s="5" t="n"/>
    </row>
    <row r="214">
      <c r="A214" s="14" t="n"/>
      <c r="B214" s="23" t="str">
        <f>IF(A214="","",IFERROR(INDEX('Units &amp; sales'!$I$12:$I$311,MATCH(A214,'Units &amp; sales'!$C$12:$C$311,0))&amp;"",""))</f>
        <v/>
      </c>
      <c r="C214" s="5" t="n"/>
      <c r="D214" s="20" t="n"/>
      <c r="E214" s="21" t="n"/>
      <c r="F214" s="21" t="n"/>
      <c r="G214" s="20" t="n"/>
      <c r="H214" s="24" t="str">
        <f>IF(E214="","",IF(N(F214)&gt;=E214,"Paid",IF(AND(D214&lt;&gt;"",D214&lt;TODAY()),"Overdue",IF(N(F214)&gt;0,"Part paid","Upcoming"))))</f>
        <v/>
      </c>
      <c r="I214" s="5" t="n"/>
    </row>
    <row r="215">
      <c r="A215" s="14" t="n"/>
      <c r="B215" s="23" t="str">
        <f>IF(A215="","",IFERROR(INDEX('Units &amp; sales'!$I$12:$I$311,MATCH(A215,'Units &amp; sales'!$C$12:$C$311,0))&amp;"",""))</f>
        <v/>
      </c>
      <c r="C215" s="5" t="n"/>
      <c r="D215" s="20" t="n"/>
      <c r="E215" s="21" t="n"/>
      <c r="F215" s="21" t="n"/>
      <c r="G215" s="20" t="n"/>
      <c r="H215" s="24" t="str">
        <f>IF(E215="","",IF(N(F215)&gt;=E215,"Paid",IF(AND(D215&lt;&gt;"",D215&lt;TODAY()),"Overdue",IF(N(F215)&gt;0,"Part paid","Upcoming"))))</f>
        <v/>
      </c>
      <c r="I215" s="5" t="n"/>
    </row>
    <row r="216">
      <c r="A216" s="14" t="n"/>
      <c r="B216" s="23" t="str">
        <f>IF(A216="","",IFERROR(INDEX('Units &amp; sales'!$I$12:$I$311,MATCH(A216,'Units &amp; sales'!$C$12:$C$311,0))&amp;"",""))</f>
        <v/>
      </c>
      <c r="C216" s="5" t="n"/>
      <c r="D216" s="20" t="n"/>
      <c r="E216" s="21" t="n"/>
      <c r="F216" s="21" t="n"/>
      <c r="G216" s="20" t="n"/>
      <c r="H216" s="24" t="str">
        <f>IF(E216="","",IF(N(F216)&gt;=E216,"Paid",IF(AND(D216&lt;&gt;"",D216&lt;TODAY()),"Overdue",IF(N(F216)&gt;0,"Part paid","Upcoming"))))</f>
        <v/>
      </c>
      <c r="I216" s="5" t="n"/>
    </row>
    <row r="217">
      <c r="A217" s="14" t="n"/>
      <c r="B217" s="23" t="str">
        <f>IF(A217="","",IFERROR(INDEX('Units &amp; sales'!$I$12:$I$311,MATCH(A217,'Units &amp; sales'!$C$12:$C$311,0))&amp;"",""))</f>
        <v/>
      </c>
      <c r="C217" s="5" t="n"/>
      <c r="D217" s="20" t="n"/>
      <c r="E217" s="21" t="n"/>
      <c r="F217" s="21" t="n"/>
      <c r="G217" s="20" t="n"/>
      <c r="H217" s="24" t="str">
        <f>IF(E217="","",IF(N(F217)&gt;=E217,"Paid",IF(AND(D217&lt;&gt;"",D217&lt;TODAY()),"Overdue",IF(N(F217)&gt;0,"Part paid","Upcoming"))))</f>
        <v/>
      </c>
      <c r="I217" s="5" t="n"/>
    </row>
    <row r="218">
      <c r="A218" s="14" t="n"/>
      <c r="B218" s="23" t="str">
        <f>IF(A218="","",IFERROR(INDEX('Units &amp; sales'!$I$12:$I$311,MATCH(A218,'Units &amp; sales'!$C$12:$C$311,0))&amp;"",""))</f>
        <v/>
      </c>
      <c r="C218" s="5" t="n"/>
      <c r="D218" s="20" t="n"/>
      <c r="E218" s="21" t="n"/>
      <c r="F218" s="21" t="n"/>
      <c r="G218" s="20" t="n"/>
      <c r="H218" s="24" t="str">
        <f>IF(E218="","",IF(N(F218)&gt;=E218,"Paid",IF(AND(D218&lt;&gt;"",D218&lt;TODAY()),"Overdue",IF(N(F218)&gt;0,"Part paid","Upcoming"))))</f>
        <v/>
      </c>
      <c r="I218" s="5" t="n"/>
    </row>
    <row r="219">
      <c r="A219" s="14" t="n"/>
      <c r="B219" s="23" t="str">
        <f>IF(A219="","",IFERROR(INDEX('Units &amp; sales'!$I$12:$I$311,MATCH(A219,'Units &amp; sales'!$C$12:$C$311,0))&amp;"",""))</f>
        <v/>
      </c>
      <c r="C219" s="5" t="n"/>
      <c r="D219" s="20" t="n"/>
      <c r="E219" s="21" t="n"/>
      <c r="F219" s="21" t="n"/>
      <c r="G219" s="20" t="n"/>
      <c r="H219" s="24" t="str">
        <f>IF(E219="","",IF(N(F219)&gt;=E219,"Paid",IF(AND(D219&lt;&gt;"",D219&lt;TODAY()),"Overdue",IF(N(F219)&gt;0,"Part paid","Upcoming"))))</f>
        <v/>
      </c>
      <c r="I219" s="5" t="n"/>
    </row>
    <row r="220">
      <c r="A220" s="14" t="n"/>
      <c r="B220" s="23" t="str">
        <f>IF(A220="","",IFERROR(INDEX('Units &amp; sales'!$I$12:$I$311,MATCH(A220,'Units &amp; sales'!$C$12:$C$311,0))&amp;"",""))</f>
        <v/>
      </c>
      <c r="C220" s="5" t="n"/>
      <c r="D220" s="20" t="n"/>
      <c r="E220" s="21" t="n"/>
      <c r="F220" s="21" t="n"/>
      <c r="G220" s="20" t="n"/>
      <c r="H220" s="24" t="str">
        <f>IF(E220="","",IF(N(F220)&gt;=E220,"Paid",IF(AND(D220&lt;&gt;"",D220&lt;TODAY()),"Overdue",IF(N(F220)&gt;0,"Part paid","Upcoming"))))</f>
        <v/>
      </c>
      <c r="I220" s="5" t="n"/>
    </row>
    <row r="221">
      <c r="A221" s="14" t="n"/>
      <c r="B221" s="23" t="str">
        <f>IF(A221="","",IFERROR(INDEX('Units &amp; sales'!$I$12:$I$311,MATCH(A221,'Units &amp; sales'!$C$12:$C$311,0))&amp;"",""))</f>
        <v/>
      </c>
      <c r="C221" s="5" t="n"/>
      <c r="D221" s="20" t="n"/>
      <c r="E221" s="21" t="n"/>
      <c r="F221" s="21" t="n"/>
      <c r="G221" s="20" t="n"/>
      <c r="H221" s="24" t="str">
        <f>IF(E221="","",IF(N(F221)&gt;=E221,"Paid",IF(AND(D221&lt;&gt;"",D221&lt;TODAY()),"Overdue",IF(N(F221)&gt;0,"Part paid","Upcoming"))))</f>
        <v/>
      </c>
      <c r="I221" s="5" t="n"/>
    </row>
    <row r="222">
      <c r="A222" s="14" t="n"/>
      <c r="B222" s="23" t="str">
        <f>IF(A222="","",IFERROR(INDEX('Units &amp; sales'!$I$12:$I$311,MATCH(A222,'Units &amp; sales'!$C$12:$C$311,0))&amp;"",""))</f>
        <v/>
      </c>
      <c r="C222" s="5" t="n"/>
      <c r="D222" s="20" t="n"/>
      <c r="E222" s="21" t="n"/>
      <c r="F222" s="21" t="n"/>
      <c r="G222" s="20" t="n"/>
      <c r="H222" s="24" t="str">
        <f>IF(E222="","",IF(N(F222)&gt;=E222,"Paid",IF(AND(D222&lt;&gt;"",D222&lt;TODAY()),"Overdue",IF(N(F222)&gt;0,"Part paid","Upcoming"))))</f>
        <v/>
      </c>
      <c r="I222" s="5" t="n"/>
    </row>
    <row r="223">
      <c r="A223" s="14" t="n"/>
      <c r="B223" s="23" t="str">
        <f>IF(A223="","",IFERROR(INDEX('Units &amp; sales'!$I$12:$I$311,MATCH(A223,'Units &amp; sales'!$C$12:$C$311,0))&amp;"",""))</f>
        <v/>
      </c>
      <c r="C223" s="5" t="n"/>
      <c r="D223" s="20" t="n"/>
      <c r="E223" s="21" t="n"/>
      <c r="F223" s="21" t="n"/>
      <c r="G223" s="20" t="n"/>
      <c r="H223" s="24" t="str">
        <f>IF(E223="","",IF(N(F223)&gt;=E223,"Paid",IF(AND(D223&lt;&gt;"",D223&lt;TODAY()),"Overdue",IF(N(F223)&gt;0,"Part paid","Upcoming"))))</f>
        <v/>
      </c>
      <c r="I223" s="5" t="n"/>
    </row>
    <row r="224">
      <c r="A224" s="14" t="n"/>
      <c r="B224" s="23" t="str">
        <f>IF(A224="","",IFERROR(INDEX('Units &amp; sales'!$I$12:$I$311,MATCH(A224,'Units &amp; sales'!$C$12:$C$311,0))&amp;"",""))</f>
        <v/>
      </c>
      <c r="C224" s="5" t="n"/>
      <c r="D224" s="20" t="n"/>
      <c r="E224" s="21" t="n"/>
      <c r="F224" s="21" t="n"/>
      <c r="G224" s="20" t="n"/>
      <c r="H224" s="24" t="str">
        <f>IF(E224="","",IF(N(F224)&gt;=E224,"Paid",IF(AND(D224&lt;&gt;"",D224&lt;TODAY()),"Overdue",IF(N(F224)&gt;0,"Part paid","Upcoming"))))</f>
        <v/>
      </c>
      <c r="I224" s="5" t="n"/>
    </row>
    <row r="225">
      <c r="A225" s="14" t="n"/>
      <c r="B225" s="23" t="str">
        <f>IF(A225="","",IFERROR(INDEX('Units &amp; sales'!$I$12:$I$311,MATCH(A225,'Units &amp; sales'!$C$12:$C$311,0))&amp;"",""))</f>
        <v/>
      </c>
      <c r="C225" s="5" t="n"/>
      <c r="D225" s="20" t="n"/>
      <c r="E225" s="21" t="n"/>
      <c r="F225" s="21" t="n"/>
      <c r="G225" s="20" t="n"/>
      <c r="H225" s="24" t="str">
        <f>IF(E225="","",IF(N(F225)&gt;=E225,"Paid",IF(AND(D225&lt;&gt;"",D225&lt;TODAY()),"Overdue",IF(N(F225)&gt;0,"Part paid","Upcoming"))))</f>
        <v/>
      </c>
      <c r="I225" s="5" t="n"/>
    </row>
    <row r="226">
      <c r="A226" s="14" t="n"/>
      <c r="B226" s="23" t="str">
        <f>IF(A226="","",IFERROR(INDEX('Units &amp; sales'!$I$12:$I$311,MATCH(A226,'Units &amp; sales'!$C$12:$C$311,0))&amp;"",""))</f>
        <v/>
      </c>
      <c r="C226" s="5" t="n"/>
      <c r="D226" s="20" t="n"/>
      <c r="E226" s="21" t="n"/>
      <c r="F226" s="21" t="n"/>
      <c r="G226" s="20" t="n"/>
      <c r="H226" s="24" t="str">
        <f>IF(E226="","",IF(N(F226)&gt;=E226,"Paid",IF(AND(D226&lt;&gt;"",D226&lt;TODAY()),"Overdue",IF(N(F226)&gt;0,"Part paid","Upcoming"))))</f>
        <v/>
      </c>
      <c r="I226" s="5" t="n"/>
    </row>
    <row r="227">
      <c r="A227" s="14" t="n"/>
      <c r="B227" s="23" t="str">
        <f>IF(A227="","",IFERROR(INDEX('Units &amp; sales'!$I$12:$I$311,MATCH(A227,'Units &amp; sales'!$C$12:$C$311,0))&amp;"",""))</f>
        <v/>
      </c>
      <c r="C227" s="5" t="n"/>
      <c r="D227" s="20" t="n"/>
      <c r="E227" s="21" t="n"/>
      <c r="F227" s="21" t="n"/>
      <c r="G227" s="20" t="n"/>
      <c r="H227" s="24" t="str">
        <f>IF(E227="","",IF(N(F227)&gt;=E227,"Paid",IF(AND(D227&lt;&gt;"",D227&lt;TODAY()),"Overdue",IF(N(F227)&gt;0,"Part paid","Upcoming"))))</f>
        <v/>
      </c>
      <c r="I227" s="5" t="n"/>
    </row>
    <row r="228">
      <c r="A228" s="14" t="n"/>
      <c r="B228" s="23" t="str">
        <f>IF(A228="","",IFERROR(INDEX('Units &amp; sales'!$I$12:$I$311,MATCH(A228,'Units &amp; sales'!$C$12:$C$311,0))&amp;"",""))</f>
        <v/>
      </c>
      <c r="C228" s="5" t="n"/>
      <c r="D228" s="20" t="n"/>
      <c r="E228" s="21" t="n"/>
      <c r="F228" s="21" t="n"/>
      <c r="G228" s="20" t="n"/>
      <c r="H228" s="24" t="str">
        <f>IF(E228="","",IF(N(F228)&gt;=E228,"Paid",IF(AND(D228&lt;&gt;"",D228&lt;TODAY()),"Overdue",IF(N(F228)&gt;0,"Part paid","Upcoming"))))</f>
        <v/>
      </c>
      <c r="I228" s="5" t="n"/>
    </row>
    <row r="229">
      <c r="A229" s="14" t="n"/>
      <c r="B229" s="23" t="str">
        <f>IF(A229="","",IFERROR(INDEX('Units &amp; sales'!$I$12:$I$311,MATCH(A229,'Units &amp; sales'!$C$12:$C$311,0))&amp;"",""))</f>
        <v/>
      </c>
      <c r="C229" s="5" t="n"/>
      <c r="D229" s="20" t="n"/>
      <c r="E229" s="21" t="n"/>
      <c r="F229" s="21" t="n"/>
      <c r="G229" s="20" t="n"/>
      <c r="H229" s="24" t="str">
        <f>IF(E229="","",IF(N(F229)&gt;=E229,"Paid",IF(AND(D229&lt;&gt;"",D229&lt;TODAY()),"Overdue",IF(N(F229)&gt;0,"Part paid","Upcoming"))))</f>
        <v/>
      </c>
      <c r="I229" s="5" t="n"/>
    </row>
    <row r="230">
      <c r="A230" s="14" t="n"/>
      <c r="B230" s="23" t="str">
        <f>IF(A230="","",IFERROR(INDEX('Units &amp; sales'!$I$12:$I$311,MATCH(A230,'Units &amp; sales'!$C$12:$C$311,0))&amp;"",""))</f>
        <v/>
      </c>
      <c r="C230" s="5" t="n"/>
      <c r="D230" s="20" t="n"/>
      <c r="E230" s="21" t="n"/>
      <c r="F230" s="21" t="n"/>
      <c r="G230" s="20" t="n"/>
      <c r="H230" s="24" t="str">
        <f>IF(E230="","",IF(N(F230)&gt;=E230,"Paid",IF(AND(D230&lt;&gt;"",D230&lt;TODAY()),"Overdue",IF(N(F230)&gt;0,"Part paid","Upcoming"))))</f>
        <v/>
      </c>
      <c r="I230" s="5" t="n"/>
    </row>
    <row r="231">
      <c r="A231" s="14" t="n"/>
      <c r="B231" s="23" t="str">
        <f>IF(A231="","",IFERROR(INDEX('Units &amp; sales'!$I$12:$I$311,MATCH(A231,'Units &amp; sales'!$C$12:$C$311,0))&amp;"",""))</f>
        <v/>
      </c>
      <c r="C231" s="5" t="n"/>
      <c r="D231" s="20" t="n"/>
      <c r="E231" s="21" t="n"/>
      <c r="F231" s="21" t="n"/>
      <c r="G231" s="20" t="n"/>
      <c r="H231" s="24" t="str">
        <f>IF(E231="","",IF(N(F231)&gt;=E231,"Paid",IF(AND(D231&lt;&gt;"",D231&lt;TODAY()),"Overdue",IF(N(F231)&gt;0,"Part paid","Upcoming"))))</f>
        <v/>
      </c>
      <c r="I231" s="5" t="n"/>
    </row>
    <row r="232">
      <c r="A232" s="14" t="n"/>
      <c r="B232" s="23" t="str">
        <f>IF(A232="","",IFERROR(INDEX('Units &amp; sales'!$I$12:$I$311,MATCH(A232,'Units &amp; sales'!$C$12:$C$311,0))&amp;"",""))</f>
        <v/>
      </c>
      <c r="C232" s="5" t="n"/>
      <c r="D232" s="20" t="n"/>
      <c r="E232" s="21" t="n"/>
      <c r="F232" s="21" t="n"/>
      <c r="G232" s="20" t="n"/>
      <c r="H232" s="24" t="str">
        <f>IF(E232="","",IF(N(F232)&gt;=E232,"Paid",IF(AND(D232&lt;&gt;"",D232&lt;TODAY()),"Overdue",IF(N(F232)&gt;0,"Part paid","Upcoming"))))</f>
        <v/>
      </c>
      <c r="I232" s="5" t="n"/>
    </row>
    <row r="233">
      <c r="A233" s="14" t="n"/>
      <c r="B233" s="23" t="str">
        <f>IF(A233="","",IFERROR(INDEX('Units &amp; sales'!$I$12:$I$311,MATCH(A233,'Units &amp; sales'!$C$12:$C$311,0))&amp;"",""))</f>
        <v/>
      </c>
      <c r="C233" s="5" t="n"/>
      <c r="D233" s="20" t="n"/>
      <c r="E233" s="21" t="n"/>
      <c r="F233" s="21" t="n"/>
      <c r="G233" s="20" t="n"/>
      <c r="H233" s="24" t="str">
        <f>IF(E233="","",IF(N(F233)&gt;=E233,"Paid",IF(AND(D233&lt;&gt;"",D233&lt;TODAY()),"Overdue",IF(N(F233)&gt;0,"Part paid","Upcoming"))))</f>
        <v/>
      </c>
      <c r="I233" s="5" t="n"/>
    </row>
    <row r="234">
      <c r="A234" s="14" t="n"/>
      <c r="B234" s="23" t="str">
        <f>IF(A234="","",IFERROR(INDEX('Units &amp; sales'!$I$12:$I$311,MATCH(A234,'Units &amp; sales'!$C$12:$C$311,0))&amp;"",""))</f>
        <v/>
      </c>
      <c r="C234" s="5" t="n"/>
      <c r="D234" s="20" t="n"/>
      <c r="E234" s="21" t="n"/>
      <c r="F234" s="21" t="n"/>
      <c r="G234" s="20" t="n"/>
      <c r="H234" s="24" t="str">
        <f>IF(E234="","",IF(N(F234)&gt;=E234,"Paid",IF(AND(D234&lt;&gt;"",D234&lt;TODAY()),"Overdue",IF(N(F234)&gt;0,"Part paid","Upcoming"))))</f>
        <v/>
      </c>
      <c r="I234" s="5" t="n"/>
    </row>
    <row r="235">
      <c r="A235" s="14" t="n"/>
      <c r="B235" s="23" t="str">
        <f>IF(A235="","",IFERROR(INDEX('Units &amp; sales'!$I$12:$I$311,MATCH(A235,'Units &amp; sales'!$C$12:$C$311,0))&amp;"",""))</f>
        <v/>
      </c>
      <c r="C235" s="5" t="n"/>
      <c r="D235" s="20" t="n"/>
      <c r="E235" s="21" t="n"/>
      <c r="F235" s="21" t="n"/>
      <c r="G235" s="20" t="n"/>
      <c r="H235" s="24" t="str">
        <f>IF(E235="","",IF(N(F235)&gt;=E235,"Paid",IF(AND(D235&lt;&gt;"",D235&lt;TODAY()),"Overdue",IF(N(F235)&gt;0,"Part paid","Upcoming"))))</f>
        <v/>
      </c>
      <c r="I235" s="5" t="n"/>
    </row>
    <row r="236">
      <c r="A236" s="14" t="n"/>
      <c r="B236" s="23" t="str">
        <f>IF(A236="","",IFERROR(INDEX('Units &amp; sales'!$I$12:$I$311,MATCH(A236,'Units &amp; sales'!$C$12:$C$311,0))&amp;"",""))</f>
        <v/>
      </c>
      <c r="C236" s="5" t="n"/>
      <c r="D236" s="20" t="n"/>
      <c r="E236" s="21" t="n"/>
      <c r="F236" s="21" t="n"/>
      <c r="G236" s="20" t="n"/>
      <c r="H236" s="24" t="str">
        <f>IF(E236="","",IF(N(F236)&gt;=E236,"Paid",IF(AND(D236&lt;&gt;"",D236&lt;TODAY()),"Overdue",IF(N(F236)&gt;0,"Part paid","Upcoming"))))</f>
        <v/>
      </c>
      <c r="I236" s="5" t="n"/>
    </row>
    <row r="237">
      <c r="A237" s="14" t="n"/>
      <c r="B237" s="23" t="str">
        <f>IF(A237="","",IFERROR(INDEX('Units &amp; sales'!$I$12:$I$311,MATCH(A237,'Units &amp; sales'!$C$12:$C$311,0))&amp;"",""))</f>
        <v/>
      </c>
      <c r="C237" s="5" t="n"/>
      <c r="D237" s="20" t="n"/>
      <c r="E237" s="21" t="n"/>
      <c r="F237" s="21" t="n"/>
      <c r="G237" s="20" t="n"/>
      <c r="H237" s="24" t="str">
        <f>IF(E237="","",IF(N(F237)&gt;=E237,"Paid",IF(AND(D237&lt;&gt;"",D237&lt;TODAY()),"Overdue",IF(N(F237)&gt;0,"Part paid","Upcoming"))))</f>
        <v/>
      </c>
      <c r="I237" s="5" t="n"/>
    </row>
    <row r="238">
      <c r="A238" s="14" t="n"/>
      <c r="B238" s="23" t="str">
        <f>IF(A238="","",IFERROR(INDEX('Units &amp; sales'!$I$12:$I$311,MATCH(A238,'Units &amp; sales'!$C$12:$C$311,0))&amp;"",""))</f>
        <v/>
      </c>
      <c r="C238" s="5" t="n"/>
      <c r="D238" s="20" t="n"/>
      <c r="E238" s="21" t="n"/>
      <c r="F238" s="21" t="n"/>
      <c r="G238" s="20" t="n"/>
      <c r="H238" s="24" t="str">
        <f>IF(E238="","",IF(N(F238)&gt;=E238,"Paid",IF(AND(D238&lt;&gt;"",D238&lt;TODAY()),"Overdue",IF(N(F238)&gt;0,"Part paid","Upcoming"))))</f>
        <v/>
      </c>
      <c r="I238" s="5" t="n"/>
    </row>
    <row r="239">
      <c r="A239" s="14" t="n"/>
      <c r="B239" s="23" t="str">
        <f>IF(A239="","",IFERROR(INDEX('Units &amp; sales'!$I$12:$I$311,MATCH(A239,'Units &amp; sales'!$C$12:$C$311,0))&amp;"",""))</f>
        <v/>
      </c>
      <c r="C239" s="5" t="n"/>
      <c r="D239" s="20" t="n"/>
      <c r="E239" s="21" t="n"/>
      <c r="F239" s="21" t="n"/>
      <c r="G239" s="20" t="n"/>
      <c r="H239" s="24" t="str">
        <f>IF(E239="","",IF(N(F239)&gt;=E239,"Paid",IF(AND(D239&lt;&gt;"",D239&lt;TODAY()),"Overdue",IF(N(F239)&gt;0,"Part paid","Upcoming"))))</f>
        <v/>
      </c>
      <c r="I239" s="5" t="n"/>
    </row>
    <row r="240">
      <c r="A240" s="14" t="n"/>
      <c r="B240" s="23" t="str">
        <f>IF(A240="","",IFERROR(INDEX('Units &amp; sales'!$I$12:$I$311,MATCH(A240,'Units &amp; sales'!$C$12:$C$311,0))&amp;"",""))</f>
        <v/>
      </c>
      <c r="C240" s="5" t="n"/>
      <c r="D240" s="20" t="n"/>
      <c r="E240" s="21" t="n"/>
      <c r="F240" s="21" t="n"/>
      <c r="G240" s="20" t="n"/>
      <c r="H240" s="24" t="str">
        <f>IF(E240="","",IF(N(F240)&gt;=E240,"Paid",IF(AND(D240&lt;&gt;"",D240&lt;TODAY()),"Overdue",IF(N(F240)&gt;0,"Part paid","Upcoming"))))</f>
        <v/>
      </c>
      <c r="I240" s="5" t="n"/>
    </row>
    <row r="241">
      <c r="A241" s="14" t="n"/>
      <c r="B241" s="23" t="str">
        <f>IF(A241="","",IFERROR(INDEX('Units &amp; sales'!$I$12:$I$311,MATCH(A241,'Units &amp; sales'!$C$12:$C$311,0))&amp;"",""))</f>
        <v/>
      </c>
      <c r="C241" s="5" t="n"/>
      <c r="D241" s="20" t="n"/>
      <c r="E241" s="21" t="n"/>
      <c r="F241" s="21" t="n"/>
      <c r="G241" s="20" t="n"/>
      <c r="H241" s="24" t="str">
        <f>IF(E241="","",IF(N(F241)&gt;=E241,"Paid",IF(AND(D241&lt;&gt;"",D241&lt;TODAY()),"Overdue",IF(N(F241)&gt;0,"Part paid","Upcoming"))))</f>
        <v/>
      </c>
      <c r="I241" s="5" t="n"/>
    </row>
    <row r="242">
      <c r="A242" s="14" t="n"/>
      <c r="B242" s="23" t="str">
        <f>IF(A242="","",IFERROR(INDEX('Units &amp; sales'!$I$12:$I$311,MATCH(A242,'Units &amp; sales'!$C$12:$C$311,0))&amp;"",""))</f>
        <v/>
      </c>
      <c r="C242" s="5" t="n"/>
      <c r="D242" s="20" t="n"/>
      <c r="E242" s="21" t="n"/>
      <c r="F242" s="21" t="n"/>
      <c r="G242" s="20" t="n"/>
      <c r="H242" s="24" t="str">
        <f>IF(E242="","",IF(N(F242)&gt;=E242,"Paid",IF(AND(D242&lt;&gt;"",D242&lt;TODAY()),"Overdue",IF(N(F242)&gt;0,"Part paid","Upcoming"))))</f>
        <v/>
      </c>
      <c r="I242" s="5" t="n"/>
    </row>
    <row r="243">
      <c r="A243" s="14" t="n"/>
      <c r="B243" s="23" t="str">
        <f>IF(A243="","",IFERROR(INDEX('Units &amp; sales'!$I$12:$I$311,MATCH(A243,'Units &amp; sales'!$C$12:$C$311,0))&amp;"",""))</f>
        <v/>
      </c>
      <c r="C243" s="5" t="n"/>
      <c r="D243" s="20" t="n"/>
      <c r="E243" s="21" t="n"/>
      <c r="F243" s="21" t="n"/>
      <c r="G243" s="20" t="n"/>
      <c r="H243" s="24" t="str">
        <f>IF(E243="","",IF(N(F243)&gt;=E243,"Paid",IF(AND(D243&lt;&gt;"",D243&lt;TODAY()),"Overdue",IF(N(F243)&gt;0,"Part paid","Upcoming"))))</f>
        <v/>
      </c>
      <c r="I243" s="5" t="n"/>
    </row>
    <row r="244">
      <c r="A244" s="14" t="n"/>
      <c r="B244" s="23" t="str">
        <f>IF(A244="","",IFERROR(INDEX('Units &amp; sales'!$I$12:$I$311,MATCH(A244,'Units &amp; sales'!$C$12:$C$311,0))&amp;"",""))</f>
        <v/>
      </c>
      <c r="C244" s="5" t="n"/>
      <c r="D244" s="20" t="n"/>
      <c r="E244" s="21" t="n"/>
      <c r="F244" s="21" t="n"/>
      <c r="G244" s="20" t="n"/>
      <c r="H244" s="24" t="str">
        <f>IF(E244="","",IF(N(F244)&gt;=E244,"Paid",IF(AND(D244&lt;&gt;"",D244&lt;TODAY()),"Overdue",IF(N(F244)&gt;0,"Part paid","Upcoming"))))</f>
        <v/>
      </c>
      <c r="I244" s="5" t="n"/>
    </row>
    <row r="245">
      <c r="A245" s="14" t="n"/>
      <c r="B245" s="23" t="str">
        <f>IF(A245="","",IFERROR(INDEX('Units &amp; sales'!$I$12:$I$311,MATCH(A245,'Units &amp; sales'!$C$12:$C$311,0))&amp;"",""))</f>
        <v/>
      </c>
      <c r="C245" s="5" t="n"/>
      <c r="D245" s="20" t="n"/>
      <c r="E245" s="21" t="n"/>
      <c r="F245" s="21" t="n"/>
      <c r="G245" s="20" t="n"/>
      <c r="H245" s="24" t="str">
        <f>IF(E245="","",IF(N(F245)&gt;=E245,"Paid",IF(AND(D245&lt;&gt;"",D245&lt;TODAY()),"Overdue",IF(N(F245)&gt;0,"Part paid","Upcoming"))))</f>
        <v/>
      </c>
      <c r="I245" s="5" t="n"/>
    </row>
    <row r="246">
      <c r="A246" s="14" t="n"/>
      <c r="B246" s="23" t="str">
        <f>IF(A246="","",IFERROR(INDEX('Units &amp; sales'!$I$12:$I$311,MATCH(A246,'Units &amp; sales'!$C$12:$C$311,0))&amp;"",""))</f>
        <v/>
      </c>
      <c r="C246" s="5" t="n"/>
      <c r="D246" s="20" t="n"/>
      <c r="E246" s="21" t="n"/>
      <c r="F246" s="21" t="n"/>
      <c r="G246" s="20" t="n"/>
      <c r="H246" s="24" t="str">
        <f>IF(E246="","",IF(N(F246)&gt;=E246,"Paid",IF(AND(D246&lt;&gt;"",D246&lt;TODAY()),"Overdue",IF(N(F246)&gt;0,"Part paid","Upcoming"))))</f>
        <v/>
      </c>
      <c r="I246" s="5" t="n"/>
    </row>
    <row r="247">
      <c r="A247" s="14" t="n"/>
      <c r="B247" s="23" t="str">
        <f>IF(A247="","",IFERROR(INDEX('Units &amp; sales'!$I$12:$I$311,MATCH(A247,'Units &amp; sales'!$C$12:$C$311,0))&amp;"",""))</f>
        <v/>
      </c>
      <c r="C247" s="5" t="n"/>
      <c r="D247" s="20" t="n"/>
      <c r="E247" s="21" t="n"/>
      <c r="F247" s="21" t="n"/>
      <c r="G247" s="20" t="n"/>
      <c r="H247" s="24" t="str">
        <f>IF(E247="","",IF(N(F247)&gt;=E247,"Paid",IF(AND(D247&lt;&gt;"",D247&lt;TODAY()),"Overdue",IF(N(F247)&gt;0,"Part paid","Upcoming"))))</f>
        <v/>
      </c>
      <c r="I247" s="5" t="n"/>
    </row>
    <row r="248">
      <c r="A248" s="14" t="n"/>
      <c r="B248" s="23" t="str">
        <f>IF(A248="","",IFERROR(INDEX('Units &amp; sales'!$I$12:$I$311,MATCH(A248,'Units &amp; sales'!$C$12:$C$311,0))&amp;"",""))</f>
        <v/>
      </c>
      <c r="C248" s="5" t="n"/>
      <c r="D248" s="20" t="n"/>
      <c r="E248" s="21" t="n"/>
      <c r="F248" s="21" t="n"/>
      <c r="G248" s="20" t="n"/>
      <c r="H248" s="24" t="str">
        <f>IF(E248="","",IF(N(F248)&gt;=E248,"Paid",IF(AND(D248&lt;&gt;"",D248&lt;TODAY()),"Overdue",IF(N(F248)&gt;0,"Part paid","Upcoming"))))</f>
        <v/>
      </c>
      <c r="I248" s="5" t="n"/>
    </row>
    <row r="249">
      <c r="A249" s="14" t="n"/>
      <c r="B249" s="23" t="str">
        <f>IF(A249="","",IFERROR(INDEX('Units &amp; sales'!$I$12:$I$311,MATCH(A249,'Units &amp; sales'!$C$12:$C$311,0))&amp;"",""))</f>
        <v/>
      </c>
      <c r="C249" s="5" t="n"/>
      <c r="D249" s="20" t="n"/>
      <c r="E249" s="21" t="n"/>
      <c r="F249" s="21" t="n"/>
      <c r="G249" s="20" t="n"/>
      <c r="H249" s="24" t="str">
        <f>IF(E249="","",IF(N(F249)&gt;=E249,"Paid",IF(AND(D249&lt;&gt;"",D249&lt;TODAY()),"Overdue",IF(N(F249)&gt;0,"Part paid","Upcoming"))))</f>
        <v/>
      </c>
      <c r="I249" s="5" t="n"/>
    </row>
    <row r="250">
      <c r="A250" s="14" t="n"/>
      <c r="B250" s="23" t="str">
        <f>IF(A250="","",IFERROR(INDEX('Units &amp; sales'!$I$12:$I$311,MATCH(A250,'Units &amp; sales'!$C$12:$C$311,0))&amp;"",""))</f>
        <v/>
      </c>
      <c r="C250" s="5" t="n"/>
      <c r="D250" s="20" t="n"/>
      <c r="E250" s="21" t="n"/>
      <c r="F250" s="21" t="n"/>
      <c r="G250" s="20" t="n"/>
      <c r="H250" s="24" t="str">
        <f>IF(E250="","",IF(N(F250)&gt;=E250,"Paid",IF(AND(D250&lt;&gt;"",D250&lt;TODAY()),"Overdue",IF(N(F250)&gt;0,"Part paid","Upcoming"))))</f>
        <v/>
      </c>
      <c r="I250" s="5" t="n"/>
    </row>
    <row r="251">
      <c r="A251" s="14" t="n"/>
      <c r="B251" s="23" t="str">
        <f>IF(A251="","",IFERROR(INDEX('Units &amp; sales'!$I$12:$I$311,MATCH(A251,'Units &amp; sales'!$C$12:$C$311,0))&amp;"",""))</f>
        <v/>
      </c>
      <c r="C251" s="5" t="n"/>
      <c r="D251" s="20" t="n"/>
      <c r="E251" s="21" t="n"/>
      <c r="F251" s="21" t="n"/>
      <c r="G251" s="20" t="n"/>
      <c r="H251" s="24" t="str">
        <f>IF(E251="","",IF(N(F251)&gt;=E251,"Paid",IF(AND(D251&lt;&gt;"",D251&lt;TODAY()),"Overdue",IF(N(F251)&gt;0,"Part paid","Upcoming"))))</f>
        <v/>
      </c>
      <c r="I251" s="5" t="n"/>
    </row>
    <row r="252">
      <c r="A252" s="14" t="n"/>
      <c r="B252" s="23" t="str">
        <f>IF(A252="","",IFERROR(INDEX('Units &amp; sales'!$I$12:$I$311,MATCH(A252,'Units &amp; sales'!$C$12:$C$311,0))&amp;"",""))</f>
        <v/>
      </c>
      <c r="C252" s="5" t="n"/>
      <c r="D252" s="20" t="n"/>
      <c r="E252" s="21" t="n"/>
      <c r="F252" s="21" t="n"/>
      <c r="G252" s="20" t="n"/>
      <c r="H252" s="24" t="str">
        <f>IF(E252="","",IF(N(F252)&gt;=E252,"Paid",IF(AND(D252&lt;&gt;"",D252&lt;TODAY()),"Overdue",IF(N(F252)&gt;0,"Part paid","Upcoming"))))</f>
        <v/>
      </c>
      <c r="I252" s="5" t="n"/>
    </row>
    <row r="253">
      <c r="A253" s="14" t="n"/>
      <c r="B253" s="23" t="str">
        <f>IF(A253="","",IFERROR(INDEX('Units &amp; sales'!$I$12:$I$311,MATCH(A253,'Units &amp; sales'!$C$12:$C$311,0))&amp;"",""))</f>
        <v/>
      </c>
      <c r="C253" s="5" t="n"/>
      <c r="D253" s="20" t="n"/>
      <c r="E253" s="21" t="n"/>
      <c r="F253" s="21" t="n"/>
      <c r="G253" s="20" t="n"/>
      <c r="H253" s="24" t="str">
        <f>IF(E253="","",IF(N(F253)&gt;=E253,"Paid",IF(AND(D253&lt;&gt;"",D253&lt;TODAY()),"Overdue",IF(N(F253)&gt;0,"Part paid","Upcoming"))))</f>
        <v/>
      </c>
      <c r="I253" s="5" t="n"/>
    </row>
    <row r="254">
      <c r="A254" s="14" t="n"/>
      <c r="B254" s="23" t="str">
        <f>IF(A254="","",IFERROR(INDEX('Units &amp; sales'!$I$12:$I$311,MATCH(A254,'Units &amp; sales'!$C$12:$C$311,0))&amp;"",""))</f>
        <v/>
      </c>
      <c r="C254" s="5" t="n"/>
      <c r="D254" s="20" t="n"/>
      <c r="E254" s="21" t="n"/>
      <c r="F254" s="21" t="n"/>
      <c r="G254" s="20" t="n"/>
      <c r="H254" s="24" t="str">
        <f>IF(E254="","",IF(N(F254)&gt;=E254,"Paid",IF(AND(D254&lt;&gt;"",D254&lt;TODAY()),"Overdue",IF(N(F254)&gt;0,"Part paid","Upcoming"))))</f>
        <v/>
      </c>
      <c r="I254" s="5" t="n"/>
    </row>
    <row r="255">
      <c r="A255" s="14" t="n"/>
      <c r="B255" s="23" t="str">
        <f>IF(A255="","",IFERROR(INDEX('Units &amp; sales'!$I$12:$I$311,MATCH(A255,'Units &amp; sales'!$C$12:$C$311,0))&amp;"",""))</f>
        <v/>
      </c>
      <c r="C255" s="5" t="n"/>
      <c r="D255" s="20" t="n"/>
      <c r="E255" s="21" t="n"/>
      <c r="F255" s="21" t="n"/>
      <c r="G255" s="20" t="n"/>
      <c r="H255" s="24" t="str">
        <f>IF(E255="","",IF(N(F255)&gt;=E255,"Paid",IF(AND(D255&lt;&gt;"",D255&lt;TODAY()),"Overdue",IF(N(F255)&gt;0,"Part paid","Upcoming"))))</f>
        <v/>
      </c>
      <c r="I255" s="5" t="n"/>
    </row>
    <row r="256">
      <c r="A256" s="14" t="n"/>
      <c r="B256" s="23" t="str">
        <f>IF(A256="","",IFERROR(INDEX('Units &amp; sales'!$I$12:$I$311,MATCH(A256,'Units &amp; sales'!$C$12:$C$311,0))&amp;"",""))</f>
        <v/>
      </c>
      <c r="C256" s="5" t="n"/>
      <c r="D256" s="20" t="n"/>
      <c r="E256" s="21" t="n"/>
      <c r="F256" s="21" t="n"/>
      <c r="G256" s="20" t="n"/>
      <c r="H256" s="24" t="str">
        <f>IF(E256="","",IF(N(F256)&gt;=E256,"Paid",IF(AND(D256&lt;&gt;"",D256&lt;TODAY()),"Overdue",IF(N(F256)&gt;0,"Part paid","Upcoming"))))</f>
        <v/>
      </c>
      <c r="I256" s="5" t="n"/>
    </row>
    <row r="257">
      <c r="A257" s="14" t="n"/>
      <c r="B257" s="23" t="str">
        <f>IF(A257="","",IFERROR(INDEX('Units &amp; sales'!$I$12:$I$311,MATCH(A257,'Units &amp; sales'!$C$12:$C$311,0))&amp;"",""))</f>
        <v/>
      </c>
      <c r="C257" s="5" t="n"/>
      <c r="D257" s="20" t="n"/>
      <c r="E257" s="21" t="n"/>
      <c r="F257" s="21" t="n"/>
      <c r="G257" s="20" t="n"/>
      <c r="H257" s="24" t="str">
        <f>IF(E257="","",IF(N(F257)&gt;=E257,"Paid",IF(AND(D257&lt;&gt;"",D257&lt;TODAY()),"Overdue",IF(N(F257)&gt;0,"Part paid","Upcoming"))))</f>
        <v/>
      </c>
      <c r="I257" s="5" t="n"/>
    </row>
    <row r="258">
      <c r="A258" s="14" t="n"/>
      <c r="B258" s="23" t="str">
        <f>IF(A258="","",IFERROR(INDEX('Units &amp; sales'!$I$12:$I$311,MATCH(A258,'Units &amp; sales'!$C$12:$C$311,0))&amp;"",""))</f>
        <v/>
      </c>
      <c r="C258" s="5" t="n"/>
      <c r="D258" s="20" t="n"/>
      <c r="E258" s="21" t="n"/>
      <c r="F258" s="21" t="n"/>
      <c r="G258" s="20" t="n"/>
      <c r="H258" s="24" t="str">
        <f>IF(E258="","",IF(N(F258)&gt;=E258,"Paid",IF(AND(D258&lt;&gt;"",D258&lt;TODAY()),"Overdue",IF(N(F258)&gt;0,"Part paid","Upcoming"))))</f>
        <v/>
      </c>
      <c r="I258" s="5" t="n"/>
    </row>
    <row r="259">
      <c r="A259" s="14" t="n"/>
      <c r="B259" s="23" t="str">
        <f>IF(A259="","",IFERROR(INDEX('Units &amp; sales'!$I$12:$I$311,MATCH(A259,'Units &amp; sales'!$C$12:$C$311,0))&amp;"",""))</f>
        <v/>
      </c>
      <c r="C259" s="5" t="n"/>
      <c r="D259" s="20" t="n"/>
      <c r="E259" s="21" t="n"/>
      <c r="F259" s="21" t="n"/>
      <c r="G259" s="20" t="n"/>
      <c r="H259" s="24" t="str">
        <f>IF(E259="","",IF(N(F259)&gt;=E259,"Paid",IF(AND(D259&lt;&gt;"",D259&lt;TODAY()),"Overdue",IF(N(F259)&gt;0,"Part paid","Upcoming"))))</f>
        <v/>
      </c>
      <c r="I259" s="5" t="n"/>
    </row>
    <row r="260">
      <c r="A260" s="14" t="n"/>
      <c r="B260" s="23" t="str">
        <f>IF(A260="","",IFERROR(INDEX('Units &amp; sales'!$I$12:$I$311,MATCH(A260,'Units &amp; sales'!$C$12:$C$311,0))&amp;"",""))</f>
        <v/>
      </c>
      <c r="C260" s="5" t="n"/>
      <c r="D260" s="20" t="n"/>
      <c r="E260" s="21" t="n"/>
      <c r="F260" s="21" t="n"/>
      <c r="G260" s="20" t="n"/>
      <c r="H260" s="24" t="str">
        <f>IF(E260="","",IF(N(F260)&gt;=E260,"Paid",IF(AND(D260&lt;&gt;"",D260&lt;TODAY()),"Overdue",IF(N(F260)&gt;0,"Part paid","Upcoming"))))</f>
        <v/>
      </c>
      <c r="I260" s="5" t="n"/>
    </row>
    <row r="261">
      <c r="A261" s="14" t="n"/>
      <c r="B261" s="23" t="str">
        <f>IF(A261="","",IFERROR(INDEX('Units &amp; sales'!$I$12:$I$311,MATCH(A261,'Units &amp; sales'!$C$12:$C$311,0))&amp;"",""))</f>
        <v/>
      </c>
      <c r="C261" s="5" t="n"/>
      <c r="D261" s="20" t="n"/>
      <c r="E261" s="21" t="n"/>
      <c r="F261" s="21" t="n"/>
      <c r="G261" s="20" t="n"/>
      <c r="H261" s="24" t="str">
        <f>IF(E261="","",IF(N(F261)&gt;=E261,"Paid",IF(AND(D261&lt;&gt;"",D261&lt;TODAY()),"Overdue",IF(N(F261)&gt;0,"Part paid","Upcoming"))))</f>
        <v/>
      </c>
      <c r="I261" s="5" t="n"/>
    </row>
    <row r="262">
      <c r="A262" s="14" t="n"/>
      <c r="B262" s="23" t="str">
        <f>IF(A262="","",IFERROR(INDEX('Units &amp; sales'!$I$12:$I$311,MATCH(A262,'Units &amp; sales'!$C$12:$C$311,0))&amp;"",""))</f>
        <v/>
      </c>
      <c r="C262" s="5" t="n"/>
      <c r="D262" s="20" t="n"/>
      <c r="E262" s="21" t="n"/>
      <c r="F262" s="21" t="n"/>
      <c r="G262" s="20" t="n"/>
      <c r="H262" s="24" t="str">
        <f>IF(E262="","",IF(N(F262)&gt;=E262,"Paid",IF(AND(D262&lt;&gt;"",D262&lt;TODAY()),"Overdue",IF(N(F262)&gt;0,"Part paid","Upcoming"))))</f>
        <v/>
      </c>
      <c r="I262" s="5" t="n"/>
    </row>
    <row r="263">
      <c r="A263" s="14" t="n"/>
      <c r="B263" s="23" t="str">
        <f>IF(A263="","",IFERROR(INDEX('Units &amp; sales'!$I$12:$I$311,MATCH(A263,'Units &amp; sales'!$C$12:$C$311,0))&amp;"",""))</f>
        <v/>
      </c>
      <c r="C263" s="5" t="n"/>
      <c r="D263" s="20" t="n"/>
      <c r="E263" s="21" t="n"/>
      <c r="F263" s="21" t="n"/>
      <c r="G263" s="20" t="n"/>
      <c r="H263" s="24" t="str">
        <f>IF(E263="","",IF(N(F263)&gt;=E263,"Paid",IF(AND(D263&lt;&gt;"",D263&lt;TODAY()),"Overdue",IF(N(F263)&gt;0,"Part paid","Upcoming"))))</f>
        <v/>
      </c>
      <c r="I263" s="5" t="n"/>
    </row>
    <row r="264">
      <c r="A264" s="14" t="n"/>
      <c r="B264" s="23" t="str">
        <f>IF(A264="","",IFERROR(INDEX('Units &amp; sales'!$I$12:$I$311,MATCH(A264,'Units &amp; sales'!$C$12:$C$311,0))&amp;"",""))</f>
        <v/>
      </c>
      <c r="C264" s="5" t="n"/>
      <c r="D264" s="20" t="n"/>
      <c r="E264" s="21" t="n"/>
      <c r="F264" s="21" t="n"/>
      <c r="G264" s="20" t="n"/>
      <c r="H264" s="24" t="str">
        <f>IF(E264="","",IF(N(F264)&gt;=E264,"Paid",IF(AND(D264&lt;&gt;"",D264&lt;TODAY()),"Overdue",IF(N(F264)&gt;0,"Part paid","Upcoming"))))</f>
        <v/>
      </c>
      <c r="I264" s="5" t="n"/>
    </row>
    <row r="265">
      <c r="A265" s="14" t="n"/>
      <c r="B265" s="23" t="str">
        <f>IF(A265="","",IFERROR(INDEX('Units &amp; sales'!$I$12:$I$311,MATCH(A265,'Units &amp; sales'!$C$12:$C$311,0))&amp;"",""))</f>
        <v/>
      </c>
      <c r="C265" s="5" t="n"/>
      <c r="D265" s="20" t="n"/>
      <c r="E265" s="21" t="n"/>
      <c r="F265" s="21" t="n"/>
      <c r="G265" s="20" t="n"/>
      <c r="H265" s="24" t="str">
        <f>IF(E265="","",IF(N(F265)&gt;=E265,"Paid",IF(AND(D265&lt;&gt;"",D265&lt;TODAY()),"Overdue",IF(N(F265)&gt;0,"Part paid","Upcoming"))))</f>
        <v/>
      </c>
      <c r="I265" s="5" t="n"/>
    </row>
    <row r="266">
      <c r="A266" s="14" t="n"/>
      <c r="B266" s="23" t="str">
        <f>IF(A266="","",IFERROR(INDEX('Units &amp; sales'!$I$12:$I$311,MATCH(A266,'Units &amp; sales'!$C$12:$C$311,0))&amp;"",""))</f>
        <v/>
      </c>
      <c r="C266" s="5" t="n"/>
      <c r="D266" s="20" t="n"/>
      <c r="E266" s="21" t="n"/>
      <c r="F266" s="21" t="n"/>
      <c r="G266" s="20" t="n"/>
      <c r="H266" s="24" t="str">
        <f>IF(E266="","",IF(N(F266)&gt;=E266,"Paid",IF(AND(D266&lt;&gt;"",D266&lt;TODAY()),"Overdue",IF(N(F266)&gt;0,"Part paid","Upcoming"))))</f>
        <v/>
      </c>
      <c r="I266" s="5" t="n"/>
    </row>
    <row r="267">
      <c r="A267" s="14" t="n"/>
      <c r="B267" s="23" t="str">
        <f>IF(A267="","",IFERROR(INDEX('Units &amp; sales'!$I$12:$I$311,MATCH(A267,'Units &amp; sales'!$C$12:$C$311,0))&amp;"",""))</f>
        <v/>
      </c>
      <c r="C267" s="5" t="n"/>
      <c r="D267" s="20" t="n"/>
      <c r="E267" s="21" t="n"/>
      <c r="F267" s="21" t="n"/>
      <c r="G267" s="20" t="n"/>
      <c r="H267" s="24" t="str">
        <f>IF(E267="","",IF(N(F267)&gt;=E267,"Paid",IF(AND(D267&lt;&gt;"",D267&lt;TODAY()),"Overdue",IF(N(F267)&gt;0,"Part paid","Upcoming"))))</f>
        <v/>
      </c>
      <c r="I267" s="5" t="n"/>
    </row>
    <row r="268">
      <c r="A268" s="14" t="n"/>
      <c r="B268" s="23" t="str">
        <f>IF(A268="","",IFERROR(INDEX('Units &amp; sales'!$I$12:$I$311,MATCH(A268,'Units &amp; sales'!$C$12:$C$311,0))&amp;"",""))</f>
        <v/>
      </c>
      <c r="C268" s="5" t="n"/>
      <c r="D268" s="20" t="n"/>
      <c r="E268" s="21" t="n"/>
      <c r="F268" s="21" t="n"/>
      <c r="G268" s="20" t="n"/>
      <c r="H268" s="24" t="str">
        <f>IF(E268="","",IF(N(F268)&gt;=E268,"Paid",IF(AND(D268&lt;&gt;"",D268&lt;TODAY()),"Overdue",IF(N(F268)&gt;0,"Part paid","Upcoming"))))</f>
        <v/>
      </c>
      <c r="I268" s="5" t="n"/>
    </row>
    <row r="269">
      <c r="A269" s="14" t="n"/>
      <c r="B269" s="23" t="str">
        <f>IF(A269="","",IFERROR(INDEX('Units &amp; sales'!$I$12:$I$311,MATCH(A269,'Units &amp; sales'!$C$12:$C$311,0))&amp;"",""))</f>
        <v/>
      </c>
      <c r="C269" s="5" t="n"/>
      <c r="D269" s="20" t="n"/>
      <c r="E269" s="21" t="n"/>
      <c r="F269" s="21" t="n"/>
      <c r="G269" s="20" t="n"/>
      <c r="H269" s="24" t="str">
        <f>IF(E269="","",IF(N(F269)&gt;=E269,"Paid",IF(AND(D269&lt;&gt;"",D269&lt;TODAY()),"Overdue",IF(N(F269)&gt;0,"Part paid","Upcoming"))))</f>
        <v/>
      </c>
      <c r="I269" s="5" t="n"/>
    </row>
    <row r="270">
      <c r="A270" s="14" t="n"/>
      <c r="B270" s="23" t="str">
        <f>IF(A270="","",IFERROR(INDEX('Units &amp; sales'!$I$12:$I$311,MATCH(A270,'Units &amp; sales'!$C$12:$C$311,0))&amp;"",""))</f>
        <v/>
      </c>
      <c r="C270" s="5" t="n"/>
      <c r="D270" s="20" t="n"/>
      <c r="E270" s="21" t="n"/>
      <c r="F270" s="21" t="n"/>
      <c r="G270" s="20" t="n"/>
      <c r="H270" s="24" t="str">
        <f>IF(E270="","",IF(N(F270)&gt;=E270,"Paid",IF(AND(D270&lt;&gt;"",D270&lt;TODAY()),"Overdue",IF(N(F270)&gt;0,"Part paid","Upcoming"))))</f>
        <v/>
      </c>
      <c r="I270" s="5" t="n"/>
    </row>
    <row r="271">
      <c r="A271" s="14" t="n"/>
      <c r="B271" s="23" t="str">
        <f>IF(A271="","",IFERROR(INDEX('Units &amp; sales'!$I$12:$I$311,MATCH(A271,'Units &amp; sales'!$C$12:$C$311,0))&amp;"",""))</f>
        <v/>
      </c>
      <c r="C271" s="5" t="n"/>
      <c r="D271" s="20" t="n"/>
      <c r="E271" s="21" t="n"/>
      <c r="F271" s="21" t="n"/>
      <c r="G271" s="20" t="n"/>
      <c r="H271" s="24" t="str">
        <f>IF(E271="","",IF(N(F271)&gt;=E271,"Paid",IF(AND(D271&lt;&gt;"",D271&lt;TODAY()),"Overdue",IF(N(F271)&gt;0,"Part paid","Upcoming"))))</f>
        <v/>
      </c>
      <c r="I271" s="5" t="n"/>
    </row>
    <row r="272">
      <c r="A272" s="14" t="n"/>
      <c r="B272" s="23" t="str">
        <f>IF(A272="","",IFERROR(INDEX('Units &amp; sales'!$I$12:$I$311,MATCH(A272,'Units &amp; sales'!$C$12:$C$311,0))&amp;"",""))</f>
        <v/>
      </c>
      <c r="C272" s="5" t="n"/>
      <c r="D272" s="20" t="n"/>
      <c r="E272" s="21" t="n"/>
      <c r="F272" s="21" t="n"/>
      <c r="G272" s="20" t="n"/>
      <c r="H272" s="24" t="str">
        <f>IF(E272="","",IF(N(F272)&gt;=E272,"Paid",IF(AND(D272&lt;&gt;"",D272&lt;TODAY()),"Overdue",IF(N(F272)&gt;0,"Part paid","Upcoming"))))</f>
        <v/>
      </c>
      <c r="I272" s="5" t="n"/>
    </row>
    <row r="273">
      <c r="A273" s="14" t="n"/>
      <c r="B273" s="23" t="str">
        <f>IF(A273="","",IFERROR(INDEX('Units &amp; sales'!$I$12:$I$311,MATCH(A273,'Units &amp; sales'!$C$12:$C$311,0))&amp;"",""))</f>
        <v/>
      </c>
      <c r="C273" s="5" t="n"/>
      <c r="D273" s="20" t="n"/>
      <c r="E273" s="21" t="n"/>
      <c r="F273" s="21" t="n"/>
      <c r="G273" s="20" t="n"/>
      <c r="H273" s="24" t="str">
        <f>IF(E273="","",IF(N(F273)&gt;=E273,"Paid",IF(AND(D273&lt;&gt;"",D273&lt;TODAY()),"Overdue",IF(N(F273)&gt;0,"Part paid","Upcoming"))))</f>
        <v/>
      </c>
      <c r="I273" s="5" t="n"/>
    </row>
    <row r="274">
      <c r="A274" s="14" t="n"/>
      <c r="B274" s="23" t="str">
        <f>IF(A274="","",IFERROR(INDEX('Units &amp; sales'!$I$12:$I$311,MATCH(A274,'Units &amp; sales'!$C$12:$C$311,0))&amp;"",""))</f>
        <v/>
      </c>
      <c r="C274" s="5" t="n"/>
      <c r="D274" s="20" t="n"/>
      <c r="E274" s="21" t="n"/>
      <c r="F274" s="21" t="n"/>
      <c r="G274" s="20" t="n"/>
      <c r="H274" s="24" t="str">
        <f>IF(E274="","",IF(N(F274)&gt;=E274,"Paid",IF(AND(D274&lt;&gt;"",D274&lt;TODAY()),"Overdue",IF(N(F274)&gt;0,"Part paid","Upcoming"))))</f>
        <v/>
      </c>
      <c r="I274" s="5" t="n"/>
    </row>
    <row r="275">
      <c r="A275" s="14" t="n"/>
      <c r="B275" s="23" t="str">
        <f>IF(A275="","",IFERROR(INDEX('Units &amp; sales'!$I$12:$I$311,MATCH(A275,'Units &amp; sales'!$C$12:$C$311,0))&amp;"",""))</f>
        <v/>
      </c>
      <c r="C275" s="5" t="n"/>
      <c r="D275" s="20" t="n"/>
      <c r="E275" s="21" t="n"/>
      <c r="F275" s="21" t="n"/>
      <c r="G275" s="20" t="n"/>
      <c r="H275" s="24" t="str">
        <f>IF(E275="","",IF(N(F275)&gt;=E275,"Paid",IF(AND(D275&lt;&gt;"",D275&lt;TODAY()),"Overdue",IF(N(F275)&gt;0,"Part paid","Upcoming"))))</f>
        <v/>
      </c>
      <c r="I275" s="5" t="n"/>
    </row>
    <row r="276">
      <c r="A276" s="14" t="n"/>
      <c r="B276" s="23" t="str">
        <f>IF(A276="","",IFERROR(INDEX('Units &amp; sales'!$I$12:$I$311,MATCH(A276,'Units &amp; sales'!$C$12:$C$311,0))&amp;"",""))</f>
        <v/>
      </c>
      <c r="C276" s="5" t="n"/>
      <c r="D276" s="20" t="n"/>
      <c r="E276" s="21" t="n"/>
      <c r="F276" s="21" t="n"/>
      <c r="G276" s="20" t="n"/>
      <c r="H276" s="24" t="str">
        <f>IF(E276="","",IF(N(F276)&gt;=E276,"Paid",IF(AND(D276&lt;&gt;"",D276&lt;TODAY()),"Overdue",IF(N(F276)&gt;0,"Part paid","Upcoming"))))</f>
        <v/>
      </c>
      <c r="I276" s="5" t="n"/>
    </row>
    <row r="277">
      <c r="A277" s="14" t="n"/>
      <c r="B277" s="23" t="str">
        <f>IF(A277="","",IFERROR(INDEX('Units &amp; sales'!$I$12:$I$311,MATCH(A277,'Units &amp; sales'!$C$12:$C$311,0))&amp;"",""))</f>
        <v/>
      </c>
      <c r="C277" s="5" t="n"/>
      <c r="D277" s="20" t="n"/>
      <c r="E277" s="21" t="n"/>
      <c r="F277" s="21" t="n"/>
      <c r="G277" s="20" t="n"/>
      <c r="H277" s="24" t="str">
        <f>IF(E277="","",IF(N(F277)&gt;=E277,"Paid",IF(AND(D277&lt;&gt;"",D277&lt;TODAY()),"Overdue",IF(N(F277)&gt;0,"Part paid","Upcoming"))))</f>
        <v/>
      </c>
      <c r="I277" s="5" t="n"/>
    </row>
    <row r="278">
      <c r="A278" s="14" t="n"/>
      <c r="B278" s="23" t="str">
        <f>IF(A278="","",IFERROR(INDEX('Units &amp; sales'!$I$12:$I$311,MATCH(A278,'Units &amp; sales'!$C$12:$C$311,0))&amp;"",""))</f>
        <v/>
      </c>
      <c r="C278" s="5" t="n"/>
      <c r="D278" s="20" t="n"/>
      <c r="E278" s="21" t="n"/>
      <c r="F278" s="21" t="n"/>
      <c r="G278" s="20" t="n"/>
      <c r="H278" s="24" t="str">
        <f>IF(E278="","",IF(N(F278)&gt;=E278,"Paid",IF(AND(D278&lt;&gt;"",D278&lt;TODAY()),"Overdue",IF(N(F278)&gt;0,"Part paid","Upcoming"))))</f>
        <v/>
      </c>
      <c r="I278" s="5" t="n"/>
    </row>
    <row r="279">
      <c r="A279" s="14" t="n"/>
      <c r="B279" s="23" t="str">
        <f>IF(A279="","",IFERROR(INDEX('Units &amp; sales'!$I$12:$I$311,MATCH(A279,'Units &amp; sales'!$C$12:$C$311,0))&amp;"",""))</f>
        <v/>
      </c>
      <c r="C279" s="5" t="n"/>
      <c r="D279" s="20" t="n"/>
      <c r="E279" s="21" t="n"/>
      <c r="F279" s="21" t="n"/>
      <c r="G279" s="20" t="n"/>
      <c r="H279" s="24" t="str">
        <f>IF(E279="","",IF(N(F279)&gt;=E279,"Paid",IF(AND(D279&lt;&gt;"",D279&lt;TODAY()),"Overdue",IF(N(F279)&gt;0,"Part paid","Upcoming"))))</f>
        <v/>
      </c>
      <c r="I279" s="5" t="n"/>
    </row>
    <row r="280">
      <c r="A280" s="14" t="n"/>
      <c r="B280" s="23" t="str">
        <f>IF(A280="","",IFERROR(INDEX('Units &amp; sales'!$I$12:$I$311,MATCH(A280,'Units &amp; sales'!$C$12:$C$311,0))&amp;"",""))</f>
        <v/>
      </c>
      <c r="C280" s="5" t="n"/>
      <c r="D280" s="20" t="n"/>
      <c r="E280" s="21" t="n"/>
      <c r="F280" s="21" t="n"/>
      <c r="G280" s="20" t="n"/>
      <c r="H280" s="24" t="str">
        <f>IF(E280="","",IF(N(F280)&gt;=E280,"Paid",IF(AND(D280&lt;&gt;"",D280&lt;TODAY()),"Overdue",IF(N(F280)&gt;0,"Part paid","Upcoming"))))</f>
        <v/>
      </c>
      <c r="I280" s="5" t="n"/>
    </row>
    <row r="281">
      <c r="A281" s="14" t="n"/>
      <c r="B281" s="23" t="str">
        <f>IF(A281="","",IFERROR(INDEX('Units &amp; sales'!$I$12:$I$311,MATCH(A281,'Units &amp; sales'!$C$12:$C$311,0))&amp;"",""))</f>
        <v/>
      </c>
      <c r="C281" s="5" t="n"/>
      <c r="D281" s="20" t="n"/>
      <c r="E281" s="21" t="n"/>
      <c r="F281" s="21" t="n"/>
      <c r="G281" s="20" t="n"/>
      <c r="H281" s="24" t="str">
        <f>IF(E281="","",IF(N(F281)&gt;=E281,"Paid",IF(AND(D281&lt;&gt;"",D281&lt;TODAY()),"Overdue",IF(N(F281)&gt;0,"Part paid","Upcoming"))))</f>
        <v/>
      </c>
      <c r="I281" s="5" t="n"/>
    </row>
    <row r="282">
      <c r="A282" s="14" t="n"/>
      <c r="B282" s="23" t="str">
        <f>IF(A282="","",IFERROR(INDEX('Units &amp; sales'!$I$12:$I$311,MATCH(A282,'Units &amp; sales'!$C$12:$C$311,0))&amp;"",""))</f>
        <v/>
      </c>
      <c r="C282" s="5" t="n"/>
      <c r="D282" s="20" t="n"/>
      <c r="E282" s="21" t="n"/>
      <c r="F282" s="21" t="n"/>
      <c r="G282" s="20" t="n"/>
      <c r="H282" s="24" t="str">
        <f>IF(E282="","",IF(N(F282)&gt;=E282,"Paid",IF(AND(D282&lt;&gt;"",D282&lt;TODAY()),"Overdue",IF(N(F282)&gt;0,"Part paid","Upcoming"))))</f>
        <v/>
      </c>
      <c r="I282" s="5" t="n"/>
    </row>
    <row r="283">
      <c r="A283" s="14" t="n"/>
      <c r="B283" s="23" t="str">
        <f>IF(A283="","",IFERROR(INDEX('Units &amp; sales'!$I$12:$I$311,MATCH(A283,'Units &amp; sales'!$C$12:$C$311,0))&amp;"",""))</f>
        <v/>
      </c>
      <c r="C283" s="5" t="n"/>
      <c r="D283" s="20" t="n"/>
      <c r="E283" s="21" t="n"/>
      <c r="F283" s="21" t="n"/>
      <c r="G283" s="20" t="n"/>
      <c r="H283" s="24" t="str">
        <f>IF(E283="","",IF(N(F283)&gt;=E283,"Paid",IF(AND(D283&lt;&gt;"",D283&lt;TODAY()),"Overdue",IF(N(F283)&gt;0,"Part paid","Upcoming"))))</f>
        <v/>
      </c>
      <c r="I283" s="5" t="n"/>
    </row>
    <row r="284">
      <c r="A284" s="14" t="n"/>
      <c r="B284" s="23" t="str">
        <f>IF(A284="","",IFERROR(INDEX('Units &amp; sales'!$I$12:$I$311,MATCH(A284,'Units &amp; sales'!$C$12:$C$311,0))&amp;"",""))</f>
        <v/>
      </c>
      <c r="C284" s="5" t="n"/>
      <c r="D284" s="20" t="n"/>
      <c r="E284" s="21" t="n"/>
      <c r="F284" s="21" t="n"/>
      <c r="G284" s="20" t="n"/>
      <c r="H284" s="24" t="str">
        <f>IF(E284="","",IF(N(F284)&gt;=E284,"Paid",IF(AND(D284&lt;&gt;"",D284&lt;TODAY()),"Overdue",IF(N(F284)&gt;0,"Part paid","Upcoming"))))</f>
        <v/>
      </c>
      <c r="I284" s="5" t="n"/>
    </row>
    <row r="285">
      <c r="A285" s="14" t="n"/>
      <c r="B285" s="23" t="str">
        <f>IF(A285="","",IFERROR(INDEX('Units &amp; sales'!$I$12:$I$311,MATCH(A285,'Units &amp; sales'!$C$12:$C$311,0))&amp;"",""))</f>
        <v/>
      </c>
      <c r="C285" s="5" t="n"/>
      <c r="D285" s="20" t="n"/>
      <c r="E285" s="21" t="n"/>
      <c r="F285" s="21" t="n"/>
      <c r="G285" s="20" t="n"/>
      <c r="H285" s="24" t="str">
        <f>IF(E285="","",IF(N(F285)&gt;=E285,"Paid",IF(AND(D285&lt;&gt;"",D285&lt;TODAY()),"Overdue",IF(N(F285)&gt;0,"Part paid","Upcoming"))))</f>
        <v/>
      </c>
      <c r="I285" s="5" t="n"/>
    </row>
    <row r="286">
      <c r="A286" s="14" t="n"/>
      <c r="B286" s="23" t="str">
        <f>IF(A286="","",IFERROR(INDEX('Units &amp; sales'!$I$12:$I$311,MATCH(A286,'Units &amp; sales'!$C$12:$C$311,0))&amp;"",""))</f>
        <v/>
      </c>
      <c r="C286" s="5" t="n"/>
      <c r="D286" s="20" t="n"/>
      <c r="E286" s="21" t="n"/>
      <c r="F286" s="21" t="n"/>
      <c r="G286" s="20" t="n"/>
      <c r="H286" s="24" t="str">
        <f>IF(E286="","",IF(N(F286)&gt;=E286,"Paid",IF(AND(D286&lt;&gt;"",D286&lt;TODAY()),"Overdue",IF(N(F286)&gt;0,"Part paid","Upcoming"))))</f>
        <v/>
      </c>
      <c r="I286" s="5" t="n"/>
    </row>
    <row r="287">
      <c r="A287" s="14" t="n"/>
      <c r="B287" s="23" t="str">
        <f>IF(A287="","",IFERROR(INDEX('Units &amp; sales'!$I$12:$I$311,MATCH(A287,'Units &amp; sales'!$C$12:$C$311,0))&amp;"",""))</f>
        <v/>
      </c>
      <c r="C287" s="5" t="n"/>
      <c r="D287" s="20" t="n"/>
      <c r="E287" s="21" t="n"/>
      <c r="F287" s="21" t="n"/>
      <c r="G287" s="20" t="n"/>
      <c r="H287" s="24" t="str">
        <f>IF(E287="","",IF(N(F287)&gt;=E287,"Paid",IF(AND(D287&lt;&gt;"",D287&lt;TODAY()),"Overdue",IF(N(F287)&gt;0,"Part paid","Upcoming"))))</f>
        <v/>
      </c>
      <c r="I287" s="5" t="n"/>
    </row>
    <row r="288">
      <c r="A288" s="14" t="n"/>
      <c r="B288" s="23" t="str">
        <f>IF(A288="","",IFERROR(INDEX('Units &amp; sales'!$I$12:$I$311,MATCH(A288,'Units &amp; sales'!$C$12:$C$311,0))&amp;"",""))</f>
        <v/>
      </c>
      <c r="C288" s="5" t="n"/>
      <c r="D288" s="20" t="n"/>
      <c r="E288" s="21" t="n"/>
      <c r="F288" s="21" t="n"/>
      <c r="G288" s="20" t="n"/>
      <c r="H288" s="24" t="str">
        <f>IF(E288="","",IF(N(F288)&gt;=E288,"Paid",IF(AND(D288&lt;&gt;"",D288&lt;TODAY()),"Overdue",IF(N(F288)&gt;0,"Part paid","Upcoming"))))</f>
        <v/>
      </c>
      <c r="I288" s="5" t="n"/>
    </row>
    <row r="289">
      <c r="A289" s="14" t="n"/>
      <c r="B289" s="23" t="str">
        <f>IF(A289="","",IFERROR(INDEX('Units &amp; sales'!$I$12:$I$311,MATCH(A289,'Units &amp; sales'!$C$12:$C$311,0))&amp;"",""))</f>
        <v/>
      </c>
      <c r="C289" s="5" t="n"/>
      <c r="D289" s="20" t="n"/>
      <c r="E289" s="21" t="n"/>
      <c r="F289" s="21" t="n"/>
      <c r="G289" s="20" t="n"/>
      <c r="H289" s="24" t="str">
        <f>IF(E289="","",IF(N(F289)&gt;=E289,"Paid",IF(AND(D289&lt;&gt;"",D289&lt;TODAY()),"Overdue",IF(N(F289)&gt;0,"Part paid","Upcoming"))))</f>
        <v/>
      </c>
      <c r="I289" s="5" t="n"/>
    </row>
    <row r="290">
      <c r="A290" s="14" t="n"/>
      <c r="B290" s="23" t="str">
        <f>IF(A290="","",IFERROR(INDEX('Units &amp; sales'!$I$12:$I$311,MATCH(A290,'Units &amp; sales'!$C$12:$C$311,0))&amp;"",""))</f>
        <v/>
      </c>
      <c r="C290" s="5" t="n"/>
      <c r="D290" s="20" t="n"/>
      <c r="E290" s="21" t="n"/>
      <c r="F290" s="21" t="n"/>
      <c r="G290" s="20" t="n"/>
      <c r="H290" s="24" t="str">
        <f>IF(E290="","",IF(N(F290)&gt;=E290,"Paid",IF(AND(D290&lt;&gt;"",D290&lt;TODAY()),"Overdue",IF(N(F290)&gt;0,"Part paid","Upcoming"))))</f>
        <v/>
      </c>
      <c r="I290" s="5" t="n"/>
    </row>
    <row r="291">
      <c r="A291" s="14" t="n"/>
      <c r="B291" s="23" t="str">
        <f>IF(A291="","",IFERROR(INDEX('Units &amp; sales'!$I$12:$I$311,MATCH(A291,'Units &amp; sales'!$C$12:$C$311,0))&amp;"",""))</f>
        <v/>
      </c>
      <c r="C291" s="5" t="n"/>
      <c r="D291" s="20" t="n"/>
      <c r="E291" s="21" t="n"/>
      <c r="F291" s="21" t="n"/>
      <c r="G291" s="20" t="n"/>
      <c r="H291" s="24" t="str">
        <f>IF(E291="","",IF(N(F291)&gt;=E291,"Paid",IF(AND(D291&lt;&gt;"",D291&lt;TODAY()),"Overdue",IF(N(F291)&gt;0,"Part paid","Upcoming"))))</f>
        <v/>
      </c>
      <c r="I291" s="5" t="n"/>
    </row>
    <row r="292">
      <c r="A292" s="14" t="n"/>
      <c r="B292" s="23" t="str">
        <f>IF(A292="","",IFERROR(INDEX('Units &amp; sales'!$I$12:$I$311,MATCH(A292,'Units &amp; sales'!$C$12:$C$311,0))&amp;"",""))</f>
        <v/>
      </c>
      <c r="C292" s="5" t="n"/>
      <c r="D292" s="20" t="n"/>
      <c r="E292" s="21" t="n"/>
      <c r="F292" s="21" t="n"/>
      <c r="G292" s="20" t="n"/>
      <c r="H292" s="24" t="str">
        <f>IF(E292="","",IF(N(F292)&gt;=E292,"Paid",IF(AND(D292&lt;&gt;"",D292&lt;TODAY()),"Overdue",IF(N(F292)&gt;0,"Part paid","Upcoming"))))</f>
        <v/>
      </c>
      <c r="I292" s="5" t="n"/>
    </row>
    <row r="293">
      <c r="A293" s="14" t="n"/>
      <c r="B293" s="23" t="str">
        <f>IF(A293="","",IFERROR(INDEX('Units &amp; sales'!$I$12:$I$311,MATCH(A293,'Units &amp; sales'!$C$12:$C$311,0))&amp;"",""))</f>
        <v/>
      </c>
      <c r="C293" s="5" t="n"/>
      <c r="D293" s="20" t="n"/>
      <c r="E293" s="21" t="n"/>
      <c r="F293" s="21" t="n"/>
      <c r="G293" s="20" t="n"/>
      <c r="H293" s="24" t="str">
        <f>IF(E293="","",IF(N(F293)&gt;=E293,"Paid",IF(AND(D293&lt;&gt;"",D293&lt;TODAY()),"Overdue",IF(N(F293)&gt;0,"Part paid","Upcoming"))))</f>
        <v/>
      </c>
      <c r="I293" s="5" t="n"/>
    </row>
    <row r="294">
      <c r="A294" s="14" t="n"/>
      <c r="B294" s="23" t="str">
        <f>IF(A294="","",IFERROR(INDEX('Units &amp; sales'!$I$12:$I$311,MATCH(A294,'Units &amp; sales'!$C$12:$C$311,0))&amp;"",""))</f>
        <v/>
      </c>
      <c r="C294" s="5" t="n"/>
      <c r="D294" s="20" t="n"/>
      <c r="E294" s="21" t="n"/>
      <c r="F294" s="21" t="n"/>
      <c r="G294" s="20" t="n"/>
      <c r="H294" s="24" t="str">
        <f>IF(E294="","",IF(N(F294)&gt;=E294,"Paid",IF(AND(D294&lt;&gt;"",D294&lt;TODAY()),"Overdue",IF(N(F294)&gt;0,"Part paid","Upcoming"))))</f>
        <v/>
      </c>
      <c r="I294" s="5" t="n"/>
    </row>
    <row r="295">
      <c r="A295" s="14" t="n"/>
      <c r="B295" s="23" t="str">
        <f>IF(A295="","",IFERROR(INDEX('Units &amp; sales'!$I$12:$I$311,MATCH(A295,'Units &amp; sales'!$C$12:$C$311,0))&amp;"",""))</f>
        <v/>
      </c>
      <c r="C295" s="5" t="n"/>
      <c r="D295" s="20" t="n"/>
      <c r="E295" s="21" t="n"/>
      <c r="F295" s="21" t="n"/>
      <c r="G295" s="20" t="n"/>
      <c r="H295" s="24" t="str">
        <f>IF(E295="","",IF(N(F295)&gt;=E295,"Paid",IF(AND(D295&lt;&gt;"",D295&lt;TODAY()),"Overdue",IF(N(F295)&gt;0,"Part paid","Upcoming"))))</f>
        <v/>
      </c>
      <c r="I295" s="5" t="n"/>
    </row>
    <row r="296">
      <c r="A296" s="14" t="n"/>
      <c r="B296" s="23" t="str">
        <f>IF(A296="","",IFERROR(INDEX('Units &amp; sales'!$I$12:$I$311,MATCH(A296,'Units &amp; sales'!$C$12:$C$311,0))&amp;"",""))</f>
        <v/>
      </c>
      <c r="C296" s="5" t="n"/>
      <c r="D296" s="20" t="n"/>
      <c r="E296" s="21" t="n"/>
      <c r="F296" s="21" t="n"/>
      <c r="G296" s="20" t="n"/>
      <c r="H296" s="24" t="str">
        <f>IF(E296="","",IF(N(F296)&gt;=E296,"Paid",IF(AND(D296&lt;&gt;"",D296&lt;TODAY()),"Overdue",IF(N(F296)&gt;0,"Part paid","Upcoming"))))</f>
        <v/>
      </c>
      <c r="I296" s="5" t="n"/>
    </row>
    <row r="297">
      <c r="A297" s="14" t="n"/>
      <c r="B297" s="23" t="str">
        <f>IF(A297="","",IFERROR(INDEX('Units &amp; sales'!$I$12:$I$311,MATCH(A297,'Units &amp; sales'!$C$12:$C$311,0))&amp;"",""))</f>
        <v/>
      </c>
      <c r="C297" s="5" t="n"/>
      <c r="D297" s="20" t="n"/>
      <c r="E297" s="21" t="n"/>
      <c r="F297" s="21" t="n"/>
      <c r="G297" s="20" t="n"/>
      <c r="H297" s="24" t="str">
        <f>IF(E297="","",IF(N(F297)&gt;=E297,"Paid",IF(AND(D297&lt;&gt;"",D297&lt;TODAY()),"Overdue",IF(N(F297)&gt;0,"Part paid","Upcoming"))))</f>
        <v/>
      </c>
      <c r="I297" s="5" t="n"/>
    </row>
    <row r="298">
      <c r="A298" s="14" t="n"/>
      <c r="B298" s="23" t="str">
        <f>IF(A298="","",IFERROR(INDEX('Units &amp; sales'!$I$12:$I$311,MATCH(A298,'Units &amp; sales'!$C$12:$C$311,0))&amp;"",""))</f>
        <v/>
      </c>
      <c r="C298" s="5" t="n"/>
      <c r="D298" s="20" t="n"/>
      <c r="E298" s="21" t="n"/>
      <c r="F298" s="21" t="n"/>
      <c r="G298" s="20" t="n"/>
      <c r="H298" s="24" t="str">
        <f>IF(E298="","",IF(N(F298)&gt;=E298,"Paid",IF(AND(D298&lt;&gt;"",D298&lt;TODAY()),"Overdue",IF(N(F298)&gt;0,"Part paid","Upcoming"))))</f>
        <v/>
      </c>
      <c r="I298" s="5" t="n"/>
    </row>
    <row r="299">
      <c r="A299" s="14" t="n"/>
      <c r="B299" s="23" t="str">
        <f>IF(A299="","",IFERROR(INDEX('Units &amp; sales'!$I$12:$I$311,MATCH(A299,'Units &amp; sales'!$C$12:$C$311,0))&amp;"",""))</f>
        <v/>
      </c>
      <c r="C299" s="5" t="n"/>
      <c r="D299" s="20" t="n"/>
      <c r="E299" s="21" t="n"/>
      <c r="F299" s="21" t="n"/>
      <c r="G299" s="20" t="n"/>
      <c r="H299" s="24" t="str">
        <f>IF(E299="","",IF(N(F299)&gt;=E299,"Paid",IF(AND(D299&lt;&gt;"",D299&lt;TODAY()),"Overdue",IF(N(F299)&gt;0,"Part paid","Upcoming"))))</f>
        <v/>
      </c>
      <c r="I299" s="5" t="n"/>
    </row>
    <row r="300">
      <c r="A300" s="14" t="n"/>
      <c r="B300" s="23" t="str">
        <f>IF(A300="","",IFERROR(INDEX('Units &amp; sales'!$I$12:$I$311,MATCH(A300,'Units &amp; sales'!$C$12:$C$311,0))&amp;"",""))</f>
        <v/>
      </c>
      <c r="C300" s="5" t="n"/>
      <c r="D300" s="20" t="n"/>
      <c r="E300" s="21" t="n"/>
      <c r="F300" s="21" t="n"/>
      <c r="G300" s="20" t="n"/>
      <c r="H300" s="24" t="str">
        <f>IF(E300="","",IF(N(F300)&gt;=E300,"Paid",IF(AND(D300&lt;&gt;"",D300&lt;TODAY()),"Overdue",IF(N(F300)&gt;0,"Part paid","Upcoming"))))</f>
        <v/>
      </c>
      <c r="I300" s="5" t="n"/>
    </row>
    <row r="301">
      <c r="A301" s="14" t="n"/>
      <c r="B301" s="23" t="str">
        <f>IF(A301="","",IFERROR(INDEX('Units &amp; sales'!$I$12:$I$311,MATCH(A301,'Units &amp; sales'!$C$12:$C$311,0))&amp;"",""))</f>
        <v/>
      </c>
      <c r="C301" s="5" t="n"/>
      <c r="D301" s="20" t="n"/>
      <c r="E301" s="21" t="n"/>
      <c r="F301" s="21" t="n"/>
      <c r="G301" s="20" t="n"/>
      <c r="H301" s="24" t="str">
        <f>IF(E301="","",IF(N(F301)&gt;=E301,"Paid",IF(AND(D301&lt;&gt;"",D301&lt;TODAY()),"Overdue",IF(N(F301)&gt;0,"Part paid","Upcoming"))))</f>
        <v/>
      </c>
      <c r="I301" s="5" t="n"/>
    </row>
    <row r="302">
      <c r="A302" s="14" t="n"/>
      <c r="B302" s="23" t="str">
        <f>IF(A302="","",IFERROR(INDEX('Units &amp; sales'!$I$12:$I$311,MATCH(A302,'Units &amp; sales'!$C$12:$C$311,0))&amp;"",""))</f>
        <v/>
      </c>
      <c r="C302" s="5" t="n"/>
      <c r="D302" s="20" t="n"/>
      <c r="E302" s="21" t="n"/>
      <c r="F302" s="21" t="n"/>
      <c r="G302" s="20" t="n"/>
      <c r="H302" s="24" t="str">
        <f>IF(E302="","",IF(N(F302)&gt;=E302,"Paid",IF(AND(D302&lt;&gt;"",D302&lt;TODAY()),"Overdue",IF(N(F302)&gt;0,"Part paid","Upcoming"))))</f>
        <v/>
      </c>
      <c r="I302" s="5" t="n"/>
    </row>
    <row r="303">
      <c r="A303" s="14" t="n"/>
      <c r="B303" s="23" t="str">
        <f>IF(A303="","",IFERROR(INDEX('Units &amp; sales'!$I$12:$I$311,MATCH(A303,'Units &amp; sales'!$C$12:$C$311,0))&amp;"",""))</f>
        <v/>
      </c>
      <c r="C303" s="5" t="n"/>
      <c r="D303" s="20" t="n"/>
      <c r="E303" s="21" t="n"/>
      <c r="F303" s="21" t="n"/>
      <c r="G303" s="20" t="n"/>
      <c r="H303" s="24" t="str">
        <f>IF(E303="","",IF(N(F303)&gt;=E303,"Paid",IF(AND(D303&lt;&gt;"",D303&lt;TODAY()),"Overdue",IF(N(F303)&gt;0,"Part paid","Upcoming"))))</f>
        <v/>
      </c>
      <c r="I303" s="5" t="n"/>
    </row>
    <row r="304">
      <c r="A304" s="14" t="n"/>
      <c r="B304" s="23" t="str">
        <f>IF(A304="","",IFERROR(INDEX('Units &amp; sales'!$I$12:$I$311,MATCH(A304,'Units &amp; sales'!$C$12:$C$311,0))&amp;"",""))</f>
        <v/>
      </c>
      <c r="C304" s="5" t="n"/>
      <c r="D304" s="20" t="n"/>
      <c r="E304" s="21" t="n"/>
      <c r="F304" s="21" t="n"/>
      <c r="G304" s="20" t="n"/>
      <c r="H304" s="24" t="str">
        <f>IF(E304="","",IF(N(F304)&gt;=E304,"Paid",IF(AND(D304&lt;&gt;"",D304&lt;TODAY()),"Overdue",IF(N(F304)&gt;0,"Part paid","Upcoming"))))</f>
        <v/>
      </c>
      <c r="I304" s="5" t="n"/>
    </row>
    <row r="305">
      <c r="A305" s="14" t="n"/>
      <c r="B305" s="23" t="str">
        <f>IF(A305="","",IFERROR(INDEX('Units &amp; sales'!$I$12:$I$311,MATCH(A305,'Units &amp; sales'!$C$12:$C$311,0))&amp;"",""))</f>
        <v/>
      </c>
      <c r="C305" s="5" t="n"/>
      <c r="D305" s="20" t="n"/>
      <c r="E305" s="21" t="n"/>
      <c r="F305" s="21" t="n"/>
      <c r="G305" s="20" t="n"/>
      <c r="H305" s="24" t="str">
        <f>IF(E305="","",IF(N(F305)&gt;=E305,"Paid",IF(AND(D305&lt;&gt;"",D305&lt;TODAY()),"Overdue",IF(N(F305)&gt;0,"Part paid","Upcoming"))))</f>
        <v/>
      </c>
      <c r="I305" s="5" t="n"/>
    </row>
    <row r="306">
      <c r="A306" s="14" t="n"/>
      <c r="B306" s="23" t="str">
        <f>IF(A306="","",IFERROR(INDEX('Units &amp; sales'!$I$12:$I$311,MATCH(A306,'Units &amp; sales'!$C$12:$C$311,0))&amp;"",""))</f>
        <v/>
      </c>
      <c r="C306" s="5" t="n"/>
      <c r="D306" s="20" t="n"/>
      <c r="E306" s="21" t="n"/>
      <c r="F306" s="21" t="n"/>
      <c r="G306" s="20" t="n"/>
      <c r="H306" s="24" t="str">
        <f>IF(E306="","",IF(N(F306)&gt;=E306,"Paid",IF(AND(D306&lt;&gt;"",D306&lt;TODAY()),"Overdue",IF(N(F306)&gt;0,"Part paid","Upcoming"))))</f>
        <v/>
      </c>
      <c r="I306" s="5" t="n"/>
    </row>
    <row r="307">
      <c r="A307" s="14" t="n"/>
      <c r="B307" s="23" t="str">
        <f>IF(A307="","",IFERROR(INDEX('Units &amp; sales'!$I$12:$I$311,MATCH(A307,'Units &amp; sales'!$C$12:$C$311,0))&amp;"",""))</f>
        <v/>
      </c>
      <c r="C307" s="5" t="n"/>
      <c r="D307" s="20" t="n"/>
      <c r="E307" s="21" t="n"/>
      <c r="F307" s="21" t="n"/>
      <c r="G307" s="20" t="n"/>
      <c r="H307" s="24" t="str">
        <f>IF(E307="","",IF(N(F307)&gt;=E307,"Paid",IF(AND(D307&lt;&gt;"",D307&lt;TODAY()),"Overdue",IF(N(F307)&gt;0,"Part paid","Upcoming"))))</f>
        <v/>
      </c>
      <c r="I307" s="5" t="n"/>
    </row>
    <row r="308">
      <c r="A308" s="14" t="n"/>
      <c r="B308" s="23" t="str">
        <f>IF(A308="","",IFERROR(INDEX('Units &amp; sales'!$I$12:$I$311,MATCH(A308,'Units &amp; sales'!$C$12:$C$311,0))&amp;"",""))</f>
        <v/>
      </c>
      <c r="C308" s="5" t="n"/>
      <c r="D308" s="20" t="n"/>
      <c r="E308" s="21" t="n"/>
      <c r="F308" s="21" t="n"/>
      <c r="G308" s="20" t="n"/>
      <c r="H308" s="24" t="str">
        <f>IF(E308="","",IF(N(F308)&gt;=E308,"Paid",IF(AND(D308&lt;&gt;"",D308&lt;TODAY()),"Overdue",IF(N(F308)&gt;0,"Part paid","Upcoming"))))</f>
        <v/>
      </c>
      <c r="I308" s="5" t="n"/>
    </row>
    <row r="309">
      <c r="A309" s="14" t="n"/>
      <c r="B309" s="23" t="str">
        <f>IF(A309="","",IFERROR(INDEX('Units &amp; sales'!$I$12:$I$311,MATCH(A309,'Units &amp; sales'!$C$12:$C$311,0))&amp;"",""))</f>
        <v/>
      </c>
      <c r="C309" s="5" t="n"/>
      <c r="D309" s="20" t="n"/>
      <c r="E309" s="21" t="n"/>
      <c r="F309" s="21" t="n"/>
      <c r="G309" s="20" t="n"/>
      <c r="H309" s="24" t="str">
        <f>IF(E309="","",IF(N(F309)&gt;=E309,"Paid",IF(AND(D309&lt;&gt;"",D309&lt;TODAY()),"Overdue",IF(N(F309)&gt;0,"Part paid","Upcoming"))))</f>
        <v/>
      </c>
      <c r="I309" s="5" t="n"/>
    </row>
    <row r="310">
      <c r="A310" s="14" t="n"/>
      <c r="B310" s="23" t="str">
        <f>IF(A310="","",IFERROR(INDEX('Units &amp; sales'!$I$12:$I$311,MATCH(A310,'Units &amp; sales'!$C$12:$C$311,0))&amp;"",""))</f>
        <v/>
      </c>
      <c r="C310" s="5" t="n"/>
      <c r="D310" s="20" t="n"/>
      <c r="E310" s="21" t="n"/>
      <c r="F310" s="21" t="n"/>
      <c r="G310" s="20" t="n"/>
      <c r="H310" s="24" t="str">
        <f>IF(E310="","",IF(N(F310)&gt;=E310,"Paid",IF(AND(D310&lt;&gt;"",D310&lt;TODAY()),"Overdue",IF(N(F310)&gt;0,"Part paid","Upcoming"))))</f>
        <v/>
      </c>
      <c r="I310" s="5" t="n"/>
    </row>
    <row r="311">
      <c r="A311" s="14" t="n"/>
      <c r="B311" s="23" t="str">
        <f>IF(A311="","",IFERROR(INDEX('Units &amp; sales'!$I$12:$I$311,MATCH(A311,'Units &amp; sales'!$C$12:$C$311,0))&amp;"",""))</f>
        <v/>
      </c>
      <c r="C311" s="5" t="n"/>
      <c r="D311" s="20" t="n"/>
      <c r="E311" s="21" t="n"/>
      <c r="F311" s="21" t="n"/>
      <c r="G311" s="20" t="n"/>
      <c r="H311" s="24" t="str">
        <f>IF(E311="","",IF(N(F311)&gt;=E311,"Paid",IF(AND(D311&lt;&gt;"",D311&lt;TODAY()),"Overdue",IF(N(F311)&gt;0,"Part paid","Upcoming"))))</f>
        <v/>
      </c>
      <c r="I311" s="5" t="n"/>
    </row>
    <row r="312">
      <c r="A312" s="14" t="n"/>
      <c r="B312" s="23" t="str">
        <f>IF(A312="","",IFERROR(INDEX('Units &amp; sales'!$I$12:$I$311,MATCH(A312,'Units &amp; sales'!$C$12:$C$311,0))&amp;"",""))</f>
        <v/>
      </c>
      <c r="C312" s="5" t="n"/>
      <c r="D312" s="20" t="n"/>
      <c r="E312" s="21" t="n"/>
      <c r="F312" s="21" t="n"/>
      <c r="G312" s="20" t="n"/>
      <c r="H312" s="24" t="str">
        <f>IF(E312="","",IF(N(F312)&gt;=E312,"Paid",IF(AND(D312&lt;&gt;"",D312&lt;TODAY()),"Overdue",IF(N(F312)&gt;0,"Part paid","Upcoming"))))</f>
        <v/>
      </c>
      <c r="I312" s="5" t="n"/>
    </row>
    <row r="313">
      <c r="A313" s="14" t="n"/>
      <c r="B313" s="23" t="str">
        <f>IF(A313="","",IFERROR(INDEX('Units &amp; sales'!$I$12:$I$311,MATCH(A313,'Units &amp; sales'!$C$12:$C$311,0))&amp;"",""))</f>
        <v/>
      </c>
      <c r="C313" s="5" t="n"/>
      <c r="D313" s="20" t="n"/>
      <c r="E313" s="21" t="n"/>
      <c r="F313" s="21" t="n"/>
      <c r="G313" s="20" t="n"/>
      <c r="H313" s="24" t="str">
        <f>IF(E313="","",IF(N(F313)&gt;=E313,"Paid",IF(AND(D313&lt;&gt;"",D313&lt;TODAY()),"Overdue",IF(N(F313)&gt;0,"Part paid","Upcoming"))))</f>
        <v/>
      </c>
      <c r="I313" s="5" t="n"/>
    </row>
    <row r="314">
      <c r="A314" s="14" t="n"/>
      <c r="B314" s="23" t="str">
        <f>IF(A314="","",IFERROR(INDEX('Units &amp; sales'!$I$12:$I$311,MATCH(A314,'Units &amp; sales'!$C$12:$C$311,0))&amp;"",""))</f>
        <v/>
      </c>
      <c r="C314" s="5" t="n"/>
      <c r="D314" s="20" t="n"/>
      <c r="E314" s="21" t="n"/>
      <c r="F314" s="21" t="n"/>
      <c r="G314" s="20" t="n"/>
      <c r="H314" s="24" t="str">
        <f>IF(E314="","",IF(N(F314)&gt;=E314,"Paid",IF(AND(D314&lt;&gt;"",D314&lt;TODAY()),"Overdue",IF(N(F314)&gt;0,"Part paid","Upcoming"))))</f>
        <v/>
      </c>
      <c r="I314" s="5" t="n"/>
    </row>
    <row r="315">
      <c r="A315" s="14" t="n"/>
      <c r="B315" s="23" t="str">
        <f>IF(A315="","",IFERROR(INDEX('Units &amp; sales'!$I$12:$I$311,MATCH(A315,'Units &amp; sales'!$C$12:$C$311,0))&amp;"",""))</f>
        <v/>
      </c>
      <c r="C315" s="5" t="n"/>
      <c r="D315" s="20" t="n"/>
      <c r="E315" s="21" t="n"/>
      <c r="F315" s="21" t="n"/>
      <c r="G315" s="20" t="n"/>
      <c r="H315" s="24" t="str">
        <f>IF(E315="","",IF(N(F315)&gt;=E315,"Paid",IF(AND(D315&lt;&gt;"",D315&lt;TODAY()),"Overdue",IF(N(F315)&gt;0,"Part paid","Upcoming"))))</f>
        <v/>
      </c>
      <c r="I315" s="5" t="n"/>
    </row>
    <row r="316">
      <c r="A316" s="14" t="n"/>
      <c r="B316" s="23" t="str">
        <f>IF(A316="","",IFERROR(INDEX('Units &amp; sales'!$I$12:$I$311,MATCH(A316,'Units &amp; sales'!$C$12:$C$311,0))&amp;"",""))</f>
        <v/>
      </c>
      <c r="C316" s="5" t="n"/>
      <c r="D316" s="20" t="n"/>
      <c r="E316" s="21" t="n"/>
      <c r="F316" s="21" t="n"/>
      <c r="G316" s="20" t="n"/>
      <c r="H316" s="24" t="str">
        <f>IF(E316="","",IF(N(F316)&gt;=E316,"Paid",IF(AND(D316&lt;&gt;"",D316&lt;TODAY()),"Overdue",IF(N(F316)&gt;0,"Part paid","Upcoming"))))</f>
        <v/>
      </c>
      <c r="I316" s="5" t="n"/>
    </row>
    <row r="317">
      <c r="A317" s="14" t="n"/>
      <c r="B317" s="23" t="str">
        <f>IF(A317="","",IFERROR(INDEX('Units &amp; sales'!$I$12:$I$311,MATCH(A317,'Units &amp; sales'!$C$12:$C$311,0))&amp;"",""))</f>
        <v/>
      </c>
      <c r="C317" s="5" t="n"/>
      <c r="D317" s="20" t="n"/>
      <c r="E317" s="21" t="n"/>
      <c r="F317" s="21" t="n"/>
      <c r="G317" s="20" t="n"/>
      <c r="H317" s="24" t="str">
        <f>IF(E317="","",IF(N(F317)&gt;=E317,"Paid",IF(AND(D317&lt;&gt;"",D317&lt;TODAY()),"Overdue",IF(N(F317)&gt;0,"Part paid","Upcoming"))))</f>
        <v/>
      </c>
      <c r="I317" s="5" t="n"/>
    </row>
    <row r="318">
      <c r="A318" s="14" t="n"/>
      <c r="B318" s="23" t="str">
        <f>IF(A318="","",IFERROR(INDEX('Units &amp; sales'!$I$12:$I$311,MATCH(A318,'Units &amp; sales'!$C$12:$C$311,0))&amp;"",""))</f>
        <v/>
      </c>
      <c r="C318" s="5" t="n"/>
      <c r="D318" s="20" t="n"/>
      <c r="E318" s="21" t="n"/>
      <c r="F318" s="21" t="n"/>
      <c r="G318" s="20" t="n"/>
      <c r="H318" s="24" t="str">
        <f>IF(E318="","",IF(N(F318)&gt;=E318,"Paid",IF(AND(D318&lt;&gt;"",D318&lt;TODAY()),"Overdue",IF(N(F318)&gt;0,"Part paid","Upcoming"))))</f>
        <v/>
      </c>
      <c r="I318" s="5" t="n"/>
    </row>
    <row r="319">
      <c r="A319" s="14" t="n"/>
      <c r="B319" s="23" t="str">
        <f>IF(A319="","",IFERROR(INDEX('Units &amp; sales'!$I$12:$I$311,MATCH(A319,'Units &amp; sales'!$C$12:$C$311,0))&amp;"",""))</f>
        <v/>
      </c>
      <c r="C319" s="5" t="n"/>
      <c r="D319" s="20" t="n"/>
      <c r="E319" s="21" t="n"/>
      <c r="F319" s="21" t="n"/>
      <c r="G319" s="20" t="n"/>
      <c r="H319" s="24" t="str">
        <f>IF(E319="","",IF(N(F319)&gt;=E319,"Paid",IF(AND(D319&lt;&gt;"",D319&lt;TODAY()),"Overdue",IF(N(F319)&gt;0,"Part paid","Upcoming"))))</f>
        <v/>
      </c>
      <c r="I319" s="5" t="n"/>
    </row>
    <row r="320">
      <c r="A320" s="14" t="n"/>
      <c r="B320" s="23" t="str">
        <f>IF(A320="","",IFERROR(INDEX('Units &amp; sales'!$I$12:$I$311,MATCH(A320,'Units &amp; sales'!$C$12:$C$311,0))&amp;"",""))</f>
        <v/>
      </c>
      <c r="C320" s="5" t="n"/>
      <c r="D320" s="20" t="n"/>
      <c r="E320" s="21" t="n"/>
      <c r="F320" s="21" t="n"/>
      <c r="G320" s="20" t="n"/>
      <c r="H320" s="24" t="str">
        <f>IF(E320="","",IF(N(F320)&gt;=E320,"Paid",IF(AND(D320&lt;&gt;"",D320&lt;TODAY()),"Overdue",IF(N(F320)&gt;0,"Part paid","Upcoming"))))</f>
        <v/>
      </c>
      <c r="I320" s="5" t="n"/>
    </row>
    <row r="321">
      <c r="A321" s="14" t="n"/>
      <c r="B321" s="23" t="str">
        <f>IF(A321="","",IFERROR(INDEX('Units &amp; sales'!$I$12:$I$311,MATCH(A321,'Units &amp; sales'!$C$12:$C$311,0))&amp;"",""))</f>
        <v/>
      </c>
      <c r="C321" s="5" t="n"/>
      <c r="D321" s="20" t="n"/>
      <c r="E321" s="21" t="n"/>
      <c r="F321" s="21" t="n"/>
      <c r="G321" s="20" t="n"/>
      <c r="H321" s="24" t="str">
        <f>IF(E321="","",IF(N(F321)&gt;=E321,"Paid",IF(AND(D321&lt;&gt;"",D321&lt;TODAY()),"Overdue",IF(N(F321)&gt;0,"Part paid","Upcoming"))))</f>
        <v/>
      </c>
      <c r="I321" s="5" t="n"/>
    </row>
    <row r="322">
      <c r="A322" s="14" t="n"/>
      <c r="B322" s="23" t="str">
        <f>IF(A322="","",IFERROR(INDEX('Units &amp; sales'!$I$12:$I$311,MATCH(A322,'Units &amp; sales'!$C$12:$C$311,0))&amp;"",""))</f>
        <v/>
      </c>
      <c r="C322" s="5" t="n"/>
      <c r="D322" s="20" t="n"/>
      <c r="E322" s="21" t="n"/>
      <c r="F322" s="21" t="n"/>
      <c r="G322" s="20" t="n"/>
      <c r="H322" s="24" t="str">
        <f>IF(E322="","",IF(N(F322)&gt;=E322,"Paid",IF(AND(D322&lt;&gt;"",D322&lt;TODAY()),"Overdue",IF(N(F322)&gt;0,"Part paid","Upcoming"))))</f>
        <v/>
      </c>
      <c r="I322" s="5" t="n"/>
    </row>
    <row r="323">
      <c r="A323" s="14" t="n"/>
      <c r="B323" s="23" t="str">
        <f>IF(A323="","",IFERROR(INDEX('Units &amp; sales'!$I$12:$I$311,MATCH(A323,'Units &amp; sales'!$C$12:$C$311,0))&amp;"",""))</f>
        <v/>
      </c>
      <c r="C323" s="5" t="n"/>
      <c r="D323" s="20" t="n"/>
      <c r="E323" s="21" t="n"/>
      <c r="F323" s="21" t="n"/>
      <c r="G323" s="20" t="n"/>
      <c r="H323" s="24" t="str">
        <f>IF(E323="","",IF(N(F323)&gt;=E323,"Paid",IF(AND(D323&lt;&gt;"",D323&lt;TODAY()),"Overdue",IF(N(F323)&gt;0,"Part paid","Upcoming"))))</f>
        <v/>
      </c>
      <c r="I323" s="5" t="n"/>
    </row>
    <row r="324">
      <c r="A324" s="14" t="n"/>
      <c r="B324" s="23" t="str">
        <f>IF(A324="","",IFERROR(INDEX('Units &amp; sales'!$I$12:$I$311,MATCH(A324,'Units &amp; sales'!$C$12:$C$311,0))&amp;"",""))</f>
        <v/>
      </c>
      <c r="C324" s="5" t="n"/>
      <c r="D324" s="20" t="n"/>
      <c r="E324" s="21" t="n"/>
      <c r="F324" s="21" t="n"/>
      <c r="G324" s="20" t="n"/>
      <c r="H324" s="24" t="str">
        <f>IF(E324="","",IF(N(F324)&gt;=E324,"Paid",IF(AND(D324&lt;&gt;"",D324&lt;TODAY()),"Overdue",IF(N(F324)&gt;0,"Part paid","Upcoming"))))</f>
        <v/>
      </c>
      <c r="I324" s="5" t="n"/>
    </row>
    <row r="325">
      <c r="A325" s="14" t="n"/>
      <c r="B325" s="23" t="str">
        <f>IF(A325="","",IFERROR(INDEX('Units &amp; sales'!$I$12:$I$311,MATCH(A325,'Units &amp; sales'!$C$12:$C$311,0))&amp;"",""))</f>
        <v/>
      </c>
      <c r="C325" s="5" t="n"/>
      <c r="D325" s="20" t="n"/>
      <c r="E325" s="21" t="n"/>
      <c r="F325" s="21" t="n"/>
      <c r="G325" s="20" t="n"/>
      <c r="H325" s="24" t="str">
        <f>IF(E325="","",IF(N(F325)&gt;=E325,"Paid",IF(AND(D325&lt;&gt;"",D325&lt;TODAY()),"Overdue",IF(N(F325)&gt;0,"Part paid","Upcoming"))))</f>
        <v/>
      </c>
      <c r="I325" s="5" t="n"/>
    </row>
    <row r="326">
      <c r="A326" s="14" t="n"/>
      <c r="B326" s="23" t="str">
        <f>IF(A326="","",IFERROR(INDEX('Units &amp; sales'!$I$12:$I$311,MATCH(A326,'Units &amp; sales'!$C$12:$C$311,0))&amp;"",""))</f>
        <v/>
      </c>
      <c r="C326" s="5" t="n"/>
      <c r="D326" s="20" t="n"/>
      <c r="E326" s="21" t="n"/>
      <c r="F326" s="21" t="n"/>
      <c r="G326" s="20" t="n"/>
      <c r="H326" s="24" t="str">
        <f>IF(E326="","",IF(N(F326)&gt;=E326,"Paid",IF(AND(D326&lt;&gt;"",D326&lt;TODAY()),"Overdue",IF(N(F326)&gt;0,"Part paid","Upcoming"))))</f>
        <v/>
      </c>
      <c r="I326" s="5" t="n"/>
    </row>
    <row r="327">
      <c r="A327" s="14" t="n"/>
      <c r="B327" s="23" t="str">
        <f>IF(A327="","",IFERROR(INDEX('Units &amp; sales'!$I$12:$I$311,MATCH(A327,'Units &amp; sales'!$C$12:$C$311,0))&amp;"",""))</f>
        <v/>
      </c>
      <c r="C327" s="5" t="n"/>
      <c r="D327" s="20" t="n"/>
      <c r="E327" s="21" t="n"/>
      <c r="F327" s="21" t="n"/>
      <c r="G327" s="20" t="n"/>
      <c r="H327" s="24" t="str">
        <f>IF(E327="","",IF(N(F327)&gt;=E327,"Paid",IF(AND(D327&lt;&gt;"",D327&lt;TODAY()),"Overdue",IF(N(F327)&gt;0,"Part paid","Upcoming"))))</f>
        <v/>
      </c>
      <c r="I327" s="5" t="n"/>
    </row>
    <row r="328">
      <c r="A328" s="14" t="n"/>
      <c r="B328" s="23" t="str">
        <f>IF(A328="","",IFERROR(INDEX('Units &amp; sales'!$I$12:$I$311,MATCH(A328,'Units &amp; sales'!$C$12:$C$311,0))&amp;"",""))</f>
        <v/>
      </c>
      <c r="C328" s="5" t="n"/>
      <c r="D328" s="20" t="n"/>
      <c r="E328" s="21" t="n"/>
      <c r="F328" s="21" t="n"/>
      <c r="G328" s="20" t="n"/>
      <c r="H328" s="24" t="str">
        <f>IF(E328="","",IF(N(F328)&gt;=E328,"Paid",IF(AND(D328&lt;&gt;"",D328&lt;TODAY()),"Overdue",IF(N(F328)&gt;0,"Part paid","Upcoming"))))</f>
        <v/>
      </c>
      <c r="I328" s="5" t="n"/>
    </row>
    <row r="329">
      <c r="A329" s="14" t="n"/>
      <c r="B329" s="23" t="str">
        <f>IF(A329="","",IFERROR(INDEX('Units &amp; sales'!$I$12:$I$311,MATCH(A329,'Units &amp; sales'!$C$12:$C$311,0))&amp;"",""))</f>
        <v/>
      </c>
      <c r="C329" s="5" t="n"/>
      <c r="D329" s="20" t="n"/>
      <c r="E329" s="21" t="n"/>
      <c r="F329" s="21" t="n"/>
      <c r="G329" s="20" t="n"/>
      <c r="H329" s="24" t="str">
        <f>IF(E329="","",IF(N(F329)&gt;=E329,"Paid",IF(AND(D329&lt;&gt;"",D329&lt;TODAY()),"Overdue",IF(N(F329)&gt;0,"Part paid","Upcoming"))))</f>
        <v/>
      </c>
      <c r="I329" s="5" t="n"/>
    </row>
    <row r="330">
      <c r="A330" s="14" t="n"/>
      <c r="B330" s="23" t="str">
        <f>IF(A330="","",IFERROR(INDEX('Units &amp; sales'!$I$12:$I$311,MATCH(A330,'Units &amp; sales'!$C$12:$C$311,0))&amp;"",""))</f>
        <v/>
      </c>
      <c r="C330" s="5" t="n"/>
      <c r="D330" s="20" t="n"/>
      <c r="E330" s="21" t="n"/>
      <c r="F330" s="21" t="n"/>
      <c r="G330" s="20" t="n"/>
      <c r="H330" s="24" t="str">
        <f>IF(E330="","",IF(N(F330)&gt;=E330,"Paid",IF(AND(D330&lt;&gt;"",D330&lt;TODAY()),"Overdue",IF(N(F330)&gt;0,"Part paid","Upcoming"))))</f>
        <v/>
      </c>
      <c r="I330" s="5" t="n"/>
    </row>
    <row r="331">
      <c r="A331" s="14" t="n"/>
      <c r="B331" s="23" t="str">
        <f>IF(A331="","",IFERROR(INDEX('Units &amp; sales'!$I$12:$I$311,MATCH(A331,'Units &amp; sales'!$C$12:$C$311,0))&amp;"",""))</f>
        <v/>
      </c>
      <c r="C331" s="5" t="n"/>
      <c r="D331" s="20" t="n"/>
      <c r="E331" s="21" t="n"/>
      <c r="F331" s="21" t="n"/>
      <c r="G331" s="20" t="n"/>
      <c r="H331" s="24" t="str">
        <f>IF(E331="","",IF(N(F331)&gt;=E331,"Paid",IF(AND(D331&lt;&gt;"",D331&lt;TODAY()),"Overdue",IF(N(F331)&gt;0,"Part paid","Upcoming"))))</f>
        <v/>
      </c>
      <c r="I331" s="5" t="n"/>
    </row>
    <row r="332">
      <c r="A332" s="14" t="n"/>
      <c r="B332" s="23" t="str">
        <f>IF(A332="","",IFERROR(INDEX('Units &amp; sales'!$I$12:$I$311,MATCH(A332,'Units &amp; sales'!$C$12:$C$311,0))&amp;"",""))</f>
        <v/>
      </c>
      <c r="C332" s="5" t="n"/>
      <c r="D332" s="20" t="n"/>
      <c r="E332" s="21" t="n"/>
      <c r="F332" s="21" t="n"/>
      <c r="G332" s="20" t="n"/>
      <c r="H332" s="24" t="str">
        <f>IF(E332="","",IF(N(F332)&gt;=E332,"Paid",IF(AND(D332&lt;&gt;"",D332&lt;TODAY()),"Overdue",IF(N(F332)&gt;0,"Part paid","Upcoming"))))</f>
        <v/>
      </c>
      <c r="I332" s="5" t="n"/>
    </row>
    <row r="333">
      <c r="A333" s="14" t="n"/>
      <c r="B333" s="23" t="str">
        <f>IF(A333="","",IFERROR(INDEX('Units &amp; sales'!$I$12:$I$311,MATCH(A333,'Units &amp; sales'!$C$12:$C$311,0))&amp;"",""))</f>
        <v/>
      </c>
      <c r="C333" s="5" t="n"/>
      <c r="D333" s="20" t="n"/>
      <c r="E333" s="21" t="n"/>
      <c r="F333" s="21" t="n"/>
      <c r="G333" s="20" t="n"/>
      <c r="H333" s="24" t="str">
        <f>IF(E333="","",IF(N(F333)&gt;=E333,"Paid",IF(AND(D333&lt;&gt;"",D333&lt;TODAY()),"Overdue",IF(N(F333)&gt;0,"Part paid","Upcoming"))))</f>
        <v/>
      </c>
      <c r="I333" s="5" t="n"/>
    </row>
    <row r="334">
      <c r="A334" s="14" t="n"/>
      <c r="B334" s="23" t="str">
        <f>IF(A334="","",IFERROR(INDEX('Units &amp; sales'!$I$12:$I$311,MATCH(A334,'Units &amp; sales'!$C$12:$C$311,0))&amp;"",""))</f>
        <v/>
      </c>
      <c r="C334" s="5" t="n"/>
      <c r="D334" s="20" t="n"/>
      <c r="E334" s="21" t="n"/>
      <c r="F334" s="21" t="n"/>
      <c r="G334" s="20" t="n"/>
      <c r="H334" s="24" t="str">
        <f>IF(E334="","",IF(N(F334)&gt;=E334,"Paid",IF(AND(D334&lt;&gt;"",D334&lt;TODAY()),"Overdue",IF(N(F334)&gt;0,"Part paid","Upcoming"))))</f>
        <v/>
      </c>
      <c r="I334" s="5" t="n"/>
    </row>
    <row r="335">
      <c r="A335" s="14" t="n"/>
      <c r="B335" s="23" t="str">
        <f>IF(A335="","",IFERROR(INDEX('Units &amp; sales'!$I$12:$I$311,MATCH(A335,'Units &amp; sales'!$C$12:$C$311,0))&amp;"",""))</f>
        <v/>
      </c>
      <c r="C335" s="5" t="n"/>
      <c r="D335" s="20" t="n"/>
      <c r="E335" s="21" t="n"/>
      <c r="F335" s="21" t="n"/>
      <c r="G335" s="20" t="n"/>
      <c r="H335" s="24" t="str">
        <f>IF(E335="","",IF(N(F335)&gt;=E335,"Paid",IF(AND(D335&lt;&gt;"",D335&lt;TODAY()),"Overdue",IF(N(F335)&gt;0,"Part paid","Upcoming"))))</f>
        <v/>
      </c>
      <c r="I335" s="5" t="n"/>
    </row>
    <row r="336">
      <c r="A336" s="14" t="n"/>
      <c r="B336" s="23" t="str">
        <f>IF(A336="","",IFERROR(INDEX('Units &amp; sales'!$I$12:$I$311,MATCH(A336,'Units &amp; sales'!$C$12:$C$311,0))&amp;"",""))</f>
        <v/>
      </c>
      <c r="C336" s="5" t="n"/>
      <c r="D336" s="20" t="n"/>
      <c r="E336" s="21" t="n"/>
      <c r="F336" s="21" t="n"/>
      <c r="G336" s="20" t="n"/>
      <c r="H336" s="24" t="str">
        <f>IF(E336="","",IF(N(F336)&gt;=E336,"Paid",IF(AND(D336&lt;&gt;"",D336&lt;TODAY()),"Overdue",IF(N(F336)&gt;0,"Part paid","Upcoming"))))</f>
        <v/>
      </c>
      <c r="I336" s="5" t="n"/>
    </row>
    <row r="337">
      <c r="A337" s="14" t="n"/>
      <c r="B337" s="23" t="str">
        <f>IF(A337="","",IFERROR(INDEX('Units &amp; sales'!$I$12:$I$311,MATCH(A337,'Units &amp; sales'!$C$12:$C$311,0))&amp;"",""))</f>
        <v/>
      </c>
      <c r="C337" s="5" t="n"/>
      <c r="D337" s="20" t="n"/>
      <c r="E337" s="21" t="n"/>
      <c r="F337" s="21" t="n"/>
      <c r="G337" s="20" t="n"/>
      <c r="H337" s="24" t="str">
        <f>IF(E337="","",IF(N(F337)&gt;=E337,"Paid",IF(AND(D337&lt;&gt;"",D337&lt;TODAY()),"Overdue",IF(N(F337)&gt;0,"Part paid","Upcoming"))))</f>
        <v/>
      </c>
      <c r="I337" s="5" t="n"/>
    </row>
    <row r="338">
      <c r="A338" s="14" t="n"/>
      <c r="B338" s="23" t="str">
        <f>IF(A338="","",IFERROR(INDEX('Units &amp; sales'!$I$12:$I$311,MATCH(A338,'Units &amp; sales'!$C$12:$C$311,0))&amp;"",""))</f>
        <v/>
      </c>
      <c r="C338" s="5" t="n"/>
      <c r="D338" s="20" t="n"/>
      <c r="E338" s="21" t="n"/>
      <c r="F338" s="21" t="n"/>
      <c r="G338" s="20" t="n"/>
      <c r="H338" s="24" t="str">
        <f>IF(E338="","",IF(N(F338)&gt;=E338,"Paid",IF(AND(D338&lt;&gt;"",D338&lt;TODAY()),"Overdue",IF(N(F338)&gt;0,"Part paid","Upcoming"))))</f>
        <v/>
      </c>
      <c r="I338" s="5" t="n"/>
    </row>
    <row r="339">
      <c r="A339" s="14" t="n"/>
      <c r="B339" s="23" t="str">
        <f>IF(A339="","",IFERROR(INDEX('Units &amp; sales'!$I$12:$I$311,MATCH(A339,'Units &amp; sales'!$C$12:$C$311,0))&amp;"",""))</f>
        <v/>
      </c>
      <c r="C339" s="5" t="n"/>
      <c r="D339" s="20" t="n"/>
      <c r="E339" s="21" t="n"/>
      <c r="F339" s="21" t="n"/>
      <c r="G339" s="20" t="n"/>
      <c r="H339" s="24" t="str">
        <f>IF(E339="","",IF(N(F339)&gt;=E339,"Paid",IF(AND(D339&lt;&gt;"",D339&lt;TODAY()),"Overdue",IF(N(F339)&gt;0,"Part paid","Upcoming"))))</f>
        <v/>
      </c>
      <c r="I339" s="5" t="n"/>
    </row>
    <row r="340">
      <c r="A340" s="14" t="n"/>
      <c r="B340" s="23" t="str">
        <f>IF(A340="","",IFERROR(INDEX('Units &amp; sales'!$I$12:$I$311,MATCH(A340,'Units &amp; sales'!$C$12:$C$311,0))&amp;"",""))</f>
        <v/>
      </c>
      <c r="C340" s="5" t="n"/>
      <c r="D340" s="20" t="n"/>
      <c r="E340" s="21" t="n"/>
      <c r="F340" s="21" t="n"/>
      <c r="G340" s="20" t="n"/>
      <c r="H340" s="24" t="str">
        <f>IF(E340="","",IF(N(F340)&gt;=E340,"Paid",IF(AND(D340&lt;&gt;"",D340&lt;TODAY()),"Overdue",IF(N(F340)&gt;0,"Part paid","Upcoming"))))</f>
        <v/>
      </c>
      <c r="I340" s="5" t="n"/>
    </row>
    <row r="341">
      <c r="A341" s="14" t="n"/>
      <c r="B341" s="23" t="str">
        <f>IF(A341="","",IFERROR(INDEX('Units &amp; sales'!$I$12:$I$311,MATCH(A341,'Units &amp; sales'!$C$12:$C$311,0))&amp;"",""))</f>
        <v/>
      </c>
      <c r="C341" s="5" t="n"/>
      <c r="D341" s="20" t="n"/>
      <c r="E341" s="21" t="n"/>
      <c r="F341" s="21" t="n"/>
      <c r="G341" s="20" t="n"/>
      <c r="H341" s="24" t="str">
        <f>IF(E341="","",IF(N(F341)&gt;=E341,"Paid",IF(AND(D341&lt;&gt;"",D341&lt;TODAY()),"Overdue",IF(N(F341)&gt;0,"Part paid","Upcoming"))))</f>
        <v/>
      </c>
      <c r="I341" s="5" t="n"/>
    </row>
    <row r="342">
      <c r="A342" s="14" t="n"/>
      <c r="B342" s="23" t="str">
        <f>IF(A342="","",IFERROR(INDEX('Units &amp; sales'!$I$12:$I$311,MATCH(A342,'Units &amp; sales'!$C$12:$C$311,0))&amp;"",""))</f>
        <v/>
      </c>
      <c r="C342" s="5" t="n"/>
      <c r="D342" s="20" t="n"/>
      <c r="E342" s="21" t="n"/>
      <c r="F342" s="21" t="n"/>
      <c r="G342" s="20" t="n"/>
      <c r="H342" s="24" t="str">
        <f>IF(E342="","",IF(N(F342)&gt;=E342,"Paid",IF(AND(D342&lt;&gt;"",D342&lt;TODAY()),"Overdue",IF(N(F342)&gt;0,"Part paid","Upcoming"))))</f>
        <v/>
      </c>
      <c r="I342" s="5" t="n"/>
    </row>
    <row r="343">
      <c r="A343" s="14" t="n"/>
      <c r="B343" s="23" t="str">
        <f>IF(A343="","",IFERROR(INDEX('Units &amp; sales'!$I$12:$I$311,MATCH(A343,'Units &amp; sales'!$C$12:$C$311,0))&amp;"",""))</f>
        <v/>
      </c>
      <c r="C343" s="5" t="n"/>
      <c r="D343" s="20" t="n"/>
      <c r="E343" s="21" t="n"/>
      <c r="F343" s="21" t="n"/>
      <c r="G343" s="20" t="n"/>
      <c r="H343" s="24" t="str">
        <f>IF(E343="","",IF(N(F343)&gt;=E343,"Paid",IF(AND(D343&lt;&gt;"",D343&lt;TODAY()),"Overdue",IF(N(F343)&gt;0,"Part paid","Upcoming"))))</f>
        <v/>
      </c>
      <c r="I343" s="5" t="n"/>
    </row>
    <row r="344">
      <c r="A344" s="14" t="n"/>
      <c r="B344" s="23" t="str">
        <f>IF(A344="","",IFERROR(INDEX('Units &amp; sales'!$I$12:$I$311,MATCH(A344,'Units &amp; sales'!$C$12:$C$311,0))&amp;"",""))</f>
        <v/>
      </c>
      <c r="C344" s="5" t="n"/>
      <c r="D344" s="20" t="n"/>
      <c r="E344" s="21" t="n"/>
      <c r="F344" s="21" t="n"/>
      <c r="G344" s="20" t="n"/>
      <c r="H344" s="24" t="str">
        <f>IF(E344="","",IF(N(F344)&gt;=E344,"Paid",IF(AND(D344&lt;&gt;"",D344&lt;TODAY()),"Overdue",IF(N(F344)&gt;0,"Part paid","Upcoming"))))</f>
        <v/>
      </c>
      <c r="I344" s="5" t="n"/>
    </row>
    <row r="345">
      <c r="A345" s="14" t="n"/>
      <c r="B345" s="23" t="str">
        <f>IF(A345="","",IFERROR(INDEX('Units &amp; sales'!$I$12:$I$311,MATCH(A345,'Units &amp; sales'!$C$12:$C$311,0))&amp;"",""))</f>
        <v/>
      </c>
      <c r="C345" s="5" t="n"/>
      <c r="D345" s="20" t="n"/>
      <c r="E345" s="21" t="n"/>
      <c r="F345" s="21" t="n"/>
      <c r="G345" s="20" t="n"/>
      <c r="H345" s="24" t="str">
        <f>IF(E345="","",IF(N(F345)&gt;=E345,"Paid",IF(AND(D345&lt;&gt;"",D345&lt;TODAY()),"Overdue",IF(N(F345)&gt;0,"Part paid","Upcoming"))))</f>
        <v/>
      </c>
      <c r="I345" s="5" t="n"/>
    </row>
    <row r="346">
      <c r="A346" s="14" t="n"/>
      <c r="B346" s="23" t="str">
        <f>IF(A346="","",IFERROR(INDEX('Units &amp; sales'!$I$12:$I$311,MATCH(A346,'Units &amp; sales'!$C$12:$C$311,0))&amp;"",""))</f>
        <v/>
      </c>
      <c r="C346" s="5" t="n"/>
      <c r="D346" s="20" t="n"/>
      <c r="E346" s="21" t="n"/>
      <c r="F346" s="21" t="n"/>
      <c r="G346" s="20" t="n"/>
      <c r="H346" s="24" t="str">
        <f>IF(E346="","",IF(N(F346)&gt;=E346,"Paid",IF(AND(D346&lt;&gt;"",D346&lt;TODAY()),"Overdue",IF(N(F346)&gt;0,"Part paid","Upcoming"))))</f>
        <v/>
      </c>
      <c r="I346" s="5" t="n"/>
    </row>
    <row r="347">
      <c r="A347" s="14" t="n"/>
      <c r="B347" s="23" t="str">
        <f>IF(A347="","",IFERROR(INDEX('Units &amp; sales'!$I$12:$I$311,MATCH(A347,'Units &amp; sales'!$C$12:$C$311,0))&amp;"",""))</f>
        <v/>
      </c>
      <c r="C347" s="5" t="n"/>
      <c r="D347" s="20" t="n"/>
      <c r="E347" s="21" t="n"/>
      <c r="F347" s="21" t="n"/>
      <c r="G347" s="20" t="n"/>
      <c r="H347" s="24" t="str">
        <f>IF(E347="","",IF(N(F347)&gt;=E347,"Paid",IF(AND(D347&lt;&gt;"",D347&lt;TODAY()),"Overdue",IF(N(F347)&gt;0,"Part paid","Upcoming"))))</f>
        <v/>
      </c>
      <c r="I347" s="5" t="n"/>
    </row>
    <row r="348">
      <c r="A348" s="14" t="n"/>
      <c r="B348" s="23" t="str">
        <f>IF(A348="","",IFERROR(INDEX('Units &amp; sales'!$I$12:$I$311,MATCH(A348,'Units &amp; sales'!$C$12:$C$311,0))&amp;"",""))</f>
        <v/>
      </c>
      <c r="C348" s="5" t="n"/>
      <c r="D348" s="20" t="n"/>
      <c r="E348" s="21" t="n"/>
      <c r="F348" s="21" t="n"/>
      <c r="G348" s="20" t="n"/>
      <c r="H348" s="24" t="str">
        <f>IF(E348="","",IF(N(F348)&gt;=E348,"Paid",IF(AND(D348&lt;&gt;"",D348&lt;TODAY()),"Overdue",IF(N(F348)&gt;0,"Part paid","Upcoming"))))</f>
        <v/>
      </c>
      <c r="I348" s="5" t="n"/>
    </row>
    <row r="349">
      <c r="A349" s="14" t="n"/>
      <c r="B349" s="23" t="str">
        <f>IF(A349="","",IFERROR(INDEX('Units &amp; sales'!$I$12:$I$311,MATCH(A349,'Units &amp; sales'!$C$12:$C$311,0))&amp;"",""))</f>
        <v/>
      </c>
      <c r="C349" s="5" t="n"/>
      <c r="D349" s="20" t="n"/>
      <c r="E349" s="21" t="n"/>
      <c r="F349" s="21" t="n"/>
      <c r="G349" s="20" t="n"/>
      <c r="H349" s="24" t="str">
        <f>IF(E349="","",IF(N(F349)&gt;=E349,"Paid",IF(AND(D349&lt;&gt;"",D349&lt;TODAY()),"Overdue",IF(N(F349)&gt;0,"Part paid","Upcoming"))))</f>
        <v/>
      </c>
      <c r="I349" s="5" t="n"/>
    </row>
    <row r="350">
      <c r="A350" s="14" t="n"/>
      <c r="B350" s="23" t="str">
        <f>IF(A350="","",IFERROR(INDEX('Units &amp; sales'!$I$12:$I$311,MATCH(A350,'Units &amp; sales'!$C$12:$C$311,0))&amp;"",""))</f>
        <v/>
      </c>
      <c r="C350" s="5" t="n"/>
      <c r="D350" s="20" t="n"/>
      <c r="E350" s="21" t="n"/>
      <c r="F350" s="21" t="n"/>
      <c r="G350" s="20" t="n"/>
      <c r="H350" s="24" t="str">
        <f>IF(E350="","",IF(N(F350)&gt;=E350,"Paid",IF(AND(D350&lt;&gt;"",D350&lt;TODAY()),"Overdue",IF(N(F350)&gt;0,"Part paid","Upcoming"))))</f>
        <v/>
      </c>
      <c r="I350" s="5" t="n"/>
    </row>
    <row r="351">
      <c r="A351" s="14" t="n"/>
      <c r="B351" s="23" t="str">
        <f>IF(A351="","",IFERROR(INDEX('Units &amp; sales'!$I$12:$I$311,MATCH(A351,'Units &amp; sales'!$C$12:$C$311,0))&amp;"",""))</f>
        <v/>
      </c>
      <c r="C351" s="5" t="n"/>
      <c r="D351" s="20" t="n"/>
      <c r="E351" s="21" t="n"/>
      <c r="F351" s="21" t="n"/>
      <c r="G351" s="20" t="n"/>
      <c r="H351" s="24" t="str">
        <f>IF(E351="","",IF(N(F351)&gt;=E351,"Paid",IF(AND(D351&lt;&gt;"",D351&lt;TODAY()),"Overdue",IF(N(F351)&gt;0,"Part paid","Upcoming"))))</f>
        <v/>
      </c>
      <c r="I351" s="5" t="n"/>
    </row>
    <row r="352">
      <c r="A352" s="14" t="n"/>
      <c r="B352" s="23" t="str">
        <f>IF(A352="","",IFERROR(INDEX('Units &amp; sales'!$I$12:$I$311,MATCH(A352,'Units &amp; sales'!$C$12:$C$311,0))&amp;"",""))</f>
        <v/>
      </c>
      <c r="C352" s="5" t="n"/>
      <c r="D352" s="20" t="n"/>
      <c r="E352" s="21" t="n"/>
      <c r="F352" s="21" t="n"/>
      <c r="G352" s="20" t="n"/>
      <c r="H352" s="24" t="str">
        <f>IF(E352="","",IF(N(F352)&gt;=E352,"Paid",IF(AND(D352&lt;&gt;"",D352&lt;TODAY()),"Overdue",IF(N(F352)&gt;0,"Part paid","Upcoming"))))</f>
        <v/>
      </c>
      <c r="I352" s="5" t="n"/>
    </row>
    <row r="353">
      <c r="A353" s="14" t="n"/>
      <c r="B353" s="23" t="str">
        <f>IF(A353="","",IFERROR(INDEX('Units &amp; sales'!$I$12:$I$311,MATCH(A353,'Units &amp; sales'!$C$12:$C$311,0))&amp;"",""))</f>
        <v/>
      </c>
      <c r="C353" s="5" t="n"/>
      <c r="D353" s="20" t="n"/>
      <c r="E353" s="21" t="n"/>
      <c r="F353" s="21" t="n"/>
      <c r="G353" s="20" t="n"/>
      <c r="H353" s="24" t="str">
        <f>IF(E353="","",IF(N(F353)&gt;=E353,"Paid",IF(AND(D353&lt;&gt;"",D353&lt;TODAY()),"Overdue",IF(N(F353)&gt;0,"Part paid","Upcoming"))))</f>
        <v/>
      </c>
      <c r="I353" s="5" t="n"/>
    </row>
    <row r="354">
      <c r="A354" s="14" t="n"/>
      <c r="B354" s="23" t="str">
        <f>IF(A354="","",IFERROR(INDEX('Units &amp; sales'!$I$12:$I$311,MATCH(A354,'Units &amp; sales'!$C$12:$C$311,0))&amp;"",""))</f>
        <v/>
      </c>
      <c r="C354" s="5" t="n"/>
      <c r="D354" s="20" t="n"/>
      <c r="E354" s="21" t="n"/>
      <c r="F354" s="21" t="n"/>
      <c r="G354" s="20" t="n"/>
      <c r="H354" s="24" t="str">
        <f>IF(E354="","",IF(N(F354)&gt;=E354,"Paid",IF(AND(D354&lt;&gt;"",D354&lt;TODAY()),"Overdue",IF(N(F354)&gt;0,"Part paid","Upcoming"))))</f>
        <v/>
      </c>
      <c r="I354" s="5" t="n"/>
    </row>
    <row r="355">
      <c r="A355" s="14" t="n"/>
      <c r="B355" s="23" t="str">
        <f>IF(A355="","",IFERROR(INDEX('Units &amp; sales'!$I$12:$I$311,MATCH(A355,'Units &amp; sales'!$C$12:$C$311,0))&amp;"",""))</f>
        <v/>
      </c>
      <c r="C355" s="5" t="n"/>
      <c r="D355" s="20" t="n"/>
      <c r="E355" s="21" t="n"/>
      <c r="F355" s="21" t="n"/>
      <c r="G355" s="20" t="n"/>
      <c r="H355" s="24" t="str">
        <f>IF(E355="","",IF(N(F355)&gt;=E355,"Paid",IF(AND(D355&lt;&gt;"",D355&lt;TODAY()),"Overdue",IF(N(F355)&gt;0,"Part paid","Upcoming"))))</f>
        <v/>
      </c>
      <c r="I355" s="5" t="n"/>
    </row>
    <row r="356">
      <c r="A356" s="14" t="n"/>
      <c r="B356" s="23" t="str">
        <f>IF(A356="","",IFERROR(INDEX('Units &amp; sales'!$I$12:$I$311,MATCH(A356,'Units &amp; sales'!$C$12:$C$311,0))&amp;"",""))</f>
        <v/>
      </c>
      <c r="C356" s="5" t="n"/>
      <c r="D356" s="20" t="n"/>
      <c r="E356" s="21" t="n"/>
      <c r="F356" s="21" t="n"/>
      <c r="G356" s="20" t="n"/>
      <c r="H356" s="24" t="str">
        <f>IF(E356="","",IF(N(F356)&gt;=E356,"Paid",IF(AND(D356&lt;&gt;"",D356&lt;TODAY()),"Overdue",IF(N(F356)&gt;0,"Part paid","Upcoming"))))</f>
        <v/>
      </c>
      <c r="I356" s="5" t="n"/>
    </row>
    <row r="357">
      <c r="A357" s="14" t="n"/>
      <c r="B357" s="23" t="str">
        <f>IF(A357="","",IFERROR(INDEX('Units &amp; sales'!$I$12:$I$311,MATCH(A357,'Units &amp; sales'!$C$12:$C$311,0))&amp;"",""))</f>
        <v/>
      </c>
      <c r="C357" s="5" t="n"/>
      <c r="D357" s="20" t="n"/>
      <c r="E357" s="21" t="n"/>
      <c r="F357" s="21" t="n"/>
      <c r="G357" s="20" t="n"/>
      <c r="H357" s="24" t="str">
        <f>IF(E357="","",IF(N(F357)&gt;=E357,"Paid",IF(AND(D357&lt;&gt;"",D357&lt;TODAY()),"Overdue",IF(N(F357)&gt;0,"Part paid","Upcoming"))))</f>
        <v/>
      </c>
      <c r="I357" s="5" t="n"/>
    </row>
    <row r="358">
      <c r="A358" s="14" t="n"/>
      <c r="B358" s="23" t="str">
        <f>IF(A358="","",IFERROR(INDEX('Units &amp; sales'!$I$12:$I$311,MATCH(A358,'Units &amp; sales'!$C$12:$C$311,0))&amp;"",""))</f>
        <v/>
      </c>
      <c r="C358" s="5" t="n"/>
      <c r="D358" s="20" t="n"/>
      <c r="E358" s="21" t="n"/>
      <c r="F358" s="21" t="n"/>
      <c r="G358" s="20" t="n"/>
      <c r="H358" s="24" t="str">
        <f>IF(E358="","",IF(N(F358)&gt;=E358,"Paid",IF(AND(D358&lt;&gt;"",D358&lt;TODAY()),"Overdue",IF(N(F358)&gt;0,"Part paid","Upcoming"))))</f>
        <v/>
      </c>
      <c r="I358" s="5" t="n"/>
    </row>
    <row r="359">
      <c r="A359" s="14" t="n"/>
      <c r="B359" s="23" t="str">
        <f>IF(A359="","",IFERROR(INDEX('Units &amp; sales'!$I$12:$I$311,MATCH(A359,'Units &amp; sales'!$C$12:$C$311,0))&amp;"",""))</f>
        <v/>
      </c>
      <c r="C359" s="5" t="n"/>
      <c r="D359" s="20" t="n"/>
      <c r="E359" s="21" t="n"/>
      <c r="F359" s="21" t="n"/>
      <c r="G359" s="20" t="n"/>
      <c r="H359" s="24" t="str">
        <f>IF(E359="","",IF(N(F359)&gt;=E359,"Paid",IF(AND(D359&lt;&gt;"",D359&lt;TODAY()),"Overdue",IF(N(F359)&gt;0,"Part paid","Upcoming"))))</f>
        <v/>
      </c>
      <c r="I359" s="5" t="n"/>
    </row>
    <row r="360">
      <c r="A360" s="14" t="n"/>
      <c r="B360" s="23" t="str">
        <f>IF(A360="","",IFERROR(INDEX('Units &amp; sales'!$I$12:$I$311,MATCH(A360,'Units &amp; sales'!$C$12:$C$311,0))&amp;"",""))</f>
        <v/>
      </c>
      <c r="C360" s="5" t="n"/>
      <c r="D360" s="20" t="n"/>
      <c r="E360" s="21" t="n"/>
      <c r="F360" s="21" t="n"/>
      <c r="G360" s="20" t="n"/>
      <c r="H360" s="24" t="str">
        <f>IF(E360="","",IF(N(F360)&gt;=E360,"Paid",IF(AND(D360&lt;&gt;"",D360&lt;TODAY()),"Overdue",IF(N(F360)&gt;0,"Part paid","Upcoming"))))</f>
        <v/>
      </c>
      <c r="I360" s="5" t="n"/>
    </row>
    <row r="361">
      <c r="A361" s="14" t="n"/>
      <c r="B361" s="23" t="str">
        <f>IF(A361="","",IFERROR(INDEX('Units &amp; sales'!$I$12:$I$311,MATCH(A361,'Units &amp; sales'!$C$12:$C$311,0))&amp;"",""))</f>
        <v/>
      </c>
      <c r="C361" s="5" t="n"/>
      <c r="D361" s="20" t="n"/>
      <c r="E361" s="21" t="n"/>
      <c r="F361" s="21" t="n"/>
      <c r="G361" s="20" t="n"/>
      <c r="H361" s="24" t="str">
        <f>IF(E361="","",IF(N(F361)&gt;=E361,"Paid",IF(AND(D361&lt;&gt;"",D361&lt;TODAY()),"Overdue",IF(N(F361)&gt;0,"Part paid","Upcoming"))))</f>
        <v/>
      </c>
      <c r="I361" s="5" t="n"/>
    </row>
    <row r="362">
      <c r="A362" s="14" t="n"/>
      <c r="B362" s="23" t="str">
        <f>IF(A362="","",IFERROR(INDEX('Units &amp; sales'!$I$12:$I$311,MATCH(A362,'Units &amp; sales'!$C$12:$C$311,0))&amp;"",""))</f>
        <v/>
      </c>
      <c r="C362" s="5" t="n"/>
      <c r="D362" s="20" t="n"/>
      <c r="E362" s="21" t="n"/>
      <c r="F362" s="21" t="n"/>
      <c r="G362" s="20" t="n"/>
      <c r="H362" s="24" t="str">
        <f>IF(E362="","",IF(N(F362)&gt;=E362,"Paid",IF(AND(D362&lt;&gt;"",D362&lt;TODAY()),"Overdue",IF(N(F362)&gt;0,"Part paid","Upcoming"))))</f>
        <v/>
      </c>
      <c r="I362" s="5" t="n"/>
    </row>
    <row r="363">
      <c r="A363" s="14" t="n"/>
      <c r="B363" s="23" t="str">
        <f>IF(A363="","",IFERROR(INDEX('Units &amp; sales'!$I$12:$I$311,MATCH(A363,'Units &amp; sales'!$C$12:$C$311,0))&amp;"",""))</f>
        <v/>
      </c>
      <c r="C363" s="5" t="n"/>
      <c r="D363" s="20" t="n"/>
      <c r="E363" s="21" t="n"/>
      <c r="F363" s="21" t="n"/>
      <c r="G363" s="20" t="n"/>
      <c r="H363" s="24" t="str">
        <f>IF(E363="","",IF(N(F363)&gt;=E363,"Paid",IF(AND(D363&lt;&gt;"",D363&lt;TODAY()),"Overdue",IF(N(F363)&gt;0,"Part paid","Upcoming"))))</f>
        <v/>
      </c>
      <c r="I363" s="5" t="n"/>
    </row>
    <row r="364">
      <c r="A364" s="14" t="n"/>
      <c r="B364" s="23" t="str">
        <f>IF(A364="","",IFERROR(INDEX('Units &amp; sales'!$I$12:$I$311,MATCH(A364,'Units &amp; sales'!$C$12:$C$311,0))&amp;"",""))</f>
        <v/>
      </c>
      <c r="C364" s="5" t="n"/>
      <c r="D364" s="20" t="n"/>
      <c r="E364" s="21" t="n"/>
      <c r="F364" s="21" t="n"/>
      <c r="G364" s="20" t="n"/>
      <c r="H364" s="24" t="str">
        <f>IF(E364="","",IF(N(F364)&gt;=E364,"Paid",IF(AND(D364&lt;&gt;"",D364&lt;TODAY()),"Overdue",IF(N(F364)&gt;0,"Part paid","Upcoming"))))</f>
        <v/>
      </c>
      <c r="I364" s="5" t="n"/>
    </row>
    <row r="365">
      <c r="A365" s="14" t="n"/>
      <c r="B365" s="23" t="str">
        <f>IF(A365="","",IFERROR(INDEX('Units &amp; sales'!$I$12:$I$311,MATCH(A365,'Units &amp; sales'!$C$12:$C$311,0))&amp;"",""))</f>
        <v/>
      </c>
      <c r="C365" s="5" t="n"/>
      <c r="D365" s="20" t="n"/>
      <c r="E365" s="21" t="n"/>
      <c r="F365" s="21" t="n"/>
      <c r="G365" s="20" t="n"/>
      <c r="H365" s="24" t="str">
        <f>IF(E365="","",IF(N(F365)&gt;=E365,"Paid",IF(AND(D365&lt;&gt;"",D365&lt;TODAY()),"Overdue",IF(N(F365)&gt;0,"Part paid","Upcoming"))))</f>
        <v/>
      </c>
      <c r="I365" s="5" t="n"/>
    </row>
    <row r="366">
      <c r="A366" s="14" t="n"/>
      <c r="B366" s="23" t="str">
        <f>IF(A366="","",IFERROR(INDEX('Units &amp; sales'!$I$12:$I$311,MATCH(A366,'Units &amp; sales'!$C$12:$C$311,0))&amp;"",""))</f>
        <v/>
      </c>
      <c r="C366" s="5" t="n"/>
      <c r="D366" s="20" t="n"/>
      <c r="E366" s="21" t="n"/>
      <c r="F366" s="21" t="n"/>
      <c r="G366" s="20" t="n"/>
      <c r="H366" s="24" t="str">
        <f>IF(E366="","",IF(N(F366)&gt;=E366,"Paid",IF(AND(D366&lt;&gt;"",D366&lt;TODAY()),"Overdue",IF(N(F366)&gt;0,"Part paid","Upcoming"))))</f>
        <v/>
      </c>
      <c r="I366" s="5" t="n"/>
    </row>
    <row r="367">
      <c r="A367" s="14" t="n"/>
      <c r="B367" s="23" t="str">
        <f>IF(A367="","",IFERROR(INDEX('Units &amp; sales'!$I$12:$I$311,MATCH(A367,'Units &amp; sales'!$C$12:$C$311,0))&amp;"",""))</f>
        <v/>
      </c>
      <c r="C367" s="5" t="n"/>
      <c r="D367" s="20" t="n"/>
      <c r="E367" s="21" t="n"/>
      <c r="F367" s="21" t="n"/>
      <c r="G367" s="20" t="n"/>
      <c r="H367" s="24" t="str">
        <f>IF(E367="","",IF(N(F367)&gt;=E367,"Paid",IF(AND(D367&lt;&gt;"",D367&lt;TODAY()),"Overdue",IF(N(F367)&gt;0,"Part paid","Upcoming"))))</f>
        <v/>
      </c>
      <c r="I367" s="5" t="n"/>
    </row>
    <row r="368">
      <c r="A368" s="14" t="n"/>
      <c r="B368" s="23" t="str">
        <f>IF(A368="","",IFERROR(INDEX('Units &amp; sales'!$I$12:$I$311,MATCH(A368,'Units &amp; sales'!$C$12:$C$311,0))&amp;"",""))</f>
        <v/>
      </c>
      <c r="C368" s="5" t="n"/>
      <c r="D368" s="20" t="n"/>
      <c r="E368" s="21" t="n"/>
      <c r="F368" s="21" t="n"/>
      <c r="G368" s="20" t="n"/>
      <c r="H368" s="24" t="str">
        <f>IF(E368="","",IF(N(F368)&gt;=E368,"Paid",IF(AND(D368&lt;&gt;"",D368&lt;TODAY()),"Overdue",IF(N(F368)&gt;0,"Part paid","Upcoming"))))</f>
        <v/>
      </c>
      <c r="I368" s="5" t="n"/>
    </row>
    <row r="369">
      <c r="A369" s="14" t="n"/>
      <c r="B369" s="23" t="str">
        <f>IF(A369="","",IFERROR(INDEX('Units &amp; sales'!$I$12:$I$311,MATCH(A369,'Units &amp; sales'!$C$12:$C$311,0))&amp;"",""))</f>
        <v/>
      </c>
      <c r="C369" s="5" t="n"/>
      <c r="D369" s="20" t="n"/>
      <c r="E369" s="21" t="n"/>
      <c r="F369" s="21" t="n"/>
      <c r="G369" s="20" t="n"/>
      <c r="H369" s="24" t="str">
        <f>IF(E369="","",IF(N(F369)&gt;=E369,"Paid",IF(AND(D369&lt;&gt;"",D369&lt;TODAY()),"Overdue",IF(N(F369)&gt;0,"Part paid","Upcoming"))))</f>
        <v/>
      </c>
      <c r="I369" s="5" t="n"/>
    </row>
    <row r="370">
      <c r="A370" s="14" t="n"/>
      <c r="B370" s="23" t="str">
        <f>IF(A370="","",IFERROR(INDEX('Units &amp; sales'!$I$12:$I$311,MATCH(A370,'Units &amp; sales'!$C$12:$C$311,0))&amp;"",""))</f>
        <v/>
      </c>
      <c r="C370" s="5" t="n"/>
      <c r="D370" s="20" t="n"/>
      <c r="E370" s="21" t="n"/>
      <c r="F370" s="21" t="n"/>
      <c r="G370" s="20" t="n"/>
      <c r="H370" s="24" t="str">
        <f>IF(E370="","",IF(N(F370)&gt;=E370,"Paid",IF(AND(D370&lt;&gt;"",D370&lt;TODAY()),"Overdue",IF(N(F370)&gt;0,"Part paid","Upcoming"))))</f>
        <v/>
      </c>
      <c r="I370" s="5" t="n"/>
    </row>
    <row r="371">
      <c r="A371" s="14" t="n"/>
      <c r="B371" s="23" t="str">
        <f>IF(A371="","",IFERROR(INDEX('Units &amp; sales'!$I$12:$I$311,MATCH(A371,'Units &amp; sales'!$C$12:$C$311,0))&amp;"",""))</f>
        <v/>
      </c>
      <c r="C371" s="5" t="n"/>
      <c r="D371" s="20" t="n"/>
      <c r="E371" s="21" t="n"/>
      <c r="F371" s="21" t="n"/>
      <c r="G371" s="20" t="n"/>
      <c r="H371" s="24" t="str">
        <f>IF(E371="","",IF(N(F371)&gt;=E371,"Paid",IF(AND(D371&lt;&gt;"",D371&lt;TODAY()),"Overdue",IF(N(F371)&gt;0,"Part paid","Upcoming"))))</f>
        <v/>
      </c>
      <c r="I371" s="5" t="n"/>
    </row>
    <row r="372">
      <c r="A372" s="14" t="n"/>
      <c r="B372" s="23" t="str">
        <f>IF(A372="","",IFERROR(INDEX('Units &amp; sales'!$I$12:$I$311,MATCH(A372,'Units &amp; sales'!$C$12:$C$311,0))&amp;"",""))</f>
        <v/>
      </c>
      <c r="C372" s="5" t="n"/>
      <c r="D372" s="20" t="n"/>
      <c r="E372" s="21" t="n"/>
      <c r="F372" s="21" t="n"/>
      <c r="G372" s="20" t="n"/>
      <c r="H372" s="24" t="str">
        <f>IF(E372="","",IF(N(F372)&gt;=E372,"Paid",IF(AND(D372&lt;&gt;"",D372&lt;TODAY()),"Overdue",IF(N(F372)&gt;0,"Part paid","Upcoming"))))</f>
        <v/>
      </c>
      <c r="I372" s="5" t="n"/>
    </row>
    <row r="373">
      <c r="A373" s="14" t="n"/>
      <c r="B373" s="23" t="str">
        <f>IF(A373="","",IFERROR(INDEX('Units &amp; sales'!$I$12:$I$311,MATCH(A373,'Units &amp; sales'!$C$12:$C$311,0))&amp;"",""))</f>
        <v/>
      </c>
      <c r="C373" s="5" t="n"/>
      <c r="D373" s="20" t="n"/>
      <c r="E373" s="21" t="n"/>
      <c r="F373" s="21" t="n"/>
      <c r="G373" s="20" t="n"/>
      <c r="H373" s="24" t="str">
        <f>IF(E373="","",IF(N(F373)&gt;=E373,"Paid",IF(AND(D373&lt;&gt;"",D373&lt;TODAY()),"Overdue",IF(N(F373)&gt;0,"Part paid","Upcoming"))))</f>
        <v/>
      </c>
      <c r="I373" s="5" t="n"/>
    </row>
    <row r="374">
      <c r="A374" s="14" t="n"/>
      <c r="B374" s="23" t="str">
        <f>IF(A374="","",IFERROR(INDEX('Units &amp; sales'!$I$12:$I$311,MATCH(A374,'Units &amp; sales'!$C$12:$C$311,0))&amp;"",""))</f>
        <v/>
      </c>
      <c r="C374" s="5" t="n"/>
      <c r="D374" s="20" t="n"/>
      <c r="E374" s="21" t="n"/>
      <c r="F374" s="21" t="n"/>
      <c r="G374" s="20" t="n"/>
      <c r="H374" s="24" t="str">
        <f>IF(E374="","",IF(N(F374)&gt;=E374,"Paid",IF(AND(D374&lt;&gt;"",D374&lt;TODAY()),"Overdue",IF(N(F374)&gt;0,"Part paid","Upcoming"))))</f>
        <v/>
      </c>
      <c r="I374" s="5" t="n"/>
    </row>
    <row r="375">
      <c r="A375" s="14" t="n"/>
      <c r="B375" s="23" t="str">
        <f>IF(A375="","",IFERROR(INDEX('Units &amp; sales'!$I$12:$I$311,MATCH(A375,'Units &amp; sales'!$C$12:$C$311,0))&amp;"",""))</f>
        <v/>
      </c>
      <c r="C375" s="5" t="n"/>
      <c r="D375" s="20" t="n"/>
      <c r="E375" s="21" t="n"/>
      <c r="F375" s="21" t="n"/>
      <c r="G375" s="20" t="n"/>
      <c r="H375" s="24" t="str">
        <f>IF(E375="","",IF(N(F375)&gt;=E375,"Paid",IF(AND(D375&lt;&gt;"",D375&lt;TODAY()),"Overdue",IF(N(F375)&gt;0,"Part paid","Upcoming"))))</f>
        <v/>
      </c>
      <c r="I375" s="5" t="n"/>
    </row>
    <row r="376">
      <c r="A376" s="14" t="n"/>
      <c r="B376" s="23" t="str">
        <f>IF(A376="","",IFERROR(INDEX('Units &amp; sales'!$I$12:$I$311,MATCH(A376,'Units &amp; sales'!$C$12:$C$311,0))&amp;"",""))</f>
        <v/>
      </c>
      <c r="C376" s="5" t="n"/>
      <c r="D376" s="20" t="n"/>
      <c r="E376" s="21" t="n"/>
      <c r="F376" s="21" t="n"/>
      <c r="G376" s="20" t="n"/>
      <c r="H376" s="24" t="str">
        <f>IF(E376="","",IF(N(F376)&gt;=E376,"Paid",IF(AND(D376&lt;&gt;"",D376&lt;TODAY()),"Overdue",IF(N(F376)&gt;0,"Part paid","Upcoming"))))</f>
        <v/>
      </c>
      <c r="I376" s="5" t="n"/>
    </row>
    <row r="377">
      <c r="A377" s="14" t="n"/>
      <c r="B377" s="23" t="str">
        <f>IF(A377="","",IFERROR(INDEX('Units &amp; sales'!$I$12:$I$311,MATCH(A377,'Units &amp; sales'!$C$12:$C$311,0))&amp;"",""))</f>
        <v/>
      </c>
      <c r="C377" s="5" t="n"/>
      <c r="D377" s="20" t="n"/>
      <c r="E377" s="21" t="n"/>
      <c r="F377" s="21" t="n"/>
      <c r="G377" s="20" t="n"/>
      <c r="H377" s="24" t="str">
        <f>IF(E377="","",IF(N(F377)&gt;=E377,"Paid",IF(AND(D377&lt;&gt;"",D377&lt;TODAY()),"Overdue",IF(N(F377)&gt;0,"Part paid","Upcoming"))))</f>
        <v/>
      </c>
      <c r="I377" s="5" t="n"/>
    </row>
    <row r="378">
      <c r="A378" s="14" t="n"/>
      <c r="B378" s="23" t="str">
        <f>IF(A378="","",IFERROR(INDEX('Units &amp; sales'!$I$12:$I$311,MATCH(A378,'Units &amp; sales'!$C$12:$C$311,0))&amp;"",""))</f>
        <v/>
      </c>
      <c r="C378" s="5" t="n"/>
      <c r="D378" s="20" t="n"/>
      <c r="E378" s="21" t="n"/>
      <c r="F378" s="21" t="n"/>
      <c r="G378" s="20" t="n"/>
      <c r="H378" s="24" t="str">
        <f>IF(E378="","",IF(N(F378)&gt;=E378,"Paid",IF(AND(D378&lt;&gt;"",D378&lt;TODAY()),"Overdue",IF(N(F378)&gt;0,"Part paid","Upcoming"))))</f>
        <v/>
      </c>
      <c r="I378" s="5" t="n"/>
    </row>
    <row r="379">
      <c r="A379" s="14" t="n"/>
      <c r="B379" s="23" t="str">
        <f>IF(A379="","",IFERROR(INDEX('Units &amp; sales'!$I$12:$I$311,MATCH(A379,'Units &amp; sales'!$C$12:$C$311,0))&amp;"",""))</f>
        <v/>
      </c>
      <c r="C379" s="5" t="n"/>
      <c r="D379" s="20" t="n"/>
      <c r="E379" s="21" t="n"/>
      <c r="F379" s="21" t="n"/>
      <c r="G379" s="20" t="n"/>
      <c r="H379" s="24" t="str">
        <f>IF(E379="","",IF(N(F379)&gt;=E379,"Paid",IF(AND(D379&lt;&gt;"",D379&lt;TODAY()),"Overdue",IF(N(F379)&gt;0,"Part paid","Upcoming"))))</f>
        <v/>
      </c>
      <c r="I379" s="5" t="n"/>
    </row>
    <row r="380">
      <c r="A380" s="14" t="n"/>
      <c r="B380" s="23" t="str">
        <f>IF(A380="","",IFERROR(INDEX('Units &amp; sales'!$I$12:$I$311,MATCH(A380,'Units &amp; sales'!$C$12:$C$311,0))&amp;"",""))</f>
        <v/>
      </c>
      <c r="C380" s="5" t="n"/>
      <c r="D380" s="20" t="n"/>
      <c r="E380" s="21" t="n"/>
      <c r="F380" s="21" t="n"/>
      <c r="G380" s="20" t="n"/>
      <c r="H380" s="24" t="str">
        <f>IF(E380="","",IF(N(F380)&gt;=E380,"Paid",IF(AND(D380&lt;&gt;"",D380&lt;TODAY()),"Overdue",IF(N(F380)&gt;0,"Part paid","Upcoming"))))</f>
        <v/>
      </c>
      <c r="I380" s="5" t="n"/>
    </row>
    <row r="381">
      <c r="A381" s="14" t="n"/>
      <c r="B381" s="23" t="str">
        <f>IF(A381="","",IFERROR(INDEX('Units &amp; sales'!$I$12:$I$311,MATCH(A381,'Units &amp; sales'!$C$12:$C$311,0))&amp;"",""))</f>
        <v/>
      </c>
      <c r="C381" s="5" t="n"/>
      <c r="D381" s="20" t="n"/>
      <c r="E381" s="21" t="n"/>
      <c r="F381" s="21" t="n"/>
      <c r="G381" s="20" t="n"/>
      <c r="H381" s="24" t="str">
        <f>IF(E381="","",IF(N(F381)&gt;=E381,"Paid",IF(AND(D381&lt;&gt;"",D381&lt;TODAY()),"Overdue",IF(N(F381)&gt;0,"Part paid","Upcoming"))))</f>
        <v/>
      </c>
      <c r="I381" s="5" t="n"/>
    </row>
    <row r="382">
      <c r="A382" s="14" t="n"/>
      <c r="B382" s="23" t="str">
        <f>IF(A382="","",IFERROR(INDEX('Units &amp; sales'!$I$12:$I$311,MATCH(A382,'Units &amp; sales'!$C$12:$C$311,0))&amp;"",""))</f>
        <v/>
      </c>
      <c r="C382" s="5" t="n"/>
      <c r="D382" s="20" t="n"/>
      <c r="E382" s="21" t="n"/>
      <c r="F382" s="21" t="n"/>
      <c r="G382" s="20" t="n"/>
      <c r="H382" s="24" t="str">
        <f>IF(E382="","",IF(N(F382)&gt;=E382,"Paid",IF(AND(D382&lt;&gt;"",D382&lt;TODAY()),"Overdue",IF(N(F382)&gt;0,"Part paid","Upcoming"))))</f>
        <v/>
      </c>
      <c r="I382" s="5" t="n"/>
    </row>
    <row r="383">
      <c r="A383" s="14" t="n"/>
      <c r="B383" s="23" t="str">
        <f>IF(A383="","",IFERROR(INDEX('Units &amp; sales'!$I$12:$I$311,MATCH(A383,'Units &amp; sales'!$C$12:$C$311,0))&amp;"",""))</f>
        <v/>
      </c>
      <c r="C383" s="5" t="n"/>
      <c r="D383" s="20" t="n"/>
      <c r="E383" s="21" t="n"/>
      <c r="F383" s="21" t="n"/>
      <c r="G383" s="20" t="n"/>
      <c r="H383" s="24" t="str">
        <f>IF(E383="","",IF(N(F383)&gt;=E383,"Paid",IF(AND(D383&lt;&gt;"",D383&lt;TODAY()),"Overdue",IF(N(F383)&gt;0,"Part paid","Upcoming"))))</f>
        <v/>
      </c>
      <c r="I383" s="5" t="n"/>
    </row>
    <row r="384">
      <c r="A384" s="14" t="n"/>
      <c r="B384" s="23" t="str">
        <f>IF(A384="","",IFERROR(INDEX('Units &amp; sales'!$I$12:$I$311,MATCH(A384,'Units &amp; sales'!$C$12:$C$311,0))&amp;"",""))</f>
        <v/>
      </c>
      <c r="C384" s="5" t="n"/>
      <c r="D384" s="20" t="n"/>
      <c r="E384" s="21" t="n"/>
      <c r="F384" s="21" t="n"/>
      <c r="G384" s="20" t="n"/>
      <c r="H384" s="24" t="str">
        <f>IF(E384="","",IF(N(F384)&gt;=E384,"Paid",IF(AND(D384&lt;&gt;"",D384&lt;TODAY()),"Overdue",IF(N(F384)&gt;0,"Part paid","Upcoming"))))</f>
        <v/>
      </c>
      <c r="I384" s="5" t="n"/>
    </row>
    <row r="385">
      <c r="A385" s="14" t="n"/>
      <c r="B385" s="23" t="str">
        <f>IF(A385="","",IFERROR(INDEX('Units &amp; sales'!$I$12:$I$311,MATCH(A385,'Units &amp; sales'!$C$12:$C$311,0))&amp;"",""))</f>
        <v/>
      </c>
      <c r="C385" s="5" t="n"/>
      <c r="D385" s="20" t="n"/>
      <c r="E385" s="21" t="n"/>
      <c r="F385" s="21" t="n"/>
      <c r="G385" s="20" t="n"/>
      <c r="H385" s="24" t="str">
        <f>IF(E385="","",IF(N(F385)&gt;=E385,"Paid",IF(AND(D385&lt;&gt;"",D385&lt;TODAY()),"Overdue",IF(N(F385)&gt;0,"Part paid","Upcoming"))))</f>
        <v/>
      </c>
      <c r="I385" s="5" t="n"/>
    </row>
    <row r="386">
      <c r="A386" s="14" t="n"/>
      <c r="B386" s="23" t="str">
        <f>IF(A386="","",IFERROR(INDEX('Units &amp; sales'!$I$12:$I$311,MATCH(A386,'Units &amp; sales'!$C$12:$C$311,0))&amp;"",""))</f>
        <v/>
      </c>
      <c r="C386" s="5" t="n"/>
      <c r="D386" s="20" t="n"/>
      <c r="E386" s="21" t="n"/>
      <c r="F386" s="21" t="n"/>
      <c r="G386" s="20" t="n"/>
      <c r="H386" s="24" t="str">
        <f>IF(E386="","",IF(N(F386)&gt;=E386,"Paid",IF(AND(D386&lt;&gt;"",D386&lt;TODAY()),"Overdue",IF(N(F386)&gt;0,"Part paid","Upcoming"))))</f>
        <v/>
      </c>
      <c r="I386" s="5" t="n"/>
    </row>
    <row r="387">
      <c r="A387" s="14" t="n"/>
      <c r="B387" s="23" t="str">
        <f>IF(A387="","",IFERROR(INDEX('Units &amp; sales'!$I$12:$I$311,MATCH(A387,'Units &amp; sales'!$C$12:$C$311,0))&amp;"",""))</f>
        <v/>
      </c>
      <c r="C387" s="5" t="n"/>
      <c r="D387" s="20" t="n"/>
      <c r="E387" s="21" t="n"/>
      <c r="F387" s="21" t="n"/>
      <c r="G387" s="20" t="n"/>
      <c r="H387" s="24" t="str">
        <f>IF(E387="","",IF(N(F387)&gt;=E387,"Paid",IF(AND(D387&lt;&gt;"",D387&lt;TODAY()),"Overdue",IF(N(F387)&gt;0,"Part paid","Upcoming"))))</f>
        <v/>
      </c>
      <c r="I387" s="5" t="n"/>
    </row>
    <row r="388">
      <c r="A388" s="14" t="n"/>
      <c r="B388" s="23" t="str">
        <f>IF(A388="","",IFERROR(INDEX('Units &amp; sales'!$I$12:$I$311,MATCH(A388,'Units &amp; sales'!$C$12:$C$311,0))&amp;"",""))</f>
        <v/>
      </c>
      <c r="C388" s="5" t="n"/>
      <c r="D388" s="20" t="n"/>
      <c r="E388" s="21" t="n"/>
      <c r="F388" s="21" t="n"/>
      <c r="G388" s="20" t="n"/>
      <c r="H388" s="24" t="str">
        <f>IF(E388="","",IF(N(F388)&gt;=E388,"Paid",IF(AND(D388&lt;&gt;"",D388&lt;TODAY()),"Overdue",IF(N(F388)&gt;0,"Part paid","Upcoming"))))</f>
        <v/>
      </c>
      <c r="I388" s="5" t="n"/>
    </row>
    <row r="389">
      <c r="A389" s="14" t="n"/>
      <c r="B389" s="23" t="str">
        <f>IF(A389="","",IFERROR(INDEX('Units &amp; sales'!$I$12:$I$311,MATCH(A389,'Units &amp; sales'!$C$12:$C$311,0))&amp;"",""))</f>
        <v/>
      </c>
      <c r="C389" s="5" t="n"/>
      <c r="D389" s="20" t="n"/>
      <c r="E389" s="21" t="n"/>
      <c r="F389" s="21" t="n"/>
      <c r="G389" s="20" t="n"/>
      <c r="H389" s="24" t="str">
        <f>IF(E389="","",IF(N(F389)&gt;=E389,"Paid",IF(AND(D389&lt;&gt;"",D389&lt;TODAY()),"Overdue",IF(N(F389)&gt;0,"Part paid","Upcoming"))))</f>
        <v/>
      </c>
      <c r="I389" s="5" t="n"/>
    </row>
    <row r="390">
      <c r="A390" s="14" t="n"/>
      <c r="B390" s="23" t="str">
        <f>IF(A390="","",IFERROR(INDEX('Units &amp; sales'!$I$12:$I$311,MATCH(A390,'Units &amp; sales'!$C$12:$C$311,0))&amp;"",""))</f>
        <v/>
      </c>
      <c r="C390" s="5" t="n"/>
      <c r="D390" s="20" t="n"/>
      <c r="E390" s="21" t="n"/>
      <c r="F390" s="21" t="n"/>
      <c r="G390" s="20" t="n"/>
      <c r="H390" s="24" t="str">
        <f>IF(E390="","",IF(N(F390)&gt;=E390,"Paid",IF(AND(D390&lt;&gt;"",D390&lt;TODAY()),"Overdue",IF(N(F390)&gt;0,"Part paid","Upcoming"))))</f>
        <v/>
      </c>
      <c r="I390" s="5" t="n"/>
    </row>
    <row r="391">
      <c r="A391" s="14" t="n"/>
      <c r="B391" s="23" t="str">
        <f>IF(A391="","",IFERROR(INDEX('Units &amp; sales'!$I$12:$I$311,MATCH(A391,'Units &amp; sales'!$C$12:$C$311,0))&amp;"",""))</f>
        <v/>
      </c>
      <c r="C391" s="5" t="n"/>
      <c r="D391" s="20" t="n"/>
      <c r="E391" s="21" t="n"/>
      <c r="F391" s="21" t="n"/>
      <c r="G391" s="20" t="n"/>
      <c r="H391" s="24" t="str">
        <f>IF(E391="","",IF(N(F391)&gt;=E391,"Paid",IF(AND(D391&lt;&gt;"",D391&lt;TODAY()),"Overdue",IF(N(F391)&gt;0,"Part paid","Upcoming"))))</f>
        <v/>
      </c>
      <c r="I391" s="5" t="n"/>
    </row>
    <row r="392">
      <c r="A392" s="14" t="n"/>
      <c r="B392" s="23" t="str">
        <f>IF(A392="","",IFERROR(INDEX('Units &amp; sales'!$I$12:$I$311,MATCH(A392,'Units &amp; sales'!$C$12:$C$311,0))&amp;"",""))</f>
        <v/>
      </c>
      <c r="C392" s="5" t="n"/>
      <c r="D392" s="20" t="n"/>
      <c r="E392" s="21" t="n"/>
      <c r="F392" s="21" t="n"/>
      <c r="G392" s="20" t="n"/>
      <c r="H392" s="24" t="str">
        <f>IF(E392="","",IF(N(F392)&gt;=E392,"Paid",IF(AND(D392&lt;&gt;"",D392&lt;TODAY()),"Overdue",IF(N(F392)&gt;0,"Part paid","Upcoming"))))</f>
        <v/>
      </c>
      <c r="I392" s="5" t="n"/>
    </row>
    <row r="393">
      <c r="A393" s="14" t="n"/>
      <c r="B393" s="23" t="str">
        <f>IF(A393="","",IFERROR(INDEX('Units &amp; sales'!$I$12:$I$311,MATCH(A393,'Units &amp; sales'!$C$12:$C$311,0))&amp;"",""))</f>
        <v/>
      </c>
      <c r="C393" s="5" t="n"/>
      <c r="D393" s="20" t="n"/>
      <c r="E393" s="21" t="n"/>
      <c r="F393" s="21" t="n"/>
      <c r="G393" s="20" t="n"/>
      <c r="H393" s="24" t="str">
        <f>IF(E393="","",IF(N(F393)&gt;=E393,"Paid",IF(AND(D393&lt;&gt;"",D393&lt;TODAY()),"Overdue",IF(N(F393)&gt;0,"Part paid","Upcoming"))))</f>
        <v/>
      </c>
      <c r="I393" s="5" t="n"/>
    </row>
    <row r="394">
      <c r="A394" s="14" t="n"/>
      <c r="B394" s="23" t="str">
        <f>IF(A394="","",IFERROR(INDEX('Units &amp; sales'!$I$12:$I$311,MATCH(A394,'Units &amp; sales'!$C$12:$C$311,0))&amp;"",""))</f>
        <v/>
      </c>
      <c r="C394" s="5" t="n"/>
      <c r="D394" s="20" t="n"/>
      <c r="E394" s="21" t="n"/>
      <c r="F394" s="21" t="n"/>
      <c r="G394" s="20" t="n"/>
      <c r="H394" s="24" t="str">
        <f>IF(E394="","",IF(N(F394)&gt;=E394,"Paid",IF(AND(D394&lt;&gt;"",D394&lt;TODAY()),"Overdue",IF(N(F394)&gt;0,"Part paid","Upcoming"))))</f>
        <v/>
      </c>
      <c r="I394" s="5" t="n"/>
    </row>
    <row r="395">
      <c r="A395" s="14" t="n"/>
      <c r="B395" s="23" t="str">
        <f>IF(A395="","",IFERROR(INDEX('Units &amp; sales'!$I$12:$I$311,MATCH(A395,'Units &amp; sales'!$C$12:$C$311,0))&amp;"",""))</f>
        <v/>
      </c>
      <c r="C395" s="5" t="n"/>
      <c r="D395" s="20" t="n"/>
      <c r="E395" s="21" t="n"/>
      <c r="F395" s="21" t="n"/>
      <c r="G395" s="20" t="n"/>
      <c r="H395" s="24" t="str">
        <f>IF(E395="","",IF(N(F395)&gt;=E395,"Paid",IF(AND(D395&lt;&gt;"",D395&lt;TODAY()),"Overdue",IF(N(F395)&gt;0,"Part paid","Upcoming"))))</f>
        <v/>
      </c>
      <c r="I395" s="5" t="n"/>
    </row>
    <row r="396">
      <c r="A396" s="14" t="n"/>
      <c r="B396" s="23" t="str">
        <f>IF(A396="","",IFERROR(INDEX('Units &amp; sales'!$I$12:$I$311,MATCH(A396,'Units &amp; sales'!$C$12:$C$311,0))&amp;"",""))</f>
        <v/>
      </c>
      <c r="C396" s="5" t="n"/>
      <c r="D396" s="20" t="n"/>
      <c r="E396" s="21" t="n"/>
      <c r="F396" s="21" t="n"/>
      <c r="G396" s="20" t="n"/>
      <c r="H396" s="24" t="str">
        <f>IF(E396="","",IF(N(F396)&gt;=E396,"Paid",IF(AND(D396&lt;&gt;"",D396&lt;TODAY()),"Overdue",IF(N(F396)&gt;0,"Part paid","Upcoming"))))</f>
        <v/>
      </c>
      <c r="I396" s="5" t="n"/>
    </row>
    <row r="397">
      <c r="A397" s="14" t="n"/>
      <c r="B397" s="23" t="str">
        <f>IF(A397="","",IFERROR(INDEX('Units &amp; sales'!$I$12:$I$311,MATCH(A397,'Units &amp; sales'!$C$12:$C$311,0))&amp;"",""))</f>
        <v/>
      </c>
      <c r="C397" s="5" t="n"/>
      <c r="D397" s="20" t="n"/>
      <c r="E397" s="21" t="n"/>
      <c r="F397" s="21" t="n"/>
      <c r="G397" s="20" t="n"/>
      <c r="H397" s="24" t="str">
        <f>IF(E397="","",IF(N(F397)&gt;=E397,"Paid",IF(AND(D397&lt;&gt;"",D397&lt;TODAY()),"Overdue",IF(N(F397)&gt;0,"Part paid","Upcoming"))))</f>
        <v/>
      </c>
      <c r="I397" s="5" t="n"/>
    </row>
    <row r="398">
      <c r="A398" s="14" t="n"/>
      <c r="B398" s="23" t="str">
        <f>IF(A398="","",IFERROR(INDEX('Units &amp; sales'!$I$12:$I$311,MATCH(A398,'Units &amp; sales'!$C$12:$C$311,0))&amp;"",""))</f>
        <v/>
      </c>
      <c r="C398" s="5" t="n"/>
      <c r="D398" s="20" t="n"/>
      <c r="E398" s="21" t="n"/>
      <c r="F398" s="21" t="n"/>
      <c r="G398" s="20" t="n"/>
      <c r="H398" s="24" t="str">
        <f>IF(E398="","",IF(N(F398)&gt;=E398,"Paid",IF(AND(D398&lt;&gt;"",D398&lt;TODAY()),"Overdue",IF(N(F398)&gt;0,"Part paid","Upcoming"))))</f>
        <v/>
      </c>
      <c r="I398" s="5" t="n"/>
    </row>
    <row r="399">
      <c r="A399" s="14" t="n"/>
      <c r="B399" s="23" t="str">
        <f>IF(A399="","",IFERROR(INDEX('Units &amp; sales'!$I$12:$I$311,MATCH(A399,'Units &amp; sales'!$C$12:$C$311,0))&amp;"",""))</f>
        <v/>
      </c>
      <c r="C399" s="5" t="n"/>
      <c r="D399" s="20" t="n"/>
      <c r="E399" s="21" t="n"/>
      <c r="F399" s="21" t="n"/>
      <c r="G399" s="20" t="n"/>
      <c r="H399" s="24" t="str">
        <f>IF(E399="","",IF(N(F399)&gt;=E399,"Paid",IF(AND(D399&lt;&gt;"",D399&lt;TODAY()),"Overdue",IF(N(F399)&gt;0,"Part paid","Upcoming"))))</f>
        <v/>
      </c>
      <c r="I399" s="5" t="n"/>
    </row>
    <row r="400">
      <c r="A400" s="14" t="n"/>
      <c r="B400" s="23" t="str">
        <f>IF(A400="","",IFERROR(INDEX('Units &amp; sales'!$I$12:$I$311,MATCH(A400,'Units &amp; sales'!$C$12:$C$311,0))&amp;"",""))</f>
        <v/>
      </c>
      <c r="C400" s="5" t="n"/>
      <c r="D400" s="20" t="n"/>
      <c r="E400" s="21" t="n"/>
      <c r="F400" s="21" t="n"/>
      <c r="G400" s="20" t="n"/>
      <c r="H400" s="24" t="str">
        <f>IF(E400="","",IF(N(F400)&gt;=E400,"Paid",IF(AND(D400&lt;&gt;"",D400&lt;TODAY()),"Overdue",IF(N(F400)&gt;0,"Part paid","Upcoming"))))</f>
        <v/>
      </c>
      <c r="I400" s="5" t="n"/>
    </row>
    <row r="401">
      <c r="A401" s="14" t="n"/>
      <c r="B401" s="23" t="str">
        <f>IF(A401="","",IFERROR(INDEX('Units &amp; sales'!$I$12:$I$311,MATCH(A401,'Units &amp; sales'!$C$12:$C$311,0))&amp;"",""))</f>
        <v/>
      </c>
      <c r="C401" s="5" t="n"/>
      <c r="D401" s="20" t="n"/>
      <c r="E401" s="21" t="n"/>
      <c r="F401" s="21" t="n"/>
      <c r="G401" s="20" t="n"/>
      <c r="H401" s="24" t="str">
        <f>IF(E401="","",IF(N(F401)&gt;=E401,"Paid",IF(AND(D401&lt;&gt;"",D401&lt;TODAY()),"Overdue",IF(N(F401)&gt;0,"Part paid","Upcoming"))))</f>
        <v/>
      </c>
      <c r="I401" s="5" t="n"/>
    </row>
    <row r="402">
      <c r="A402" s="14" t="n"/>
      <c r="B402" s="23" t="str">
        <f>IF(A402="","",IFERROR(INDEX('Units &amp; sales'!$I$12:$I$311,MATCH(A402,'Units &amp; sales'!$C$12:$C$311,0))&amp;"",""))</f>
        <v/>
      </c>
      <c r="C402" s="5" t="n"/>
      <c r="D402" s="20" t="n"/>
      <c r="E402" s="21" t="n"/>
      <c r="F402" s="21" t="n"/>
      <c r="G402" s="20" t="n"/>
      <c r="H402" s="24" t="str">
        <f>IF(E402="","",IF(N(F402)&gt;=E402,"Paid",IF(AND(D402&lt;&gt;"",D402&lt;TODAY()),"Overdue",IF(N(F402)&gt;0,"Part paid","Upcoming"))))</f>
        <v/>
      </c>
      <c r="I402" s="5" t="n"/>
    </row>
    <row r="403">
      <c r="A403" s="14" t="n"/>
      <c r="B403" s="23" t="str">
        <f>IF(A403="","",IFERROR(INDEX('Units &amp; sales'!$I$12:$I$311,MATCH(A403,'Units &amp; sales'!$C$12:$C$311,0))&amp;"",""))</f>
        <v/>
      </c>
      <c r="C403" s="5" t="n"/>
      <c r="D403" s="20" t="n"/>
      <c r="E403" s="21" t="n"/>
      <c r="F403" s="21" t="n"/>
      <c r="G403" s="20" t="n"/>
      <c r="H403" s="24" t="str">
        <f>IF(E403="","",IF(N(F403)&gt;=E403,"Paid",IF(AND(D403&lt;&gt;"",D403&lt;TODAY()),"Overdue",IF(N(F403)&gt;0,"Part paid","Upcoming"))))</f>
        <v/>
      </c>
      <c r="I403" s="5" t="n"/>
    </row>
    <row r="404">
      <c r="A404" s="14" t="n"/>
      <c r="B404" s="23" t="str">
        <f>IF(A404="","",IFERROR(INDEX('Units &amp; sales'!$I$12:$I$311,MATCH(A404,'Units &amp; sales'!$C$12:$C$311,0))&amp;"",""))</f>
        <v/>
      </c>
      <c r="C404" s="5" t="n"/>
      <c r="D404" s="20" t="n"/>
      <c r="E404" s="21" t="n"/>
      <c r="F404" s="21" t="n"/>
      <c r="G404" s="20" t="n"/>
      <c r="H404" s="24" t="str">
        <f>IF(E404="","",IF(N(F404)&gt;=E404,"Paid",IF(AND(D404&lt;&gt;"",D404&lt;TODAY()),"Overdue",IF(N(F404)&gt;0,"Part paid","Upcoming"))))</f>
        <v/>
      </c>
      <c r="I404" s="5" t="n"/>
    </row>
    <row r="405">
      <c r="A405" s="14" t="n"/>
      <c r="B405" s="23" t="str">
        <f>IF(A405="","",IFERROR(INDEX('Units &amp; sales'!$I$12:$I$311,MATCH(A405,'Units &amp; sales'!$C$12:$C$311,0))&amp;"",""))</f>
        <v/>
      </c>
      <c r="C405" s="5" t="n"/>
      <c r="D405" s="20" t="n"/>
      <c r="E405" s="21" t="n"/>
      <c r="F405" s="21" t="n"/>
      <c r="G405" s="20" t="n"/>
      <c r="H405" s="24" t="str">
        <f>IF(E405="","",IF(N(F405)&gt;=E405,"Paid",IF(AND(D405&lt;&gt;"",D405&lt;TODAY()),"Overdue",IF(N(F405)&gt;0,"Part paid","Upcoming"))))</f>
        <v/>
      </c>
      <c r="I405" s="5" t="n"/>
    </row>
    <row r="406">
      <c r="A406" s="14" t="n"/>
      <c r="B406" s="23" t="str">
        <f>IF(A406="","",IFERROR(INDEX('Units &amp; sales'!$I$12:$I$311,MATCH(A406,'Units &amp; sales'!$C$12:$C$311,0))&amp;"",""))</f>
        <v/>
      </c>
      <c r="C406" s="5" t="n"/>
      <c r="D406" s="20" t="n"/>
      <c r="E406" s="21" t="n"/>
      <c r="F406" s="21" t="n"/>
      <c r="G406" s="20" t="n"/>
      <c r="H406" s="24" t="str">
        <f>IF(E406="","",IF(N(F406)&gt;=E406,"Paid",IF(AND(D406&lt;&gt;"",D406&lt;TODAY()),"Overdue",IF(N(F406)&gt;0,"Part paid","Upcoming"))))</f>
        <v/>
      </c>
      <c r="I406" s="5" t="n"/>
    </row>
    <row r="407">
      <c r="A407" s="14" t="n"/>
      <c r="B407" s="23" t="str">
        <f>IF(A407="","",IFERROR(INDEX('Units &amp; sales'!$I$12:$I$311,MATCH(A407,'Units &amp; sales'!$C$12:$C$311,0))&amp;"",""))</f>
        <v/>
      </c>
      <c r="C407" s="5" t="n"/>
      <c r="D407" s="20" t="n"/>
      <c r="E407" s="21" t="n"/>
      <c r="F407" s="21" t="n"/>
      <c r="G407" s="20" t="n"/>
      <c r="H407" s="24" t="str">
        <f>IF(E407="","",IF(N(F407)&gt;=E407,"Paid",IF(AND(D407&lt;&gt;"",D407&lt;TODAY()),"Overdue",IF(N(F407)&gt;0,"Part paid","Upcoming"))))</f>
        <v/>
      </c>
      <c r="I407" s="5" t="n"/>
    </row>
    <row r="408">
      <c r="A408" s="14" t="n"/>
      <c r="B408" s="23" t="str">
        <f>IF(A408="","",IFERROR(INDEX('Units &amp; sales'!$I$12:$I$311,MATCH(A408,'Units &amp; sales'!$C$12:$C$311,0))&amp;"",""))</f>
        <v/>
      </c>
      <c r="C408" s="5" t="n"/>
      <c r="D408" s="20" t="n"/>
      <c r="E408" s="21" t="n"/>
      <c r="F408" s="21" t="n"/>
      <c r="G408" s="20" t="n"/>
      <c r="H408" s="24" t="str">
        <f>IF(E408="","",IF(N(F408)&gt;=E408,"Paid",IF(AND(D408&lt;&gt;"",D408&lt;TODAY()),"Overdue",IF(N(F408)&gt;0,"Part paid","Upcoming"))))</f>
        <v/>
      </c>
      <c r="I408" s="5" t="n"/>
    </row>
    <row r="409">
      <c r="A409" s="14" t="n"/>
      <c r="B409" s="23" t="str">
        <f>IF(A409="","",IFERROR(INDEX('Units &amp; sales'!$I$12:$I$311,MATCH(A409,'Units &amp; sales'!$C$12:$C$311,0))&amp;"",""))</f>
        <v/>
      </c>
      <c r="C409" s="5" t="n"/>
      <c r="D409" s="20" t="n"/>
      <c r="E409" s="21" t="n"/>
      <c r="F409" s="21" t="n"/>
      <c r="G409" s="20" t="n"/>
      <c r="H409" s="24" t="str">
        <f>IF(E409="","",IF(N(F409)&gt;=E409,"Paid",IF(AND(D409&lt;&gt;"",D409&lt;TODAY()),"Overdue",IF(N(F409)&gt;0,"Part paid","Upcoming"))))</f>
        <v/>
      </c>
      <c r="I409" s="5" t="n"/>
    </row>
    <row r="410">
      <c r="A410" s="14" t="n"/>
      <c r="B410" s="23" t="str">
        <f>IF(A410="","",IFERROR(INDEX('Units &amp; sales'!$I$12:$I$311,MATCH(A410,'Units &amp; sales'!$C$12:$C$311,0))&amp;"",""))</f>
        <v/>
      </c>
      <c r="C410" s="5" t="n"/>
      <c r="D410" s="20" t="n"/>
      <c r="E410" s="21" t="n"/>
      <c r="F410" s="21" t="n"/>
      <c r="G410" s="20" t="n"/>
      <c r="H410" s="24" t="str">
        <f>IF(E410="","",IF(N(F410)&gt;=E410,"Paid",IF(AND(D410&lt;&gt;"",D410&lt;TODAY()),"Overdue",IF(N(F410)&gt;0,"Part paid","Upcoming"))))</f>
        <v/>
      </c>
      <c r="I410" s="5" t="n"/>
    </row>
    <row r="411">
      <c r="A411" s="14" t="n"/>
      <c r="B411" s="23" t="str">
        <f>IF(A411="","",IFERROR(INDEX('Units &amp; sales'!$I$12:$I$311,MATCH(A411,'Units &amp; sales'!$C$12:$C$311,0))&amp;"",""))</f>
        <v/>
      </c>
      <c r="C411" s="5" t="n"/>
      <c r="D411" s="20" t="n"/>
      <c r="E411" s="21" t="n"/>
      <c r="F411" s="21" t="n"/>
      <c r="G411" s="20" t="n"/>
      <c r="H411" s="24" t="str">
        <f>IF(E411="","",IF(N(F411)&gt;=E411,"Paid",IF(AND(D411&lt;&gt;"",D411&lt;TODAY()),"Overdue",IF(N(F411)&gt;0,"Part paid","Upcoming"))))</f>
        <v/>
      </c>
      <c r="I411" s="5" t="n"/>
    </row>
    <row r="412">
      <c r="A412" s="14" t="n"/>
      <c r="B412" s="23" t="str">
        <f>IF(A412="","",IFERROR(INDEX('Units &amp; sales'!$I$12:$I$311,MATCH(A412,'Units &amp; sales'!$C$12:$C$311,0))&amp;"",""))</f>
        <v/>
      </c>
      <c r="C412" s="5" t="n"/>
      <c r="D412" s="20" t="n"/>
      <c r="E412" s="21" t="n"/>
      <c r="F412" s="21" t="n"/>
      <c r="G412" s="20" t="n"/>
      <c r="H412" s="24" t="str">
        <f>IF(E412="","",IF(N(F412)&gt;=E412,"Paid",IF(AND(D412&lt;&gt;"",D412&lt;TODAY()),"Overdue",IF(N(F412)&gt;0,"Part paid","Upcoming"))))</f>
        <v/>
      </c>
      <c r="I412" s="5" t="n"/>
    </row>
    <row r="413">
      <c r="A413" s="14" t="n"/>
      <c r="B413" s="23" t="str">
        <f>IF(A413="","",IFERROR(INDEX('Units &amp; sales'!$I$12:$I$311,MATCH(A413,'Units &amp; sales'!$C$12:$C$311,0))&amp;"",""))</f>
        <v/>
      </c>
      <c r="C413" s="5" t="n"/>
      <c r="D413" s="20" t="n"/>
      <c r="E413" s="21" t="n"/>
      <c r="F413" s="21" t="n"/>
      <c r="G413" s="20" t="n"/>
      <c r="H413" s="24" t="str">
        <f>IF(E413="","",IF(N(F413)&gt;=E413,"Paid",IF(AND(D413&lt;&gt;"",D413&lt;TODAY()),"Overdue",IF(N(F413)&gt;0,"Part paid","Upcoming"))))</f>
        <v/>
      </c>
      <c r="I413" s="5" t="n"/>
    </row>
    <row r="414">
      <c r="A414" s="14" t="n"/>
      <c r="B414" s="23" t="str">
        <f>IF(A414="","",IFERROR(INDEX('Units &amp; sales'!$I$12:$I$311,MATCH(A414,'Units &amp; sales'!$C$12:$C$311,0))&amp;"",""))</f>
        <v/>
      </c>
      <c r="C414" s="5" t="n"/>
      <c r="D414" s="20" t="n"/>
      <c r="E414" s="21" t="n"/>
      <c r="F414" s="21" t="n"/>
      <c r="G414" s="20" t="n"/>
      <c r="H414" s="24" t="str">
        <f>IF(E414="","",IF(N(F414)&gt;=E414,"Paid",IF(AND(D414&lt;&gt;"",D414&lt;TODAY()),"Overdue",IF(N(F414)&gt;0,"Part paid","Upcoming"))))</f>
        <v/>
      </c>
      <c r="I414" s="5" t="n"/>
    </row>
    <row r="415">
      <c r="A415" s="14" t="n"/>
      <c r="B415" s="23" t="str">
        <f>IF(A415="","",IFERROR(INDEX('Units &amp; sales'!$I$12:$I$311,MATCH(A415,'Units &amp; sales'!$C$12:$C$311,0))&amp;"",""))</f>
        <v/>
      </c>
      <c r="C415" s="5" t="n"/>
      <c r="D415" s="20" t="n"/>
      <c r="E415" s="21" t="n"/>
      <c r="F415" s="21" t="n"/>
      <c r="G415" s="20" t="n"/>
      <c r="H415" s="24" t="str">
        <f>IF(E415="","",IF(N(F415)&gt;=E415,"Paid",IF(AND(D415&lt;&gt;"",D415&lt;TODAY()),"Overdue",IF(N(F415)&gt;0,"Part paid","Upcoming"))))</f>
        <v/>
      </c>
      <c r="I415" s="5" t="n"/>
    </row>
    <row r="416">
      <c r="A416" s="14" t="n"/>
      <c r="B416" s="23" t="str">
        <f>IF(A416="","",IFERROR(INDEX('Units &amp; sales'!$I$12:$I$311,MATCH(A416,'Units &amp; sales'!$C$12:$C$311,0))&amp;"",""))</f>
        <v/>
      </c>
      <c r="C416" s="5" t="n"/>
      <c r="D416" s="20" t="n"/>
      <c r="E416" s="21" t="n"/>
      <c r="F416" s="21" t="n"/>
      <c r="G416" s="20" t="n"/>
      <c r="H416" s="24" t="str">
        <f>IF(E416="","",IF(N(F416)&gt;=E416,"Paid",IF(AND(D416&lt;&gt;"",D416&lt;TODAY()),"Overdue",IF(N(F416)&gt;0,"Part paid","Upcoming"))))</f>
        <v/>
      </c>
      <c r="I416" s="5" t="n"/>
    </row>
    <row r="417">
      <c r="A417" s="14" t="n"/>
      <c r="B417" s="23" t="str">
        <f>IF(A417="","",IFERROR(INDEX('Units &amp; sales'!$I$12:$I$311,MATCH(A417,'Units &amp; sales'!$C$12:$C$311,0))&amp;"",""))</f>
        <v/>
      </c>
      <c r="C417" s="5" t="n"/>
      <c r="D417" s="20" t="n"/>
      <c r="E417" s="21" t="n"/>
      <c r="F417" s="21" t="n"/>
      <c r="G417" s="20" t="n"/>
      <c r="H417" s="24" t="str">
        <f>IF(E417="","",IF(N(F417)&gt;=E417,"Paid",IF(AND(D417&lt;&gt;"",D417&lt;TODAY()),"Overdue",IF(N(F417)&gt;0,"Part paid","Upcoming"))))</f>
        <v/>
      </c>
      <c r="I417" s="5" t="n"/>
    </row>
    <row r="418">
      <c r="A418" s="14" t="n"/>
      <c r="B418" s="23" t="str">
        <f>IF(A418="","",IFERROR(INDEX('Units &amp; sales'!$I$12:$I$311,MATCH(A418,'Units &amp; sales'!$C$12:$C$311,0))&amp;"",""))</f>
        <v/>
      </c>
      <c r="C418" s="5" t="n"/>
      <c r="D418" s="20" t="n"/>
      <c r="E418" s="21" t="n"/>
      <c r="F418" s="21" t="n"/>
      <c r="G418" s="20" t="n"/>
      <c r="H418" s="24" t="str">
        <f>IF(E418="","",IF(N(F418)&gt;=E418,"Paid",IF(AND(D418&lt;&gt;"",D418&lt;TODAY()),"Overdue",IF(N(F418)&gt;0,"Part paid","Upcoming"))))</f>
        <v/>
      </c>
      <c r="I418" s="5" t="n"/>
    </row>
    <row r="419">
      <c r="A419" s="14" t="n"/>
      <c r="B419" s="23" t="str">
        <f>IF(A419="","",IFERROR(INDEX('Units &amp; sales'!$I$12:$I$311,MATCH(A419,'Units &amp; sales'!$C$12:$C$311,0))&amp;"",""))</f>
        <v/>
      </c>
      <c r="C419" s="5" t="n"/>
      <c r="D419" s="20" t="n"/>
      <c r="E419" s="21" t="n"/>
      <c r="F419" s="21" t="n"/>
      <c r="G419" s="20" t="n"/>
      <c r="H419" s="24" t="str">
        <f>IF(E419="","",IF(N(F419)&gt;=E419,"Paid",IF(AND(D419&lt;&gt;"",D419&lt;TODAY()),"Overdue",IF(N(F419)&gt;0,"Part paid","Upcoming"))))</f>
        <v/>
      </c>
      <c r="I419" s="5" t="n"/>
    </row>
    <row r="420">
      <c r="A420" s="14" t="n"/>
      <c r="B420" s="23" t="str">
        <f>IF(A420="","",IFERROR(INDEX('Units &amp; sales'!$I$12:$I$311,MATCH(A420,'Units &amp; sales'!$C$12:$C$311,0))&amp;"",""))</f>
        <v/>
      </c>
      <c r="C420" s="5" t="n"/>
      <c r="D420" s="20" t="n"/>
      <c r="E420" s="21" t="n"/>
      <c r="F420" s="21" t="n"/>
      <c r="G420" s="20" t="n"/>
      <c r="H420" s="24" t="str">
        <f>IF(E420="","",IF(N(F420)&gt;=E420,"Paid",IF(AND(D420&lt;&gt;"",D420&lt;TODAY()),"Overdue",IF(N(F420)&gt;0,"Part paid","Upcoming"))))</f>
        <v/>
      </c>
      <c r="I420" s="5" t="n"/>
    </row>
    <row r="421">
      <c r="A421" s="14" t="n"/>
      <c r="B421" s="23" t="str">
        <f>IF(A421="","",IFERROR(INDEX('Units &amp; sales'!$I$12:$I$311,MATCH(A421,'Units &amp; sales'!$C$12:$C$311,0))&amp;"",""))</f>
        <v/>
      </c>
      <c r="C421" s="5" t="n"/>
      <c r="D421" s="20" t="n"/>
      <c r="E421" s="21" t="n"/>
      <c r="F421" s="21" t="n"/>
      <c r="G421" s="20" t="n"/>
      <c r="H421" s="24" t="str">
        <f>IF(E421="","",IF(N(F421)&gt;=E421,"Paid",IF(AND(D421&lt;&gt;"",D421&lt;TODAY()),"Overdue",IF(N(F421)&gt;0,"Part paid","Upcoming"))))</f>
        <v/>
      </c>
      <c r="I421" s="5" t="n"/>
    </row>
    <row r="422">
      <c r="A422" s="14" t="n"/>
      <c r="B422" s="23" t="str">
        <f>IF(A422="","",IFERROR(INDEX('Units &amp; sales'!$I$12:$I$311,MATCH(A422,'Units &amp; sales'!$C$12:$C$311,0))&amp;"",""))</f>
        <v/>
      </c>
      <c r="C422" s="5" t="n"/>
      <c r="D422" s="20" t="n"/>
      <c r="E422" s="21" t="n"/>
      <c r="F422" s="21" t="n"/>
      <c r="G422" s="20" t="n"/>
      <c r="H422" s="24" t="str">
        <f>IF(E422="","",IF(N(F422)&gt;=E422,"Paid",IF(AND(D422&lt;&gt;"",D422&lt;TODAY()),"Overdue",IF(N(F422)&gt;0,"Part paid","Upcoming"))))</f>
        <v/>
      </c>
      <c r="I422" s="5" t="n"/>
    </row>
    <row r="423">
      <c r="A423" s="14" t="n"/>
      <c r="B423" s="23" t="str">
        <f>IF(A423="","",IFERROR(INDEX('Units &amp; sales'!$I$12:$I$311,MATCH(A423,'Units &amp; sales'!$C$12:$C$311,0))&amp;"",""))</f>
        <v/>
      </c>
      <c r="C423" s="5" t="n"/>
      <c r="D423" s="20" t="n"/>
      <c r="E423" s="21" t="n"/>
      <c r="F423" s="21" t="n"/>
      <c r="G423" s="20" t="n"/>
      <c r="H423" s="24" t="str">
        <f>IF(E423="","",IF(N(F423)&gt;=E423,"Paid",IF(AND(D423&lt;&gt;"",D423&lt;TODAY()),"Overdue",IF(N(F423)&gt;0,"Part paid","Upcoming"))))</f>
        <v/>
      </c>
      <c r="I423" s="5" t="n"/>
    </row>
    <row r="424">
      <c r="A424" s="14" t="n"/>
      <c r="B424" s="23" t="str">
        <f>IF(A424="","",IFERROR(INDEX('Units &amp; sales'!$I$12:$I$311,MATCH(A424,'Units &amp; sales'!$C$12:$C$311,0))&amp;"",""))</f>
        <v/>
      </c>
      <c r="C424" s="5" t="n"/>
      <c r="D424" s="20" t="n"/>
      <c r="E424" s="21" t="n"/>
      <c r="F424" s="21" t="n"/>
      <c r="G424" s="20" t="n"/>
      <c r="H424" s="24" t="str">
        <f>IF(E424="","",IF(N(F424)&gt;=E424,"Paid",IF(AND(D424&lt;&gt;"",D424&lt;TODAY()),"Overdue",IF(N(F424)&gt;0,"Part paid","Upcoming"))))</f>
        <v/>
      </c>
      <c r="I424" s="5" t="n"/>
    </row>
    <row r="425">
      <c r="A425" s="14" t="n"/>
      <c r="B425" s="23" t="str">
        <f>IF(A425="","",IFERROR(INDEX('Units &amp; sales'!$I$12:$I$311,MATCH(A425,'Units &amp; sales'!$C$12:$C$311,0))&amp;"",""))</f>
        <v/>
      </c>
      <c r="C425" s="5" t="n"/>
      <c r="D425" s="20" t="n"/>
      <c r="E425" s="21" t="n"/>
      <c r="F425" s="21" t="n"/>
      <c r="G425" s="20" t="n"/>
      <c r="H425" s="24" t="str">
        <f>IF(E425="","",IF(N(F425)&gt;=E425,"Paid",IF(AND(D425&lt;&gt;"",D425&lt;TODAY()),"Overdue",IF(N(F425)&gt;0,"Part paid","Upcoming"))))</f>
        <v/>
      </c>
      <c r="I425" s="5" t="n"/>
    </row>
    <row r="426">
      <c r="A426" s="14" t="n"/>
      <c r="B426" s="23" t="str">
        <f>IF(A426="","",IFERROR(INDEX('Units &amp; sales'!$I$12:$I$311,MATCH(A426,'Units &amp; sales'!$C$12:$C$311,0))&amp;"",""))</f>
        <v/>
      </c>
      <c r="C426" s="5" t="n"/>
      <c r="D426" s="20" t="n"/>
      <c r="E426" s="21" t="n"/>
      <c r="F426" s="21" t="n"/>
      <c r="G426" s="20" t="n"/>
      <c r="H426" s="24" t="str">
        <f>IF(E426="","",IF(N(F426)&gt;=E426,"Paid",IF(AND(D426&lt;&gt;"",D426&lt;TODAY()),"Overdue",IF(N(F426)&gt;0,"Part paid","Upcoming"))))</f>
        <v/>
      </c>
      <c r="I426" s="5" t="n"/>
    </row>
    <row r="427">
      <c r="A427" s="14" t="n"/>
      <c r="B427" s="23" t="str">
        <f>IF(A427="","",IFERROR(INDEX('Units &amp; sales'!$I$12:$I$311,MATCH(A427,'Units &amp; sales'!$C$12:$C$311,0))&amp;"",""))</f>
        <v/>
      </c>
      <c r="C427" s="5" t="n"/>
      <c r="D427" s="20" t="n"/>
      <c r="E427" s="21" t="n"/>
      <c r="F427" s="21" t="n"/>
      <c r="G427" s="20" t="n"/>
      <c r="H427" s="24" t="str">
        <f>IF(E427="","",IF(N(F427)&gt;=E427,"Paid",IF(AND(D427&lt;&gt;"",D427&lt;TODAY()),"Overdue",IF(N(F427)&gt;0,"Part paid","Upcoming"))))</f>
        <v/>
      </c>
      <c r="I427" s="5" t="n"/>
    </row>
    <row r="428">
      <c r="A428" s="14" t="n"/>
      <c r="B428" s="23" t="str">
        <f>IF(A428="","",IFERROR(INDEX('Units &amp; sales'!$I$12:$I$311,MATCH(A428,'Units &amp; sales'!$C$12:$C$311,0))&amp;"",""))</f>
        <v/>
      </c>
      <c r="C428" s="5" t="n"/>
      <c r="D428" s="20" t="n"/>
      <c r="E428" s="21" t="n"/>
      <c r="F428" s="21" t="n"/>
      <c r="G428" s="20" t="n"/>
      <c r="H428" s="24" t="str">
        <f>IF(E428="","",IF(N(F428)&gt;=E428,"Paid",IF(AND(D428&lt;&gt;"",D428&lt;TODAY()),"Overdue",IF(N(F428)&gt;0,"Part paid","Upcoming"))))</f>
        <v/>
      </c>
      <c r="I428" s="5" t="n"/>
    </row>
    <row r="429">
      <c r="A429" s="14" t="n"/>
      <c r="B429" s="23" t="str">
        <f>IF(A429="","",IFERROR(INDEX('Units &amp; sales'!$I$12:$I$311,MATCH(A429,'Units &amp; sales'!$C$12:$C$311,0))&amp;"",""))</f>
        <v/>
      </c>
      <c r="C429" s="5" t="n"/>
      <c r="D429" s="20" t="n"/>
      <c r="E429" s="21" t="n"/>
      <c r="F429" s="21" t="n"/>
      <c r="G429" s="20" t="n"/>
      <c r="H429" s="24" t="str">
        <f>IF(E429="","",IF(N(F429)&gt;=E429,"Paid",IF(AND(D429&lt;&gt;"",D429&lt;TODAY()),"Overdue",IF(N(F429)&gt;0,"Part paid","Upcoming"))))</f>
        <v/>
      </c>
      <c r="I429" s="5" t="n"/>
    </row>
    <row r="430">
      <c r="A430" s="14" t="n"/>
      <c r="B430" s="23" t="str">
        <f>IF(A430="","",IFERROR(INDEX('Units &amp; sales'!$I$12:$I$311,MATCH(A430,'Units &amp; sales'!$C$12:$C$311,0))&amp;"",""))</f>
        <v/>
      </c>
      <c r="C430" s="5" t="n"/>
      <c r="D430" s="20" t="n"/>
      <c r="E430" s="21" t="n"/>
      <c r="F430" s="21" t="n"/>
      <c r="G430" s="20" t="n"/>
      <c r="H430" s="24" t="str">
        <f>IF(E430="","",IF(N(F430)&gt;=E430,"Paid",IF(AND(D430&lt;&gt;"",D430&lt;TODAY()),"Overdue",IF(N(F430)&gt;0,"Part paid","Upcoming"))))</f>
        <v/>
      </c>
      <c r="I430" s="5" t="n"/>
    </row>
    <row r="431">
      <c r="A431" s="14" t="n"/>
      <c r="B431" s="23" t="str">
        <f>IF(A431="","",IFERROR(INDEX('Units &amp; sales'!$I$12:$I$311,MATCH(A431,'Units &amp; sales'!$C$12:$C$311,0))&amp;"",""))</f>
        <v/>
      </c>
      <c r="C431" s="5" t="n"/>
      <c r="D431" s="20" t="n"/>
      <c r="E431" s="21" t="n"/>
      <c r="F431" s="21" t="n"/>
      <c r="G431" s="20" t="n"/>
      <c r="H431" s="24" t="str">
        <f>IF(E431="","",IF(N(F431)&gt;=E431,"Paid",IF(AND(D431&lt;&gt;"",D431&lt;TODAY()),"Overdue",IF(N(F431)&gt;0,"Part paid","Upcoming"))))</f>
        <v/>
      </c>
      <c r="I431" s="5" t="n"/>
    </row>
    <row r="432">
      <c r="A432" s="14" t="n"/>
      <c r="B432" s="23" t="str">
        <f>IF(A432="","",IFERROR(INDEX('Units &amp; sales'!$I$12:$I$311,MATCH(A432,'Units &amp; sales'!$C$12:$C$311,0))&amp;"",""))</f>
        <v/>
      </c>
      <c r="C432" s="5" t="n"/>
      <c r="D432" s="20" t="n"/>
      <c r="E432" s="21" t="n"/>
      <c r="F432" s="21" t="n"/>
      <c r="G432" s="20" t="n"/>
      <c r="H432" s="24" t="str">
        <f>IF(E432="","",IF(N(F432)&gt;=E432,"Paid",IF(AND(D432&lt;&gt;"",D432&lt;TODAY()),"Overdue",IF(N(F432)&gt;0,"Part paid","Upcoming"))))</f>
        <v/>
      </c>
      <c r="I432" s="5" t="n"/>
    </row>
    <row r="433">
      <c r="A433" s="14" t="n"/>
      <c r="B433" s="23" t="str">
        <f>IF(A433="","",IFERROR(INDEX('Units &amp; sales'!$I$12:$I$311,MATCH(A433,'Units &amp; sales'!$C$12:$C$311,0))&amp;"",""))</f>
        <v/>
      </c>
      <c r="C433" s="5" t="n"/>
      <c r="D433" s="20" t="n"/>
      <c r="E433" s="21" t="n"/>
      <c r="F433" s="21" t="n"/>
      <c r="G433" s="20" t="n"/>
      <c r="H433" s="24" t="str">
        <f>IF(E433="","",IF(N(F433)&gt;=E433,"Paid",IF(AND(D433&lt;&gt;"",D433&lt;TODAY()),"Overdue",IF(N(F433)&gt;0,"Part paid","Upcoming"))))</f>
        <v/>
      </c>
      <c r="I433" s="5" t="n"/>
    </row>
    <row r="434">
      <c r="A434" s="14" t="n"/>
      <c r="B434" s="23" t="str">
        <f>IF(A434="","",IFERROR(INDEX('Units &amp; sales'!$I$12:$I$311,MATCH(A434,'Units &amp; sales'!$C$12:$C$311,0))&amp;"",""))</f>
        <v/>
      </c>
      <c r="C434" s="5" t="n"/>
      <c r="D434" s="20" t="n"/>
      <c r="E434" s="21" t="n"/>
      <c r="F434" s="21" t="n"/>
      <c r="G434" s="20" t="n"/>
      <c r="H434" s="24" t="str">
        <f>IF(E434="","",IF(N(F434)&gt;=E434,"Paid",IF(AND(D434&lt;&gt;"",D434&lt;TODAY()),"Overdue",IF(N(F434)&gt;0,"Part paid","Upcoming"))))</f>
        <v/>
      </c>
      <c r="I434" s="5" t="n"/>
    </row>
    <row r="435">
      <c r="A435" s="14" t="n"/>
      <c r="B435" s="23" t="str">
        <f>IF(A435="","",IFERROR(INDEX('Units &amp; sales'!$I$12:$I$311,MATCH(A435,'Units &amp; sales'!$C$12:$C$311,0))&amp;"",""))</f>
        <v/>
      </c>
      <c r="C435" s="5" t="n"/>
      <c r="D435" s="20" t="n"/>
      <c r="E435" s="21" t="n"/>
      <c r="F435" s="21" t="n"/>
      <c r="G435" s="20" t="n"/>
      <c r="H435" s="24" t="str">
        <f>IF(E435="","",IF(N(F435)&gt;=E435,"Paid",IF(AND(D435&lt;&gt;"",D435&lt;TODAY()),"Overdue",IF(N(F435)&gt;0,"Part paid","Upcoming"))))</f>
        <v/>
      </c>
      <c r="I435" s="5" t="n"/>
    </row>
    <row r="436">
      <c r="A436" s="14" t="n"/>
      <c r="B436" s="23" t="str">
        <f>IF(A436="","",IFERROR(INDEX('Units &amp; sales'!$I$12:$I$311,MATCH(A436,'Units &amp; sales'!$C$12:$C$311,0))&amp;"",""))</f>
        <v/>
      </c>
      <c r="C436" s="5" t="n"/>
      <c r="D436" s="20" t="n"/>
      <c r="E436" s="21" t="n"/>
      <c r="F436" s="21" t="n"/>
      <c r="G436" s="20" t="n"/>
      <c r="H436" s="24" t="str">
        <f>IF(E436="","",IF(N(F436)&gt;=E436,"Paid",IF(AND(D436&lt;&gt;"",D436&lt;TODAY()),"Overdue",IF(N(F436)&gt;0,"Part paid","Upcoming"))))</f>
        <v/>
      </c>
      <c r="I436" s="5" t="n"/>
    </row>
    <row r="437">
      <c r="A437" s="14" t="n"/>
      <c r="B437" s="23" t="str">
        <f>IF(A437="","",IFERROR(INDEX('Units &amp; sales'!$I$12:$I$311,MATCH(A437,'Units &amp; sales'!$C$12:$C$311,0))&amp;"",""))</f>
        <v/>
      </c>
      <c r="C437" s="5" t="n"/>
      <c r="D437" s="20" t="n"/>
      <c r="E437" s="21" t="n"/>
      <c r="F437" s="21" t="n"/>
      <c r="G437" s="20" t="n"/>
      <c r="H437" s="24" t="str">
        <f>IF(E437="","",IF(N(F437)&gt;=E437,"Paid",IF(AND(D437&lt;&gt;"",D437&lt;TODAY()),"Overdue",IF(N(F437)&gt;0,"Part paid","Upcoming"))))</f>
        <v/>
      </c>
      <c r="I437" s="5" t="n"/>
    </row>
    <row r="438">
      <c r="A438" s="14" t="n"/>
      <c r="B438" s="23" t="str">
        <f>IF(A438="","",IFERROR(INDEX('Units &amp; sales'!$I$12:$I$311,MATCH(A438,'Units &amp; sales'!$C$12:$C$311,0))&amp;"",""))</f>
        <v/>
      </c>
      <c r="C438" s="5" t="n"/>
      <c r="D438" s="20" t="n"/>
      <c r="E438" s="21" t="n"/>
      <c r="F438" s="21" t="n"/>
      <c r="G438" s="20" t="n"/>
      <c r="H438" s="24" t="str">
        <f>IF(E438="","",IF(N(F438)&gt;=E438,"Paid",IF(AND(D438&lt;&gt;"",D438&lt;TODAY()),"Overdue",IF(N(F438)&gt;0,"Part paid","Upcoming"))))</f>
        <v/>
      </c>
      <c r="I438" s="5" t="n"/>
    </row>
    <row r="439">
      <c r="A439" s="14" t="n"/>
      <c r="B439" s="23" t="str">
        <f>IF(A439="","",IFERROR(INDEX('Units &amp; sales'!$I$12:$I$311,MATCH(A439,'Units &amp; sales'!$C$12:$C$311,0))&amp;"",""))</f>
        <v/>
      </c>
      <c r="C439" s="5" t="n"/>
      <c r="D439" s="20" t="n"/>
      <c r="E439" s="21" t="n"/>
      <c r="F439" s="21" t="n"/>
      <c r="G439" s="20" t="n"/>
      <c r="H439" s="24" t="str">
        <f>IF(E439="","",IF(N(F439)&gt;=E439,"Paid",IF(AND(D439&lt;&gt;"",D439&lt;TODAY()),"Overdue",IF(N(F439)&gt;0,"Part paid","Upcoming"))))</f>
        <v/>
      </c>
      <c r="I439" s="5" t="n"/>
    </row>
    <row r="440">
      <c r="A440" s="14" t="n"/>
      <c r="B440" s="23" t="str">
        <f>IF(A440="","",IFERROR(INDEX('Units &amp; sales'!$I$12:$I$311,MATCH(A440,'Units &amp; sales'!$C$12:$C$311,0))&amp;"",""))</f>
        <v/>
      </c>
      <c r="C440" s="5" t="n"/>
      <c r="D440" s="20" t="n"/>
      <c r="E440" s="21" t="n"/>
      <c r="F440" s="21" t="n"/>
      <c r="G440" s="20" t="n"/>
      <c r="H440" s="24" t="str">
        <f>IF(E440="","",IF(N(F440)&gt;=E440,"Paid",IF(AND(D440&lt;&gt;"",D440&lt;TODAY()),"Overdue",IF(N(F440)&gt;0,"Part paid","Upcoming"))))</f>
        <v/>
      </c>
      <c r="I440" s="5" t="n"/>
    </row>
    <row r="441">
      <c r="A441" s="14" t="n"/>
      <c r="B441" s="23" t="str">
        <f>IF(A441="","",IFERROR(INDEX('Units &amp; sales'!$I$12:$I$311,MATCH(A441,'Units &amp; sales'!$C$12:$C$311,0))&amp;"",""))</f>
        <v/>
      </c>
      <c r="C441" s="5" t="n"/>
      <c r="D441" s="20" t="n"/>
      <c r="E441" s="21" t="n"/>
      <c r="F441" s="21" t="n"/>
      <c r="G441" s="20" t="n"/>
      <c r="H441" s="24" t="str">
        <f>IF(E441="","",IF(N(F441)&gt;=E441,"Paid",IF(AND(D441&lt;&gt;"",D441&lt;TODAY()),"Overdue",IF(N(F441)&gt;0,"Part paid","Upcoming"))))</f>
        <v/>
      </c>
      <c r="I441" s="5" t="n"/>
    </row>
    <row r="442">
      <c r="A442" s="14" t="n"/>
      <c r="B442" s="23" t="str">
        <f>IF(A442="","",IFERROR(INDEX('Units &amp; sales'!$I$12:$I$311,MATCH(A442,'Units &amp; sales'!$C$12:$C$311,0))&amp;"",""))</f>
        <v/>
      </c>
      <c r="C442" s="5" t="n"/>
      <c r="D442" s="20" t="n"/>
      <c r="E442" s="21" t="n"/>
      <c r="F442" s="21" t="n"/>
      <c r="G442" s="20" t="n"/>
      <c r="H442" s="24" t="str">
        <f>IF(E442="","",IF(N(F442)&gt;=E442,"Paid",IF(AND(D442&lt;&gt;"",D442&lt;TODAY()),"Overdue",IF(N(F442)&gt;0,"Part paid","Upcoming"))))</f>
        <v/>
      </c>
      <c r="I442" s="5" t="n"/>
    </row>
    <row r="443">
      <c r="A443" s="14" t="n"/>
      <c r="B443" s="23" t="str">
        <f>IF(A443="","",IFERROR(INDEX('Units &amp; sales'!$I$12:$I$311,MATCH(A443,'Units &amp; sales'!$C$12:$C$311,0))&amp;"",""))</f>
        <v/>
      </c>
      <c r="C443" s="5" t="n"/>
      <c r="D443" s="20" t="n"/>
      <c r="E443" s="21" t="n"/>
      <c r="F443" s="21" t="n"/>
      <c r="G443" s="20" t="n"/>
      <c r="H443" s="24" t="str">
        <f>IF(E443="","",IF(N(F443)&gt;=E443,"Paid",IF(AND(D443&lt;&gt;"",D443&lt;TODAY()),"Overdue",IF(N(F443)&gt;0,"Part paid","Upcoming"))))</f>
        <v/>
      </c>
      <c r="I443" s="5" t="n"/>
    </row>
    <row r="444">
      <c r="A444" s="14" t="n"/>
      <c r="B444" s="23" t="str">
        <f>IF(A444="","",IFERROR(INDEX('Units &amp; sales'!$I$12:$I$311,MATCH(A444,'Units &amp; sales'!$C$12:$C$311,0))&amp;"",""))</f>
        <v/>
      </c>
      <c r="C444" s="5" t="n"/>
      <c r="D444" s="20" t="n"/>
      <c r="E444" s="21" t="n"/>
      <c r="F444" s="21" t="n"/>
      <c r="G444" s="20" t="n"/>
      <c r="H444" s="24" t="str">
        <f>IF(E444="","",IF(N(F444)&gt;=E444,"Paid",IF(AND(D444&lt;&gt;"",D444&lt;TODAY()),"Overdue",IF(N(F444)&gt;0,"Part paid","Upcoming"))))</f>
        <v/>
      </c>
      <c r="I444" s="5" t="n"/>
    </row>
    <row r="445">
      <c r="A445" s="14" t="n"/>
      <c r="B445" s="23" t="str">
        <f>IF(A445="","",IFERROR(INDEX('Units &amp; sales'!$I$12:$I$311,MATCH(A445,'Units &amp; sales'!$C$12:$C$311,0))&amp;"",""))</f>
        <v/>
      </c>
      <c r="C445" s="5" t="n"/>
      <c r="D445" s="20" t="n"/>
      <c r="E445" s="21" t="n"/>
      <c r="F445" s="21" t="n"/>
      <c r="G445" s="20" t="n"/>
      <c r="H445" s="24" t="str">
        <f>IF(E445="","",IF(N(F445)&gt;=E445,"Paid",IF(AND(D445&lt;&gt;"",D445&lt;TODAY()),"Overdue",IF(N(F445)&gt;0,"Part paid","Upcoming"))))</f>
        <v/>
      </c>
      <c r="I445" s="5" t="n"/>
    </row>
    <row r="446">
      <c r="A446" s="14" t="n"/>
      <c r="B446" s="23" t="str">
        <f>IF(A446="","",IFERROR(INDEX('Units &amp; sales'!$I$12:$I$311,MATCH(A446,'Units &amp; sales'!$C$12:$C$311,0))&amp;"",""))</f>
        <v/>
      </c>
      <c r="C446" s="5" t="n"/>
      <c r="D446" s="20" t="n"/>
      <c r="E446" s="21" t="n"/>
      <c r="F446" s="21" t="n"/>
      <c r="G446" s="20" t="n"/>
      <c r="H446" s="24" t="str">
        <f>IF(E446="","",IF(N(F446)&gt;=E446,"Paid",IF(AND(D446&lt;&gt;"",D446&lt;TODAY()),"Overdue",IF(N(F446)&gt;0,"Part paid","Upcoming"))))</f>
        <v/>
      </c>
      <c r="I446" s="5" t="n"/>
    </row>
    <row r="447">
      <c r="A447" s="14" t="n"/>
      <c r="B447" s="23" t="str">
        <f>IF(A447="","",IFERROR(INDEX('Units &amp; sales'!$I$12:$I$311,MATCH(A447,'Units &amp; sales'!$C$12:$C$311,0))&amp;"",""))</f>
        <v/>
      </c>
      <c r="C447" s="5" t="n"/>
      <c r="D447" s="20" t="n"/>
      <c r="E447" s="21" t="n"/>
      <c r="F447" s="21" t="n"/>
      <c r="G447" s="20" t="n"/>
      <c r="H447" s="24" t="str">
        <f>IF(E447="","",IF(N(F447)&gt;=E447,"Paid",IF(AND(D447&lt;&gt;"",D447&lt;TODAY()),"Overdue",IF(N(F447)&gt;0,"Part paid","Upcoming"))))</f>
        <v/>
      </c>
      <c r="I447" s="5" t="n"/>
    </row>
    <row r="448">
      <c r="A448" s="14" t="n"/>
      <c r="B448" s="23" t="str">
        <f>IF(A448="","",IFERROR(INDEX('Units &amp; sales'!$I$12:$I$311,MATCH(A448,'Units &amp; sales'!$C$12:$C$311,0))&amp;"",""))</f>
        <v/>
      </c>
      <c r="C448" s="5" t="n"/>
      <c r="D448" s="20" t="n"/>
      <c r="E448" s="21" t="n"/>
      <c r="F448" s="21" t="n"/>
      <c r="G448" s="20" t="n"/>
      <c r="H448" s="24" t="str">
        <f>IF(E448="","",IF(N(F448)&gt;=E448,"Paid",IF(AND(D448&lt;&gt;"",D448&lt;TODAY()),"Overdue",IF(N(F448)&gt;0,"Part paid","Upcoming"))))</f>
        <v/>
      </c>
      <c r="I448" s="5" t="n"/>
    </row>
    <row r="449">
      <c r="A449" s="14" t="n"/>
      <c r="B449" s="23" t="str">
        <f>IF(A449="","",IFERROR(INDEX('Units &amp; sales'!$I$12:$I$311,MATCH(A449,'Units &amp; sales'!$C$12:$C$311,0))&amp;"",""))</f>
        <v/>
      </c>
      <c r="C449" s="5" t="n"/>
      <c r="D449" s="20" t="n"/>
      <c r="E449" s="21" t="n"/>
      <c r="F449" s="21" t="n"/>
      <c r="G449" s="20" t="n"/>
      <c r="H449" s="24" t="str">
        <f>IF(E449="","",IF(N(F449)&gt;=E449,"Paid",IF(AND(D449&lt;&gt;"",D449&lt;TODAY()),"Overdue",IF(N(F449)&gt;0,"Part paid","Upcoming"))))</f>
        <v/>
      </c>
      <c r="I449" s="5" t="n"/>
    </row>
    <row r="450">
      <c r="A450" s="14" t="n"/>
      <c r="B450" s="23" t="str">
        <f>IF(A450="","",IFERROR(INDEX('Units &amp; sales'!$I$12:$I$311,MATCH(A450,'Units &amp; sales'!$C$12:$C$311,0))&amp;"",""))</f>
        <v/>
      </c>
      <c r="C450" s="5" t="n"/>
      <c r="D450" s="20" t="n"/>
      <c r="E450" s="21" t="n"/>
      <c r="F450" s="21" t="n"/>
      <c r="G450" s="20" t="n"/>
      <c r="H450" s="24" t="str">
        <f>IF(E450="","",IF(N(F450)&gt;=E450,"Paid",IF(AND(D450&lt;&gt;"",D450&lt;TODAY()),"Overdue",IF(N(F450)&gt;0,"Part paid","Upcoming"))))</f>
        <v/>
      </c>
      <c r="I450" s="5" t="n"/>
    </row>
    <row r="451">
      <c r="A451" s="14" t="n"/>
      <c r="B451" s="23" t="str">
        <f>IF(A451="","",IFERROR(INDEX('Units &amp; sales'!$I$12:$I$311,MATCH(A451,'Units &amp; sales'!$C$12:$C$311,0))&amp;"",""))</f>
        <v/>
      </c>
      <c r="C451" s="5" t="n"/>
      <c r="D451" s="20" t="n"/>
      <c r="E451" s="21" t="n"/>
      <c r="F451" s="21" t="n"/>
      <c r="G451" s="20" t="n"/>
      <c r="H451" s="24" t="str">
        <f>IF(E451="","",IF(N(F451)&gt;=E451,"Paid",IF(AND(D451&lt;&gt;"",D451&lt;TODAY()),"Overdue",IF(N(F451)&gt;0,"Part paid","Upcoming"))))</f>
        <v/>
      </c>
      <c r="I451" s="5" t="n"/>
    </row>
    <row r="452">
      <c r="A452" s="14" t="n"/>
      <c r="B452" s="23" t="str">
        <f>IF(A452="","",IFERROR(INDEX('Units &amp; sales'!$I$12:$I$311,MATCH(A452,'Units &amp; sales'!$C$12:$C$311,0))&amp;"",""))</f>
        <v/>
      </c>
      <c r="C452" s="5" t="n"/>
      <c r="D452" s="20" t="n"/>
      <c r="E452" s="21" t="n"/>
      <c r="F452" s="21" t="n"/>
      <c r="G452" s="20" t="n"/>
      <c r="H452" s="24" t="str">
        <f>IF(E452="","",IF(N(F452)&gt;=E452,"Paid",IF(AND(D452&lt;&gt;"",D452&lt;TODAY()),"Overdue",IF(N(F452)&gt;0,"Part paid","Upcoming"))))</f>
        <v/>
      </c>
      <c r="I452" s="5" t="n"/>
    </row>
    <row r="453">
      <c r="A453" s="14" t="n"/>
      <c r="B453" s="23" t="str">
        <f>IF(A453="","",IFERROR(INDEX('Units &amp; sales'!$I$12:$I$311,MATCH(A453,'Units &amp; sales'!$C$12:$C$311,0))&amp;"",""))</f>
        <v/>
      </c>
      <c r="C453" s="5" t="n"/>
      <c r="D453" s="20" t="n"/>
      <c r="E453" s="21" t="n"/>
      <c r="F453" s="21" t="n"/>
      <c r="G453" s="20" t="n"/>
      <c r="H453" s="24" t="str">
        <f>IF(E453="","",IF(N(F453)&gt;=E453,"Paid",IF(AND(D453&lt;&gt;"",D453&lt;TODAY()),"Overdue",IF(N(F453)&gt;0,"Part paid","Upcoming"))))</f>
        <v/>
      </c>
      <c r="I453" s="5" t="n"/>
    </row>
    <row r="454">
      <c r="A454" s="14" t="n"/>
      <c r="B454" s="23" t="str">
        <f>IF(A454="","",IFERROR(INDEX('Units &amp; sales'!$I$12:$I$311,MATCH(A454,'Units &amp; sales'!$C$12:$C$311,0))&amp;"",""))</f>
        <v/>
      </c>
      <c r="C454" s="5" t="n"/>
      <c r="D454" s="20" t="n"/>
      <c r="E454" s="21" t="n"/>
      <c r="F454" s="21" t="n"/>
      <c r="G454" s="20" t="n"/>
      <c r="H454" s="24" t="str">
        <f>IF(E454="","",IF(N(F454)&gt;=E454,"Paid",IF(AND(D454&lt;&gt;"",D454&lt;TODAY()),"Overdue",IF(N(F454)&gt;0,"Part paid","Upcoming"))))</f>
        <v/>
      </c>
      <c r="I454" s="5" t="n"/>
    </row>
    <row r="455">
      <c r="A455" s="14" t="n"/>
      <c r="B455" s="23" t="str">
        <f>IF(A455="","",IFERROR(INDEX('Units &amp; sales'!$I$12:$I$311,MATCH(A455,'Units &amp; sales'!$C$12:$C$311,0))&amp;"",""))</f>
        <v/>
      </c>
      <c r="C455" s="5" t="n"/>
      <c r="D455" s="20" t="n"/>
      <c r="E455" s="21" t="n"/>
      <c r="F455" s="21" t="n"/>
      <c r="G455" s="20" t="n"/>
      <c r="H455" s="24" t="str">
        <f>IF(E455="","",IF(N(F455)&gt;=E455,"Paid",IF(AND(D455&lt;&gt;"",D455&lt;TODAY()),"Overdue",IF(N(F455)&gt;0,"Part paid","Upcoming"))))</f>
        <v/>
      </c>
      <c r="I455" s="5" t="n"/>
    </row>
    <row r="456">
      <c r="A456" s="14" t="n"/>
      <c r="B456" s="23" t="str">
        <f>IF(A456="","",IFERROR(INDEX('Units &amp; sales'!$I$12:$I$311,MATCH(A456,'Units &amp; sales'!$C$12:$C$311,0))&amp;"",""))</f>
        <v/>
      </c>
      <c r="C456" s="5" t="n"/>
      <c r="D456" s="20" t="n"/>
      <c r="E456" s="21" t="n"/>
      <c r="F456" s="21" t="n"/>
      <c r="G456" s="20" t="n"/>
      <c r="H456" s="24" t="str">
        <f>IF(E456="","",IF(N(F456)&gt;=E456,"Paid",IF(AND(D456&lt;&gt;"",D456&lt;TODAY()),"Overdue",IF(N(F456)&gt;0,"Part paid","Upcoming"))))</f>
        <v/>
      </c>
      <c r="I456" s="5" t="n"/>
    </row>
    <row r="457">
      <c r="A457" s="14" t="n"/>
      <c r="B457" s="23" t="str">
        <f>IF(A457="","",IFERROR(INDEX('Units &amp; sales'!$I$12:$I$311,MATCH(A457,'Units &amp; sales'!$C$12:$C$311,0))&amp;"",""))</f>
        <v/>
      </c>
      <c r="C457" s="5" t="n"/>
      <c r="D457" s="20" t="n"/>
      <c r="E457" s="21" t="n"/>
      <c r="F457" s="21" t="n"/>
      <c r="G457" s="20" t="n"/>
      <c r="H457" s="24" t="str">
        <f>IF(E457="","",IF(N(F457)&gt;=E457,"Paid",IF(AND(D457&lt;&gt;"",D457&lt;TODAY()),"Overdue",IF(N(F457)&gt;0,"Part paid","Upcoming"))))</f>
        <v/>
      </c>
      <c r="I457" s="5" t="n"/>
    </row>
    <row r="458">
      <c r="A458" s="14" t="n"/>
      <c r="B458" s="23" t="str">
        <f>IF(A458="","",IFERROR(INDEX('Units &amp; sales'!$I$12:$I$311,MATCH(A458,'Units &amp; sales'!$C$12:$C$311,0))&amp;"",""))</f>
        <v/>
      </c>
      <c r="C458" s="5" t="n"/>
      <c r="D458" s="20" t="n"/>
      <c r="E458" s="21" t="n"/>
      <c r="F458" s="21" t="n"/>
      <c r="G458" s="20" t="n"/>
      <c r="H458" s="24" t="str">
        <f>IF(E458="","",IF(N(F458)&gt;=E458,"Paid",IF(AND(D458&lt;&gt;"",D458&lt;TODAY()),"Overdue",IF(N(F458)&gt;0,"Part paid","Upcoming"))))</f>
        <v/>
      </c>
      <c r="I458" s="5" t="n"/>
    </row>
    <row r="459">
      <c r="A459" s="14" t="n"/>
      <c r="B459" s="23" t="str">
        <f>IF(A459="","",IFERROR(INDEX('Units &amp; sales'!$I$12:$I$311,MATCH(A459,'Units &amp; sales'!$C$12:$C$311,0))&amp;"",""))</f>
        <v/>
      </c>
      <c r="C459" s="5" t="n"/>
      <c r="D459" s="20" t="n"/>
      <c r="E459" s="21" t="n"/>
      <c r="F459" s="21" t="n"/>
      <c r="G459" s="20" t="n"/>
      <c r="H459" s="24" t="str">
        <f>IF(E459="","",IF(N(F459)&gt;=E459,"Paid",IF(AND(D459&lt;&gt;"",D459&lt;TODAY()),"Overdue",IF(N(F459)&gt;0,"Part paid","Upcoming"))))</f>
        <v/>
      </c>
      <c r="I459" s="5" t="n"/>
    </row>
    <row r="460">
      <c r="A460" s="14" t="n"/>
      <c r="B460" s="23" t="str">
        <f>IF(A460="","",IFERROR(INDEX('Units &amp; sales'!$I$12:$I$311,MATCH(A460,'Units &amp; sales'!$C$12:$C$311,0))&amp;"",""))</f>
        <v/>
      </c>
      <c r="C460" s="5" t="n"/>
      <c r="D460" s="20" t="n"/>
      <c r="E460" s="21" t="n"/>
      <c r="F460" s="21" t="n"/>
      <c r="G460" s="20" t="n"/>
      <c r="H460" s="24" t="str">
        <f>IF(E460="","",IF(N(F460)&gt;=E460,"Paid",IF(AND(D460&lt;&gt;"",D460&lt;TODAY()),"Overdue",IF(N(F460)&gt;0,"Part paid","Upcoming"))))</f>
        <v/>
      </c>
      <c r="I460" s="5" t="n"/>
    </row>
    <row r="461">
      <c r="A461" s="14" t="n"/>
      <c r="B461" s="23" t="str">
        <f>IF(A461="","",IFERROR(INDEX('Units &amp; sales'!$I$12:$I$311,MATCH(A461,'Units &amp; sales'!$C$12:$C$311,0))&amp;"",""))</f>
        <v/>
      </c>
      <c r="C461" s="5" t="n"/>
      <c r="D461" s="20" t="n"/>
      <c r="E461" s="21" t="n"/>
      <c r="F461" s="21" t="n"/>
      <c r="G461" s="20" t="n"/>
      <c r="H461" s="24" t="str">
        <f>IF(E461="","",IF(N(F461)&gt;=E461,"Paid",IF(AND(D461&lt;&gt;"",D461&lt;TODAY()),"Overdue",IF(N(F461)&gt;0,"Part paid","Upcoming"))))</f>
        <v/>
      </c>
      <c r="I461" s="5" t="n"/>
    </row>
    <row r="462">
      <c r="A462" s="14" t="n"/>
      <c r="B462" s="23" t="str">
        <f>IF(A462="","",IFERROR(INDEX('Units &amp; sales'!$I$12:$I$311,MATCH(A462,'Units &amp; sales'!$C$12:$C$311,0))&amp;"",""))</f>
        <v/>
      </c>
      <c r="C462" s="5" t="n"/>
      <c r="D462" s="20" t="n"/>
      <c r="E462" s="21" t="n"/>
      <c r="F462" s="21" t="n"/>
      <c r="G462" s="20" t="n"/>
      <c r="H462" s="24" t="str">
        <f>IF(E462="","",IF(N(F462)&gt;=E462,"Paid",IF(AND(D462&lt;&gt;"",D462&lt;TODAY()),"Overdue",IF(N(F462)&gt;0,"Part paid","Upcoming"))))</f>
        <v/>
      </c>
      <c r="I462" s="5" t="n"/>
    </row>
    <row r="463">
      <c r="A463" s="14" t="n"/>
      <c r="B463" s="23" t="str">
        <f>IF(A463="","",IFERROR(INDEX('Units &amp; sales'!$I$12:$I$311,MATCH(A463,'Units &amp; sales'!$C$12:$C$311,0))&amp;"",""))</f>
        <v/>
      </c>
      <c r="C463" s="5" t="n"/>
      <c r="D463" s="20" t="n"/>
      <c r="E463" s="21" t="n"/>
      <c r="F463" s="21" t="n"/>
      <c r="G463" s="20" t="n"/>
      <c r="H463" s="24" t="str">
        <f>IF(E463="","",IF(N(F463)&gt;=E463,"Paid",IF(AND(D463&lt;&gt;"",D463&lt;TODAY()),"Overdue",IF(N(F463)&gt;0,"Part paid","Upcoming"))))</f>
        <v/>
      </c>
      <c r="I463" s="5" t="n"/>
    </row>
    <row r="464">
      <c r="A464" s="14" t="n"/>
      <c r="B464" s="23" t="str">
        <f>IF(A464="","",IFERROR(INDEX('Units &amp; sales'!$I$12:$I$311,MATCH(A464,'Units &amp; sales'!$C$12:$C$311,0))&amp;"",""))</f>
        <v/>
      </c>
      <c r="C464" s="5" t="n"/>
      <c r="D464" s="20" t="n"/>
      <c r="E464" s="21" t="n"/>
      <c r="F464" s="21" t="n"/>
      <c r="G464" s="20" t="n"/>
      <c r="H464" s="24" t="str">
        <f>IF(E464="","",IF(N(F464)&gt;=E464,"Paid",IF(AND(D464&lt;&gt;"",D464&lt;TODAY()),"Overdue",IF(N(F464)&gt;0,"Part paid","Upcoming"))))</f>
        <v/>
      </c>
      <c r="I464" s="5" t="n"/>
    </row>
    <row r="465">
      <c r="A465" s="14" t="n"/>
      <c r="B465" s="23" t="str">
        <f>IF(A465="","",IFERROR(INDEX('Units &amp; sales'!$I$12:$I$311,MATCH(A465,'Units &amp; sales'!$C$12:$C$311,0))&amp;"",""))</f>
        <v/>
      </c>
      <c r="C465" s="5" t="n"/>
      <c r="D465" s="20" t="n"/>
      <c r="E465" s="21" t="n"/>
      <c r="F465" s="21" t="n"/>
      <c r="G465" s="20" t="n"/>
      <c r="H465" s="24" t="str">
        <f>IF(E465="","",IF(N(F465)&gt;=E465,"Paid",IF(AND(D465&lt;&gt;"",D465&lt;TODAY()),"Overdue",IF(N(F465)&gt;0,"Part paid","Upcoming"))))</f>
        <v/>
      </c>
      <c r="I465" s="5" t="n"/>
    </row>
    <row r="466">
      <c r="A466" s="14" t="n"/>
      <c r="B466" s="23" t="str">
        <f>IF(A466="","",IFERROR(INDEX('Units &amp; sales'!$I$12:$I$311,MATCH(A466,'Units &amp; sales'!$C$12:$C$311,0))&amp;"",""))</f>
        <v/>
      </c>
      <c r="C466" s="5" t="n"/>
      <c r="D466" s="20" t="n"/>
      <c r="E466" s="21" t="n"/>
      <c r="F466" s="21" t="n"/>
      <c r="G466" s="20" t="n"/>
      <c r="H466" s="24" t="str">
        <f>IF(E466="","",IF(N(F466)&gt;=E466,"Paid",IF(AND(D466&lt;&gt;"",D466&lt;TODAY()),"Overdue",IF(N(F466)&gt;0,"Part paid","Upcoming"))))</f>
        <v/>
      </c>
      <c r="I466" s="5" t="n"/>
    </row>
    <row r="467">
      <c r="A467" s="14" t="n"/>
      <c r="B467" s="23" t="str">
        <f>IF(A467="","",IFERROR(INDEX('Units &amp; sales'!$I$12:$I$311,MATCH(A467,'Units &amp; sales'!$C$12:$C$311,0))&amp;"",""))</f>
        <v/>
      </c>
      <c r="C467" s="5" t="n"/>
      <c r="D467" s="20" t="n"/>
      <c r="E467" s="21" t="n"/>
      <c r="F467" s="21" t="n"/>
      <c r="G467" s="20" t="n"/>
      <c r="H467" s="24" t="str">
        <f>IF(E467="","",IF(N(F467)&gt;=E467,"Paid",IF(AND(D467&lt;&gt;"",D467&lt;TODAY()),"Overdue",IF(N(F467)&gt;0,"Part paid","Upcoming"))))</f>
        <v/>
      </c>
      <c r="I467" s="5" t="n"/>
    </row>
    <row r="468">
      <c r="A468" s="14" t="n"/>
      <c r="B468" s="23" t="str">
        <f>IF(A468="","",IFERROR(INDEX('Units &amp; sales'!$I$12:$I$311,MATCH(A468,'Units &amp; sales'!$C$12:$C$311,0))&amp;"",""))</f>
        <v/>
      </c>
      <c r="C468" s="5" t="n"/>
      <c r="D468" s="20" t="n"/>
      <c r="E468" s="21" t="n"/>
      <c r="F468" s="21" t="n"/>
      <c r="G468" s="20" t="n"/>
      <c r="H468" s="24" t="str">
        <f>IF(E468="","",IF(N(F468)&gt;=E468,"Paid",IF(AND(D468&lt;&gt;"",D468&lt;TODAY()),"Overdue",IF(N(F468)&gt;0,"Part paid","Upcoming"))))</f>
        <v/>
      </c>
      <c r="I468" s="5" t="n"/>
    </row>
    <row r="469">
      <c r="A469" s="14" t="n"/>
      <c r="B469" s="23" t="str">
        <f>IF(A469="","",IFERROR(INDEX('Units &amp; sales'!$I$12:$I$311,MATCH(A469,'Units &amp; sales'!$C$12:$C$311,0))&amp;"",""))</f>
        <v/>
      </c>
      <c r="C469" s="5" t="n"/>
      <c r="D469" s="20" t="n"/>
      <c r="E469" s="21" t="n"/>
      <c r="F469" s="21" t="n"/>
      <c r="G469" s="20" t="n"/>
      <c r="H469" s="24" t="str">
        <f>IF(E469="","",IF(N(F469)&gt;=E469,"Paid",IF(AND(D469&lt;&gt;"",D469&lt;TODAY()),"Overdue",IF(N(F469)&gt;0,"Part paid","Upcoming"))))</f>
        <v/>
      </c>
      <c r="I469" s="5" t="n"/>
    </row>
    <row r="470">
      <c r="A470" s="14" t="n"/>
      <c r="B470" s="23" t="str">
        <f>IF(A470="","",IFERROR(INDEX('Units &amp; sales'!$I$12:$I$311,MATCH(A470,'Units &amp; sales'!$C$12:$C$311,0))&amp;"",""))</f>
        <v/>
      </c>
      <c r="C470" s="5" t="n"/>
      <c r="D470" s="20" t="n"/>
      <c r="E470" s="21" t="n"/>
      <c r="F470" s="21" t="n"/>
      <c r="G470" s="20" t="n"/>
      <c r="H470" s="24" t="str">
        <f>IF(E470="","",IF(N(F470)&gt;=E470,"Paid",IF(AND(D470&lt;&gt;"",D470&lt;TODAY()),"Overdue",IF(N(F470)&gt;0,"Part paid","Upcoming"))))</f>
        <v/>
      </c>
      <c r="I470" s="5" t="n"/>
    </row>
    <row r="471">
      <c r="A471" s="14" t="n"/>
      <c r="B471" s="23" t="str">
        <f>IF(A471="","",IFERROR(INDEX('Units &amp; sales'!$I$12:$I$311,MATCH(A471,'Units &amp; sales'!$C$12:$C$311,0))&amp;"",""))</f>
        <v/>
      </c>
      <c r="C471" s="5" t="n"/>
      <c r="D471" s="20" t="n"/>
      <c r="E471" s="21" t="n"/>
      <c r="F471" s="21" t="n"/>
      <c r="G471" s="20" t="n"/>
      <c r="H471" s="24" t="str">
        <f>IF(E471="","",IF(N(F471)&gt;=E471,"Paid",IF(AND(D471&lt;&gt;"",D471&lt;TODAY()),"Overdue",IF(N(F471)&gt;0,"Part paid","Upcoming"))))</f>
        <v/>
      </c>
      <c r="I471" s="5" t="n"/>
    </row>
    <row r="472">
      <c r="A472" s="14" t="n"/>
      <c r="B472" s="23" t="str">
        <f>IF(A472="","",IFERROR(INDEX('Units &amp; sales'!$I$12:$I$311,MATCH(A472,'Units &amp; sales'!$C$12:$C$311,0))&amp;"",""))</f>
        <v/>
      </c>
      <c r="C472" s="5" t="n"/>
      <c r="D472" s="20" t="n"/>
      <c r="E472" s="21" t="n"/>
      <c r="F472" s="21" t="n"/>
      <c r="G472" s="20" t="n"/>
      <c r="H472" s="24" t="str">
        <f>IF(E472="","",IF(N(F472)&gt;=E472,"Paid",IF(AND(D472&lt;&gt;"",D472&lt;TODAY()),"Overdue",IF(N(F472)&gt;0,"Part paid","Upcoming"))))</f>
        <v/>
      </c>
      <c r="I472" s="5" t="n"/>
    </row>
    <row r="473">
      <c r="A473" s="14" t="n"/>
      <c r="B473" s="23" t="str">
        <f>IF(A473="","",IFERROR(INDEX('Units &amp; sales'!$I$12:$I$311,MATCH(A473,'Units &amp; sales'!$C$12:$C$311,0))&amp;"",""))</f>
        <v/>
      </c>
      <c r="C473" s="5" t="n"/>
      <c r="D473" s="20" t="n"/>
      <c r="E473" s="21" t="n"/>
      <c r="F473" s="21" t="n"/>
      <c r="G473" s="20" t="n"/>
      <c r="H473" s="24" t="str">
        <f>IF(E473="","",IF(N(F473)&gt;=E473,"Paid",IF(AND(D473&lt;&gt;"",D473&lt;TODAY()),"Overdue",IF(N(F473)&gt;0,"Part paid","Upcoming"))))</f>
        <v/>
      </c>
      <c r="I473" s="5" t="n"/>
    </row>
    <row r="474">
      <c r="A474" s="14" t="n"/>
      <c r="B474" s="23" t="str">
        <f>IF(A474="","",IFERROR(INDEX('Units &amp; sales'!$I$12:$I$311,MATCH(A474,'Units &amp; sales'!$C$12:$C$311,0))&amp;"",""))</f>
        <v/>
      </c>
      <c r="C474" s="5" t="n"/>
      <c r="D474" s="20" t="n"/>
      <c r="E474" s="21" t="n"/>
      <c r="F474" s="21" t="n"/>
      <c r="G474" s="20" t="n"/>
      <c r="H474" s="24" t="str">
        <f>IF(E474="","",IF(N(F474)&gt;=E474,"Paid",IF(AND(D474&lt;&gt;"",D474&lt;TODAY()),"Overdue",IF(N(F474)&gt;0,"Part paid","Upcoming"))))</f>
        <v/>
      </c>
      <c r="I474" s="5" t="n"/>
    </row>
    <row r="475">
      <c r="A475" s="14" t="n"/>
      <c r="B475" s="23" t="str">
        <f>IF(A475="","",IFERROR(INDEX('Units &amp; sales'!$I$12:$I$311,MATCH(A475,'Units &amp; sales'!$C$12:$C$311,0))&amp;"",""))</f>
        <v/>
      </c>
      <c r="C475" s="5" t="n"/>
      <c r="D475" s="20" t="n"/>
      <c r="E475" s="21" t="n"/>
      <c r="F475" s="21" t="n"/>
      <c r="G475" s="20" t="n"/>
      <c r="H475" s="24" t="str">
        <f>IF(E475="","",IF(N(F475)&gt;=E475,"Paid",IF(AND(D475&lt;&gt;"",D475&lt;TODAY()),"Overdue",IF(N(F475)&gt;0,"Part paid","Upcoming"))))</f>
        <v/>
      </c>
      <c r="I475" s="5" t="n"/>
    </row>
    <row r="476">
      <c r="A476" s="14" t="n"/>
      <c r="B476" s="23" t="str">
        <f>IF(A476="","",IFERROR(INDEX('Units &amp; sales'!$I$12:$I$311,MATCH(A476,'Units &amp; sales'!$C$12:$C$311,0))&amp;"",""))</f>
        <v/>
      </c>
      <c r="C476" s="5" t="n"/>
      <c r="D476" s="20" t="n"/>
      <c r="E476" s="21" t="n"/>
      <c r="F476" s="21" t="n"/>
      <c r="G476" s="20" t="n"/>
      <c r="H476" s="24" t="str">
        <f>IF(E476="","",IF(N(F476)&gt;=E476,"Paid",IF(AND(D476&lt;&gt;"",D476&lt;TODAY()),"Overdue",IF(N(F476)&gt;0,"Part paid","Upcoming"))))</f>
        <v/>
      </c>
      <c r="I476" s="5" t="n"/>
    </row>
    <row r="477">
      <c r="A477" s="14" t="n"/>
      <c r="B477" s="23" t="str">
        <f>IF(A477="","",IFERROR(INDEX('Units &amp; sales'!$I$12:$I$311,MATCH(A477,'Units &amp; sales'!$C$12:$C$311,0))&amp;"",""))</f>
        <v/>
      </c>
      <c r="C477" s="5" t="n"/>
      <c r="D477" s="20" t="n"/>
      <c r="E477" s="21" t="n"/>
      <c r="F477" s="21" t="n"/>
      <c r="G477" s="20" t="n"/>
      <c r="H477" s="24" t="str">
        <f>IF(E477="","",IF(N(F477)&gt;=E477,"Paid",IF(AND(D477&lt;&gt;"",D477&lt;TODAY()),"Overdue",IF(N(F477)&gt;0,"Part paid","Upcoming"))))</f>
        <v/>
      </c>
      <c r="I477" s="5" t="n"/>
    </row>
    <row r="478">
      <c r="A478" s="14" t="n"/>
      <c r="B478" s="23" t="str">
        <f>IF(A478="","",IFERROR(INDEX('Units &amp; sales'!$I$12:$I$311,MATCH(A478,'Units &amp; sales'!$C$12:$C$311,0))&amp;"",""))</f>
        <v/>
      </c>
      <c r="C478" s="5" t="n"/>
      <c r="D478" s="20" t="n"/>
      <c r="E478" s="21" t="n"/>
      <c r="F478" s="21" t="n"/>
      <c r="G478" s="20" t="n"/>
      <c r="H478" s="24" t="str">
        <f>IF(E478="","",IF(N(F478)&gt;=E478,"Paid",IF(AND(D478&lt;&gt;"",D478&lt;TODAY()),"Overdue",IF(N(F478)&gt;0,"Part paid","Upcoming"))))</f>
        <v/>
      </c>
      <c r="I478" s="5" t="n"/>
    </row>
    <row r="479">
      <c r="A479" s="14" t="n"/>
      <c r="B479" s="23" t="str">
        <f>IF(A479="","",IFERROR(INDEX('Units &amp; sales'!$I$12:$I$311,MATCH(A479,'Units &amp; sales'!$C$12:$C$311,0))&amp;"",""))</f>
        <v/>
      </c>
      <c r="C479" s="5" t="n"/>
      <c r="D479" s="20" t="n"/>
      <c r="E479" s="21" t="n"/>
      <c r="F479" s="21" t="n"/>
      <c r="G479" s="20" t="n"/>
      <c r="H479" s="24" t="str">
        <f>IF(E479="","",IF(N(F479)&gt;=E479,"Paid",IF(AND(D479&lt;&gt;"",D479&lt;TODAY()),"Overdue",IF(N(F479)&gt;0,"Part paid","Upcoming"))))</f>
        <v/>
      </c>
      <c r="I479" s="5" t="n"/>
    </row>
    <row r="480">
      <c r="A480" s="14" t="n"/>
      <c r="B480" s="23" t="str">
        <f>IF(A480="","",IFERROR(INDEX('Units &amp; sales'!$I$12:$I$311,MATCH(A480,'Units &amp; sales'!$C$12:$C$311,0))&amp;"",""))</f>
        <v/>
      </c>
      <c r="C480" s="5" t="n"/>
      <c r="D480" s="20" t="n"/>
      <c r="E480" s="21" t="n"/>
      <c r="F480" s="21" t="n"/>
      <c r="G480" s="20" t="n"/>
      <c r="H480" s="24" t="str">
        <f>IF(E480="","",IF(N(F480)&gt;=E480,"Paid",IF(AND(D480&lt;&gt;"",D480&lt;TODAY()),"Overdue",IF(N(F480)&gt;0,"Part paid","Upcoming"))))</f>
        <v/>
      </c>
      <c r="I480" s="5" t="n"/>
    </row>
    <row r="481">
      <c r="A481" s="14" t="n"/>
      <c r="B481" s="23" t="str">
        <f>IF(A481="","",IFERROR(INDEX('Units &amp; sales'!$I$12:$I$311,MATCH(A481,'Units &amp; sales'!$C$12:$C$311,0))&amp;"",""))</f>
        <v/>
      </c>
      <c r="C481" s="5" t="n"/>
      <c r="D481" s="20" t="n"/>
      <c r="E481" s="21" t="n"/>
      <c r="F481" s="21" t="n"/>
      <c r="G481" s="20" t="n"/>
      <c r="H481" s="24" t="str">
        <f>IF(E481="","",IF(N(F481)&gt;=E481,"Paid",IF(AND(D481&lt;&gt;"",D481&lt;TODAY()),"Overdue",IF(N(F481)&gt;0,"Part paid","Upcoming"))))</f>
        <v/>
      </c>
      <c r="I481" s="5" t="n"/>
    </row>
    <row r="482">
      <c r="A482" s="14" t="n"/>
      <c r="B482" s="23" t="str">
        <f>IF(A482="","",IFERROR(INDEX('Units &amp; sales'!$I$12:$I$311,MATCH(A482,'Units &amp; sales'!$C$12:$C$311,0))&amp;"",""))</f>
        <v/>
      </c>
      <c r="C482" s="5" t="n"/>
      <c r="D482" s="20" t="n"/>
      <c r="E482" s="21" t="n"/>
      <c r="F482" s="21" t="n"/>
      <c r="G482" s="20" t="n"/>
      <c r="H482" s="24" t="str">
        <f>IF(E482="","",IF(N(F482)&gt;=E482,"Paid",IF(AND(D482&lt;&gt;"",D482&lt;TODAY()),"Overdue",IF(N(F482)&gt;0,"Part paid","Upcoming"))))</f>
        <v/>
      </c>
      <c r="I482" s="5" t="n"/>
    </row>
    <row r="483">
      <c r="A483" s="14" t="n"/>
      <c r="B483" s="23" t="str">
        <f>IF(A483="","",IFERROR(INDEX('Units &amp; sales'!$I$12:$I$311,MATCH(A483,'Units &amp; sales'!$C$12:$C$311,0))&amp;"",""))</f>
        <v/>
      </c>
      <c r="C483" s="5" t="n"/>
      <c r="D483" s="20" t="n"/>
      <c r="E483" s="21" t="n"/>
      <c r="F483" s="21" t="n"/>
      <c r="G483" s="20" t="n"/>
      <c r="H483" s="24" t="str">
        <f>IF(E483="","",IF(N(F483)&gt;=E483,"Paid",IF(AND(D483&lt;&gt;"",D483&lt;TODAY()),"Overdue",IF(N(F483)&gt;0,"Part paid","Upcoming"))))</f>
        <v/>
      </c>
      <c r="I483" s="5" t="n"/>
    </row>
    <row r="484">
      <c r="A484" s="14" t="n"/>
      <c r="B484" s="23" t="str">
        <f>IF(A484="","",IFERROR(INDEX('Units &amp; sales'!$I$12:$I$311,MATCH(A484,'Units &amp; sales'!$C$12:$C$311,0))&amp;"",""))</f>
        <v/>
      </c>
      <c r="C484" s="5" t="n"/>
      <c r="D484" s="20" t="n"/>
      <c r="E484" s="21" t="n"/>
      <c r="F484" s="21" t="n"/>
      <c r="G484" s="20" t="n"/>
      <c r="H484" s="24" t="str">
        <f>IF(E484="","",IF(N(F484)&gt;=E484,"Paid",IF(AND(D484&lt;&gt;"",D484&lt;TODAY()),"Overdue",IF(N(F484)&gt;0,"Part paid","Upcoming"))))</f>
        <v/>
      </c>
      <c r="I484" s="5" t="n"/>
    </row>
    <row r="485">
      <c r="A485" s="14" t="n"/>
      <c r="B485" s="23" t="str">
        <f>IF(A485="","",IFERROR(INDEX('Units &amp; sales'!$I$12:$I$311,MATCH(A485,'Units &amp; sales'!$C$12:$C$311,0))&amp;"",""))</f>
        <v/>
      </c>
      <c r="C485" s="5" t="n"/>
      <c r="D485" s="20" t="n"/>
      <c r="E485" s="21" t="n"/>
      <c r="F485" s="21" t="n"/>
      <c r="G485" s="20" t="n"/>
      <c r="H485" s="24" t="str">
        <f>IF(E485="","",IF(N(F485)&gt;=E485,"Paid",IF(AND(D485&lt;&gt;"",D485&lt;TODAY()),"Overdue",IF(N(F485)&gt;0,"Part paid","Upcoming"))))</f>
        <v/>
      </c>
      <c r="I485" s="5" t="n"/>
    </row>
    <row r="486">
      <c r="A486" s="14" t="n"/>
      <c r="B486" s="23" t="str">
        <f>IF(A486="","",IFERROR(INDEX('Units &amp; sales'!$I$12:$I$311,MATCH(A486,'Units &amp; sales'!$C$12:$C$311,0))&amp;"",""))</f>
        <v/>
      </c>
      <c r="C486" s="5" t="n"/>
      <c r="D486" s="20" t="n"/>
      <c r="E486" s="21" t="n"/>
      <c r="F486" s="21" t="n"/>
      <c r="G486" s="20" t="n"/>
      <c r="H486" s="24" t="str">
        <f>IF(E486="","",IF(N(F486)&gt;=E486,"Paid",IF(AND(D486&lt;&gt;"",D486&lt;TODAY()),"Overdue",IF(N(F486)&gt;0,"Part paid","Upcoming"))))</f>
        <v/>
      </c>
      <c r="I486" s="5" t="n"/>
    </row>
    <row r="487">
      <c r="A487" s="14" t="n"/>
      <c r="B487" s="23" t="str">
        <f>IF(A487="","",IFERROR(INDEX('Units &amp; sales'!$I$12:$I$311,MATCH(A487,'Units &amp; sales'!$C$12:$C$311,0))&amp;"",""))</f>
        <v/>
      </c>
      <c r="C487" s="5" t="n"/>
      <c r="D487" s="20" t="n"/>
      <c r="E487" s="21" t="n"/>
      <c r="F487" s="21" t="n"/>
      <c r="G487" s="20" t="n"/>
      <c r="H487" s="24" t="str">
        <f>IF(E487="","",IF(N(F487)&gt;=E487,"Paid",IF(AND(D487&lt;&gt;"",D487&lt;TODAY()),"Overdue",IF(N(F487)&gt;0,"Part paid","Upcoming"))))</f>
        <v/>
      </c>
      <c r="I487" s="5" t="n"/>
    </row>
    <row r="488">
      <c r="A488" s="14" t="n"/>
      <c r="B488" s="23" t="str">
        <f>IF(A488="","",IFERROR(INDEX('Units &amp; sales'!$I$12:$I$311,MATCH(A488,'Units &amp; sales'!$C$12:$C$311,0))&amp;"",""))</f>
        <v/>
      </c>
      <c r="C488" s="5" t="n"/>
      <c r="D488" s="20" t="n"/>
      <c r="E488" s="21" t="n"/>
      <c r="F488" s="21" t="n"/>
      <c r="G488" s="20" t="n"/>
      <c r="H488" s="24" t="str">
        <f>IF(E488="","",IF(N(F488)&gt;=E488,"Paid",IF(AND(D488&lt;&gt;"",D488&lt;TODAY()),"Overdue",IF(N(F488)&gt;0,"Part paid","Upcoming"))))</f>
        <v/>
      </c>
      <c r="I488" s="5" t="n"/>
    </row>
    <row r="489">
      <c r="A489" s="14" t="n"/>
      <c r="B489" s="23" t="str">
        <f>IF(A489="","",IFERROR(INDEX('Units &amp; sales'!$I$12:$I$311,MATCH(A489,'Units &amp; sales'!$C$12:$C$311,0))&amp;"",""))</f>
        <v/>
      </c>
      <c r="C489" s="5" t="n"/>
      <c r="D489" s="20" t="n"/>
      <c r="E489" s="21" t="n"/>
      <c r="F489" s="21" t="n"/>
      <c r="G489" s="20" t="n"/>
      <c r="H489" s="24" t="str">
        <f>IF(E489="","",IF(N(F489)&gt;=E489,"Paid",IF(AND(D489&lt;&gt;"",D489&lt;TODAY()),"Overdue",IF(N(F489)&gt;0,"Part paid","Upcoming"))))</f>
        <v/>
      </c>
      <c r="I489" s="5" t="n"/>
    </row>
    <row r="490">
      <c r="A490" s="14" t="n"/>
      <c r="B490" s="23" t="str">
        <f>IF(A490="","",IFERROR(INDEX('Units &amp; sales'!$I$12:$I$311,MATCH(A490,'Units &amp; sales'!$C$12:$C$311,0))&amp;"",""))</f>
        <v/>
      </c>
      <c r="C490" s="5" t="n"/>
      <c r="D490" s="20" t="n"/>
      <c r="E490" s="21" t="n"/>
      <c r="F490" s="21" t="n"/>
      <c r="G490" s="20" t="n"/>
      <c r="H490" s="24" t="str">
        <f>IF(E490="","",IF(N(F490)&gt;=E490,"Paid",IF(AND(D490&lt;&gt;"",D490&lt;TODAY()),"Overdue",IF(N(F490)&gt;0,"Part paid","Upcoming"))))</f>
        <v/>
      </c>
      <c r="I490" s="5" t="n"/>
    </row>
    <row r="491">
      <c r="A491" s="14" t="n"/>
      <c r="B491" s="23" t="str">
        <f>IF(A491="","",IFERROR(INDEX('Units &amp; sales'!$I$12:$I$311,MATCH(A491,'Units &amp; sales'!$C$12:$C$311,0))&amp;"",""))</f>
        <v/>
      </c>
      <c r="C491" s="5" t="n"/>
      <c r="D491" s="20" t="n"/>
      <c r="E491" s="21" t="n"/>
      <c r="F491" s="21" t="n"/>
      <c r="G491" s="20" t="n"/>
      <c r="H491" s="24" t="str">
        <f>IF(E491="","",IF(N(F491)&gt;=E491,"Paid",IF(AND(D491&lt;&gt;"",D491&lt;TODAY()),"Overdue",IF(N(F491)&gt;0,"Part paid","Upcoming"))))</f>
        <v/>
      </c>
      <c r="I491" s="5" t="n"/>
    </row>
    <row r="492">
      <c r="A492" s="14" t="n"/>
      <c r="B492" s="23" t="str">
        <f>IF(A492="","",IFERROR(INDEX('Units &amp; sales'!$I$12:$I$311,MATCH(A492,'Units &amp; sales'!$C$12:$C$311,0))&amp;"",""))</f>
        <v/>
      </c>
      <c r="C492" s="5" t="n"/>
      <c r="D492" s="20" t="n"/>
      <c r="E492" s="21" t="n"/>
      <c r="F492" s="21" t="n"/>
      <c r="G492" s="20" t="n"/>
      <c r="H492" s="24" t="str">
        <f>IF(E492="","",IF(N(F492)&gt;=E492,"Paid",IF(AND(D492&lt;&gt;"",D492&lt;TODAY()),"Overdue",IF(N(F492)&gt;0,"Part paid","Upcoming"))))</f>
        <v/>
      </c>
      <c r="I492" s="5" t="n"/>
    </row>
    <row r="493">
      <c r="A493" s="14" t="n"/>
      <c r="B493" s="23" t="str">
        <f>IF(A493="","",IFERROR(INDEX('Units &amp; sales'!$I$12:$I$311,MATCH(A493,'Units &amp; sales'!$C$12:$C$311,0))&amp;"",""))</f>
        <v/>
      </c>
      <c r="C493" s="5" t="n"/>
      <c r="D493" s="20" t="n"/>
      <c r="E493" s="21" t="n"/>
      <c r="F493" s="21" t="n"/>
      <c r="G493" s="20" t="n"/>
      <c r="H493" s="24" t="str">
        <f>IF(E493="","",IF(N(F493)&gt;=E493,"Paid",IF(AND(D493&lt;&gt;"",D493&lt;TODAY()),"Overdue",IF(N(F493)&gt;0,"Part paid","Upcoming"))))</f>
        <v/>
      </c>
      <c r="I493" s="5" t="n"/>
    </row>
    <row r="494">
      <c r="A494" s="14" t="n"/>
      <c r="B494" s="23" t="str">
        <f>IF(A494="","",IFERROR(INDEX('Units &amp; sales'!$I$12:$I$311,MATCH(A494,'Units &amp; sales'!$C$12:$C$311,0))&amp;"",""))</f>
        <v/>
      </c>
      <c r="C494" s="5" t="n"/>
      <c r="D494" s="20" t="n"/>
      <c r="E494" s="21" t="n"/>
      <c r="F494" s="21" t="n"/>
      <c r="G494" s="20" t="n"/>
      <c r="H494" s="24" t="str">
        <f>IF(E494="","",IF(N(F494)&gt;=E494,"Paid",IF(AND(D494&lt;&gt;"",D494&lt;TODAY()),"Overdue",IF(N(F494)&gt;0,"Part paid","Upcoming"))))</f>
        <v/>
      </c>
      <c r="I494" s="5" t="n"/>
    </row>
    <row r="495">
      <c r="A495" s="14" t="n"/>
      <c r="B495" s="23" t="str">
        <f>IF(A495="","",IFERROR(INDEX('Units &amp; sales'!$I$12:$I$311,MATCH(A495,'Units &amp; sales'!$C$12:$C$311,0))&amp;"",""))</f>
        <v/>
      </c>
      <c r="C495" s="5" t="n"/>
      <c r="D495" s="20" t="n"/>
      <c r="E495" s="21" t="n"/>
      <c r="F495" s="21" t="n"/>
      <c r="G495" s="20" t="n"/>
      <c r="H495" s="24" t="str">
        <f>IF(E495="","",IF(N(F495)&gt;=E495,"Paid",IF(AND(D495&lt;&gt;"",D495&lt;TODAY()),"Overdue",IF(N(F495)&gt;0,"Part paid","Upcoming"))))</f>
        <v/>
      </c>
      <c r="I495" s="5" t="n"/>
    </row>
    <row r="496">
      <c r="A496" s="14" t="n"/>
      <c r="B496" s="23" t="str">
        <f>IF(A496="","",IFERROR(INDEX('Units &amp; sales'!$I$12:$I$311,MATCH(A496,'Units &amp; sales'!$C$12:$C$311,0))&amp;"",""))</f>
        <v/>
      </c>
      <c r="C496" s="5" t="n"/>
      <c r="D496" s="20" t="n"/>
      <c r="E496" s="21" t="n"/>
      <c r="F496" s="21" t="n"/>
      <c r="G496" s="20" t="n"/>
      <c r="H496" s="24" t="str">
        <f>IF(E496="","",IF(N(F496)&gt;=E496,"Paid",IF(AND(D496&lt;&gt;"",D496&lt;TODAY()),"Overdue",IF(N(F496)&gt;0,"Part paid","Upcoming"))))</f>
        <v/>
      </c>
      <c r="I496" s="5" t="n"/>
    </row>
    <row r="497">
      <c r="A497" s="14" t="n"/>
      <c r="B497" s="23" t="str">
        <f>IF(A497="","",IFERROR(INDEX('Units &amp; sales'!$I$12:$I$311,MATCH(A497,'Units &amp; sales'!$C$12:$C$311,0))&amp;"",""))</f>
        <v/>
      </c>
      <c r="C497" s="5" t="n"/>
      <c r="D497" s="20" t="n"/>
      <c r="E497" s="21" t="n"/>
      <c r="F497" s="21" t="n"/>
      <c r="G497" s="20" t="n"/>
      <c r="H497" s="24" t="str">
        <f>IF(E497="","",IF(N(F497)&gt;=E497,"Paid",IF(AND(D497&lt;&gt;"",D497&lt;TODAY()),"Overdue",IF(N(F497)&gt;0,"Part paid","Upcoming"))))</f>
        <v/>
      </c>
      <c r="I497" s="5" t="n"/>
    </row>
    <row r="498">
      <c r="A498" s="14" t="n"/>
      <c r="B498" s="23" t="str">
        <f>IF(A498="","",IFERROR(INDEX('Units &amp; sales'!$I$12:$I$311,MATCH(A498,'Units &amp; sales'!$C$12:$C$311,0))&amp;"",""))</f>
        <v/>
      </c>
      <c r="C498" s="5" t="n"/>
      <c r="D498" s="20" t="n"/>
      <c r="E498" s="21" t="n"/>
      <c r="F498" s="21" t="n"/>
      <c r="G498" s="20" t="n"/>
      <c r="H498" s="24" t="str">
        <f>IF(E498="","",IF(N(F498)&gt;=E498,"Paid",IF(AND(D498&lt;&gt;"",D498&lt;TODAY()),"Overdue",IF(N(F498)&gt;0,"Part paid","Upcoming"))))</f>
        <v/>
      </c>
      <c r="I498" s="5" t="n"/>
    </row>
    <row r="499">
      <c r="A499" s="14" t="n"/>
      <c r="B499" s="23" t="str">
        <f>IF(A499="","",IFERROR(INDEX('Units &amp; sales'!$I$12:$I$311,MATCH(A499,'Units &amp; sales'!$C$12:$C$311,0))&amp;"",""))</f>
        <v/>
      </c>
      <c r="C499" s="5" t="n"/>
      <c r="D499" s="20" t="n"/>
      <c r="E499" s="21" t="n"/>
      <c r="F499" s="21" t="n"/>
      <c r="G499" s="20" t="n"/>
      <c r="H499" s="24" t="str">
        <f>IF(E499="","",IF(N(F499)&gt;=E499,"Paid",IF(AND(D499&lt;&gt;"",D499&lt;TODAY()),"Overdue",IF(N(F499)&gt;0,"Part paid","Upcoming"))))</f>
        <v/>
      </c>
      <c r="I499" s="5" t="n"/>
    </row>
    <row r="500">
      <c r="A500" s="14" t="n"/>
      <c r="B500" s="23" t="str">
        <f>IF(A500="","",IFERROR(INDEX('Units &amp; sales'!$I$12:$I$311,MATCH(A500,'Units &amp; sales'!$C$12:$C$311,0))&amp;"",""))</f>
        <v/>
      </c>
      <c r="C500" s="5" t="n"/>
      <c r="D500" s="20" t="n"/>
      <c r="E500" s="21" t="n"/>
      <c r="F500" s="21" t="n"/>
      <c r="G500" s="20" t="n"/>
      <c r="H500" s="24" t="str">
        <f>IF(E500="","",IF(N(F500)&gt;=E500,"Paid",IF(AND(D500&lt;&gt;"",D500&lt;TODAY()),"Overdue",IF(N(F500)&gt;0,"Part paid","Upcoming"))))</f>
        <v/>
      </c>
      <c r="I500" s="5" t="n"/>
    </row>
    <row r="501">
      <c r="A501" s="14" t="n"/>
      <c r="B501" s="23" t="str">
        <f>IF(A501="","",IFERROR(INDEX('Units &amp; sales'!$I$12:$I$311,MATCH(A501,'Units &amp; sales'!$C$12:$C$311,0))&amp;"",""))</f>
        <v/>
      </c>
      <c r="C501" s="5" t="n"/>
      <c r="D501" s="20" t="n"/>
      <c r="E501" s="21" t="n"/>
      <c r="F501" s="21" t="n"/>
      <c r="G501" s="20" t="n"/>
      <c r="H501" s="24" t="str">
        <f>IF(E501="","",IF(N(F501)&gt;=E501,"Paid",IF(AND(D501&lt;&gt;"",D501&lt;TODAY()),"Overdue",IF(N(F501)&gt;0,"Part paid","Upcoming"))))</f>
        <v/>
      </c>
      <c r="I501" s="5" t="n"/>
    </row>
    <row r="502">
      <c r="A502" s="14" t="n"/>
      <c r="B502" s="23" t="str">
        <f>IF(A502="","",IFERROR(INDEX('Units &amp; sales'!$I$12:$I$311,MATCH(A502,'Units &amp; sales'!$C$12:$C$311,0))&amp;"",""))</f>
        <v/>
      </c>
      <c r="C502" s="5" t="n"/>
      <c r="D502" s="20" t="n"/>
      <c r="E502" s="21" t="n"/>
      <c r="F502" s="21" t="n"/>
      <c r="G502" s="20" t="n"/>
      <c r="H502" s="24" t="str">
        <f>IF(E502="","",IF(N(F502)&gt;=E502,"Paid",IF(AND(D502&lt;&gt;"",D502&lt;TODAY()),"Overdue",IF(N(F502)&gt;0,"Part paid","Upcoming"))))</f>
        <v/>
      </c>
      <c r="I502" s="5" t="n"/>
    </row>
    <row r="503">
      <c r="A503" s="14" t="n"/>
      <c r="B503" s="23" t="str">
        <f>IF(A503="","",IFERROR(INDEX('Units &amp; sales'!$I$12:$I$311,MATCH(A503,'Units &amp; sales'!$C$12:$C$311,0))&amp;"",""))</f>
        <v/>
      </c>
      <c r="C503" s="5" t="n"/>
      <c r="D503" s="20" t="n"/>
      <c r="E503" s="21" t="n"/>
      <c r="F503" s="21" t="n"/>
      <c r="G503" s="20" t="n"/>
      <c r="H503" s="24" t="str">
        <f>IF(E503="","",IF(N(F503)&gt;=E503,"Paid",IF(AND(D503&lt;&gt;"",D503&lt;TODAY()),"Overdue",IF(N(F503)&gt;0,"Part paid","Upcoming"))))</f>
        <v/>
      </c>
      <c r="I503" s="5" t="n"/>
    </row>
    <row r="504">
      <c r="A504" s="14" t="n"/>
      <c r="B504" s="23" t="str">
        <f>IF(A504="","",IFERROR(INDEX('Units &amp; sales'!$I$12:$I$311,MATCH(A504,'Units &amp; sales'!$C$12:$C$311,0))&amp;"",""))</f>
        <v/>
      </c>
      <c r="C504" s="5" t="n"/>
      <c r="D504" s="20" t="n"/>
      <c r="E504" s="21" t="n"/>
      <c r="F504" s="21" t="n"/>
      <c r="G504" s="20" t="n"/>
      <c r="H504" s="24" t="str">
        <f>IF(E504="","",IF(N(F504)&gt;=E504,"Paid",IF(AND(D504&lt;&gt;"",D504&lt;TODAY()),"Overdue",IF(N(F504)&gt;0,"Part paid","Upcoming"))))</f>
        <v/>
      </c>
      <c r="I504" s="5" t="n"/>
    </row>
    <row r="505">
      <c r="A505" s="14" t="n"/>
      <c r="B505" s="23" t="str">
        <f>IF(A505="","",IFERROR(INDEX('Units &amp; sales'!$I$12:$I$311,MATCH(A505,'Units &amp; sales'!$C$12:$C$311,0))&amp;"",""))</f>
        <v/>
      </c>
      <c r="C505" s="5" t="n"/>
      <c r="D505" s="20" t="n"/>
      <c r="E505" s="21" t="n"/>
      <c r="F505" s="21" t="n"/>
      <c r="G505" s="20" t="n"/>
      <c r="H505" s="24" t="str">
        <f>IF(E505="","",IF(N(F505)&gt;=E505,"Paid",IF(AND(D505&lt;&gt;"",D505&lt;TODAY()),"Overdue",IF(N(F505)&gt;0,"Part paid","Upcoming"))))</f>
        <v/>
      </c>
      <c r="I505" s="5" t="n"/>
    </row>
    <row r="506">
      <c r="A506" s="14" t="n"/>
      <c r="B506" s="23" t="str">
        <f>IF(A506="","",IFERROR(INDEX('Units &amp; sales'!$I$12:$I$311,MATCH(A506,'Units &amp; sales'!$C$12:$C$311,0))&amp;"",""))</f>
        <v/>
      </c>
      <c r="C506" s="5" t="n"/>
      <c r="D506" s="20" t="n"/>
      <c r="E506" s="21" t="n"/>
      <c r="F506" s="21" t="n"/>
      <c r="G506" s="20" t="n"/>
      <c r="H506" s="24" t="str">
        <f>IF(E506="","",IF(N(F506)&gt;=E506,"Paid",IF(AND(D506&lt;&gt;"",D506&lt;TODAY()),"Overdue",IF(N(F506)&gt;0,"Part paid","Upcoming"))))</f>
        <v/>
      </c>
      <c r="I506" s="5" t="n"/>
    </row>
    <row r="507">
      <c r="A507" s="14" t="n"/>
      <c r="B507" s="23" t="str">
        <f>IF(A507="","",IFERROR(INDEX('Units &amp; sales'!$I$12:$I$311,MATCH(A507,'Units &amp; sales'!$C$12:$C$311,0))&amp;"",""))</f>
        <v/>
      </c>
      <c r="C507" s="5" t="n"/>
      <c r="D507" s="20" t="n"/>
      <c r="E507" s="21" t="n"/>
      <c r="F507" s="21" t="n"/>
      <c r="G507" s="20" t="n"/>
      <c r="H507" s="24" t="str">
        <f>IF(E507="","",IF(N(F507)&gt;=E507,"Paid",IF(AND(D507&lt;&gt;"",D507&lt;TODAY()),"Overdue",IF(N(F507)&gt;0,"Part paid","Upcoming"))))</f>
        <v/>
      </c>
      <c r="I507" s="5" t="n"/>
    </row>
  </sheetData>
  <mergeCells count="2">
    <mergeCell ref="A1:I1"/>
    <mergeCell ref="A2:I2"/>
  </mergeCells>
  <conditionalFormatting sqref="E4">
    <cfRule type="expression" priority="1" dxfId="4">
      <formula>E4&gt;0</formula>
    </cfRule>
  </conditionalFormatting>
  <conditionalFormatting sqref="H8:H507">
    <cfRule type="expression" priority="2" dxfId="0">
      <formula>H8="Paid"</formula>
    </cfRule>
    <cfRule type="expression" priority="3" dxfId="1">
      <formula>H8="Part paid"</formula>
    </cfRule>
    <cfRule type="expression" priority="4" dxfId="5">
      <formula>H8="Overdue"</formula>
    </cfRule>
  </conditionalFormatting>
  <dataValidations count="2">
    <dataValidation sqref="C8:C507" showDropDown="0" showInputMessage="0" showErrorMessage="0" allowBlank="1" errorTitle="Not in the list" error="Pick from the list (you can edit it on the Lists sheet)" type="list" errorStyle="warning">
      <formula1>=PayStages</formula1>
    </dataValidation>
    <dataValidation sqref="E8:F507" showDropDown="0" showInputMessage="0" showErrorMessage="0" allowBlank="1" error="Enter a number" type="decimal" errorStyle="warning" operator="greaterThanOrEqual">
      <formula1>0</formula1>
    </dataValidation>
  </dataValidations>
  <printOptions horizontalCentered="1"/>
  <pageMargins left="0.4" right="0.4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B19"/>
  <sheetViews>
    <sheetView showGridLines="0" rightToLeft="0" zoomScale="100" workbookViewId="0">
      <selection activeCell="A1" sqref="A1"/>
    </sheetView>
  </sheetViews>
  <sheetFormatPr baseColWidth="8" defaultRowHeight="15"/>
  <cols>
    <col width="26" customWidth="1" min="1" max="1"/>
    <col width="26" customWidth="1" min="2" max="2"/>
  </cols>
  <sheetData>
    <row r="1" ht="34" customHeight="1">
      <c r="A1" s="1" t="inlineStr">
        <is>
          <t>Dropdown lists</t>
        </is>
      </c>
      <c r="B1" s="2" t="n"/>
    </row>
    <row r="2" ht="44" customHeight="1">
      <c r="A2" s="3" t="inlineStr">
        <is>
          <t>Change, add or remove items — the dropdowns in the workbook update by themselves.</t>
        </is>
      </c>
    </row>
    <row r="4" ht="32" customHeight="1">
      <c r="A4" s="12" t="inlineStr">
        <is>
          <t>Unit status</t>
        </is>
      </c>
      <c r="B4" s="12" t="inlineStr">
        <is>
          <t>Payment stages</t>
        </is>
      </c>
    </row>
    <row r="5">
      <c r="A5" s="5" t="inlineStr">
        <is>
          <t>Available</t>
        </is>
      </c>
      <c r="B5" s="5" t="inlineStr">
        <is>
          <t>Deposit at signing</t>
        </is>
      </c>
    </row>
    <row r="6">
      <c r="A6" s="5" t="inlineStr">
        <is>
          <t>Reserved</t>
        </is>
      </c>
      <c r="B6" s="5" t="inlineStr">
        <is>
          <t>Foundations done</t>
        </is>
      </c>
    </row>
    <row r="7">
      <c r="A7" s="5" t="inlineStr">
        <is>
          <t>Contract signed</t>
        </is>
      </c>
      <c r="B7" s="5" t="inlineStr">
        <is>
          <t>Frame done</t>
        </is>
      </c>
    </row>
    <row r="8">
      <c r="A8" s="5" t="inlineStr">
        <is>
          <t>Handed over</t>
        </is>
      </c>
      <c r="B8" s="5" t="inlineStr">
        <is>
          <t>Plaster &amp; windows</t>
        </is>
      </c>
    </row>
    <row r="9">
      <c r="A9" s="5" t="n"/>
      <c r="B9" s="5" t="inlineStr">
        <is>
          <t>Finishing</t>
        </is>
      </c>
    </row>
    <row r="10">
      <c r="A10" s="5" t="n"/>
      <c r="B10" s="5" t="inlineStr">
        <is>
          <t>Key handover</t>
        </is>
      </c>
    </row>
    <row r="11">
      <c r="A11" s="5" t="n"/>
      <c r="B11" s="5" t="inlineStr">
        <is>
          <t>Other</t>
        </is>
      </c>
    </row>
    <row r="12">
      <c r="A12" s="5" t="n"/>
      <c r="B12" s="5" t="n"/>
    </row>
    <row r="13">
      <c r="A13" s="5" t="n"/>
      <c r="B13" s="5" t="n"/>
    </row>
    <row r="14">
      <c r="A14" s="5" t="n"/>
      <c r="B14" s="5" t="n"/>
    </row>
    <row r="15">
      <c r="B15" s="5" t="n"/>
    </row>
    <row r="16">
      <c r="B16" s="5" t="n"/>
    </row>
    <row r="17">
      <c r="B17" s="5" t="n"/>
    </row>
    <row r="18">
      <c r="B18" s="5" t="n"/>
    </row>
    <row r="19">
      <c r="B19" s="5" t="n"/>
    </row>
  </sheetData>
  <mergeCells count="2">
    <mergeCell ref="A2:B2"/>
    <mergeCell ref="A1:B1"/>
  </mergeCells>
  <printOptions horizontalCentered="1"/>
  <pageMargins left="0.4" right="0.4" top="1" bottom="1" header="0.5" footer="0.5"/>
  <pageSetup orientation="portrait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2026-10-14T14:13:34Z</dcterms:created>
  <dcterms:modified xmlns:dcterms="http://purl.org/dc/terms/" xmlns:xsi="http://www.w3.org/2001/XMLSchema-instance" xsi:type="dcterms:W3CDTF">2026-10-14T14:13:35Z</dcterms:modified>
</cp:coreProperties>
</file>