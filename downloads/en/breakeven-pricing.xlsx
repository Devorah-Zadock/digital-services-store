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ak-ev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[Red]-#,##0"/>
    <numFmt numFmtId="165" formatCode="#,##0.00;[Red]-#,##0.00"/>
    <numFmt numFmtId="166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666666"/>
      <sz val="10"/>
    </font>
    <font>
      <name val="Arial"/>
      <b val="1"/>
      <color rgb="001F5C4E"/>
      <sz val="12"/>
    </font>
    <font>
      <name val="Arial"/>
      <color rgb="00222222"/>
      <sz val="11"/>
    </font>
    <font>
      <name val="Arial"/>
      <color rgb="000000CC"/>
      <sz val="11"/>
    </font>
    <font>
      <name val="Arial"/>
      <color rgb="00B42318"/>
      <sz val="11"/>
    </font>
    <font>
      <name val="Arial"/>
      <b val="1"/>
      <color rgb="00222222"/>
      <sz val="11"/>
    </font>
    <font>
      <name val="Arial"/>
      <b val="1"/>
      <color rgb="00FFFFFF"/>
      <sz val="11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1F5C4E"/>
      </patternFill>
    </fill>
    <fill>
      <patternFill patternType="solid">
        <fgColor rgb="00FFF9C4"/>
      </patternFill>
    </fill>
    <fill>
      <patternFill patternType="solid">
        <fgColor rgb="00E8F1EE"/>
      </patternFill>
    </fill>
  </fills>
  <borders count="6">
    <border>
      <left/>
      <right/>
      <top/>
      <bottom/>
      <diagonal/>
    </border>
    <border>
      <left style="thin">
        <color rgb="00D9DED9"/>
      </left>
      <right style="thin">
        <color rgb="00D9DED9"/>
      </right>
      <top style="thin">
        <color rgb="00D9DED9"/>
      </top>
      <bottom style="thin">
        <color rgb="00D9DED9"/>
      </bottom>
    </border>
    <border>
      <left/>
      <right/>
      <top style="thin">
        <color rgb="00D9DED9"/>
      </top>
      <bottom/>
      <diagonal/>
    </border>
    <border>
      <left/>
      <right style="thin">
        <color rgb="00D9DED9"/>
      </right>
      <top style="thin">
        <color rgb="00D9DED9"/>
      </top>
      <bottom/>
      <diagonal/>
    </border>
    <border>
      <left/>
      <right/>
      <top style="thin">
        <color rgb="00D9DED9"/>
      </top>
      <bottom style="thin">
        <color rgb="00D9DED9"/>
      </bottom>
      <diagonal/>
    </border>
    <border>
      <left/>
      <right style="thin">
        <color rgb="00D9DED9"/>
      </right>
      <top style="thin">
        <color rgb="00D9DED9"/>
      </top>
      <bottom style="thin">
        <color rgb="00D9DED9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left" vertical="center" readingOrder="1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 wrapText="1" readingOrder="1"/>
    </xf>
    <xf numFmtId="0" fontId="3" fillId="0" borderId="0" applyAlignment="1" pivotButton="0" quotePrefix="0" xfId="0">
      <alignment horizontal="left" vertical="center" readingOrder="1"/>
    </xf>
    <xf numFmtId="0" fontId="4" fillId="0" borderId="1" applyAlignment="1" pivotButton="0" quotePrefix="0" xfId="0">
      <alignment horizontal="left" vertical="center" readingOrder="1"/>
    </xf>
    <xf numFmtId="164" fontId="5" fillId="3" borderId="1" applyAlignment="1" pivotButton="0" quotePrefix="0" xfId="0">
      <alignment vertical="center" readingOrder="1"/>
    </xf>
    <xf numFmtId="165" fontId="5" fillId="3" borderId="1" applyAlignment="1" pivotButton="0" quotePrefix="0" xfId="0">
      <alignment vertical="center" readingOrder="1"/>
    </xf>
    <xf numFmtId="0" fontId="6" fillId="0" borderId="1" applyAlignment="1" pivotButton="0" quotePrefix="0" xfId="0">
      <alignment horizontal="left" vertical="center" readingOrder="1"/>
    </xf>
    <xf numFmtId="0" fontId="0" fillId="0" borderId="4" pivotButton="0" quotePrefix="0" xfId="0"/>
    <xf numFmtId="0" fontId="0" fillId="0" borderId="5" pivotButton="0" quotePrefix="0" xfId="0"/>
    <xf numFmtId="165" fontId="4" fillId="0" borderId="1" applyAlignment="1" pivotButton="0" quotePrefix="0" xfId="0">
      <alignment vertical="center" readingOrder="1"/>
    </xf>
    <xf numFmtId="166" fontId="4" fillId="0" borderId="1" applyAlignment="1" pivotButton="0" quotePrefix="0" xfId="0">
      <alignment vertical="center" readingOrder="1"/>
    </xf>
    <xf numFmtId="0" fontId="7" fillId="0" borderId="1" applyAlignment="1" pivotButton="0" quotePrefix="0" xfId="0">
      <alignment horizontal="left" vertical="center" readingOrder="1"/>
    </xf>
    <xf numFmtId="3" fontId="7" fillId="4" borderId="1" applyAlignment="1" pivotButton="0" quotePrefix="0" xfId="0">
      <alignment vertical="center" readingOrder="1"/>
    </xf>
    <xf numFmtId="164" fontId="4" fillId="0" borderId="1" applyAlignment="1" pivotButton="0" quotePrefix="0" xfId="0">
      <alignment vertical="center" readingOrder="1"/>
    </xf>
    <xf numFmtId="3" fontId="4" fillId="0" borderId="1" applyAlignment="1" pivotButton="0" quotePrefix="0" xfId="0">
      <alignment vertical="center" readingOrder="1"/>
    </xf>
    <xf numFmtId="0" fontId="8" fillId="2" borderId="1" applyAlignment="1" pivotButton="0" quotePrefix="0" xfId="0">
      <alignment horizontal="center" vertical="center" wrapText="1" readingOrder="1"/>
    </xf>
    <xf numFmtId="164" fontId="7" fillId="0" borderId="1" applyAlignment="1" pivotButton="0" quotePrefix="0" xfId="0">
      <alignment vertical="center" readingOrder="1"/>
    </xf>
    <xf numFmtId="0" fontId="4" fillId="0" borderId="1" applyAlignment="1" pivotButton="0" quotePrefix="0" xfId="0">
      <alignment horizontal="center" vertical="center" readingOrder="1"/>
    </xf>
    <xf numFmtId="3" fontId="5" fillId="3" borderId="1" applyAlignment="1" pivotButton="0" quotePrefix="0" xfId="0">
      <alignment vertical="center" readingOrder="1"/>
    </xf>
    <xf numFmtId="0" fontId="9" fillId="0" borderId="0" applyAlignment="1" pivotButton="0" quotePrefix="0" xfId="0">
      <alignment horizontal="left" vertical="center" wrapText="1" readingOrder="1"/>
    </xf>
  </cellXfs>
  <cellStyles count="1">
    <cellStyle name="Normal" xfId="0" builtinId="0" hidden="0"/>
  </cellStyles>
  <dxfs count="2">
    <dxf>
      <font>
        <b val="1"/>
        <color rgb="00B42318"/>
      </font>
      <fill>
        <patternFill patternType="solid">
          <fgColor rgb="00FDE2E1"/>
          <bgColor rgb="00FDE2E1"/>
        </patternFill>
      </fill>
    </dxf>
    <dxf>
      <font>
        <b val="1"/>
        <color rgb="001E6B3A"/>
      </font>
      <fill>
        <patternFill patternType="solid">
          <fgColor rgb="00DCF2E3"/>
          <bgColor rgb="00DCF2E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9"/>
  <sheetViews>
    <sheetView showGridLines="0" rightToLeft="0" zoomScale="100"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20" customWidth="1" min="4" max="4"/>
    <col width="18" customWidth="1" min="5" max="5"/>
  </cols>
  <sheetData>
    <row r="1" ht="34" customHeight="1">
      <c r="A1" s="1" t="inlineStr">
        <is>
          <t>Break-even &amp; pricing</t>
        </is>
      </c>
      <c r="B1" s="2" t="n"/>
      <c r="C1" s="2" t="n"/>
      <c r="D1" s="2" t="n"/>
      <c r="E1" s="2" t="n"/>
    </row>
    <row r="2" ht="30" customHeight="1">
      <c r="A2" s="3" t="inlineStr">
        <is>
          <t>Fill in four yellow cells — the sheet works out how much you must sell to stop losing money, and how much to reach the profit you want.</t>
        </is>
      </c>
    </row>
    <row r="4">
      <c r="A4" s="4" t="inlineStr">
        <is>
          <t>Inputs</t>
        </is>
      </c>
    </row>
    <row r="5">
      <c r="A5" s="5" t="inlineStr">
        <is>
          <t>Fixed costs per month</t>
        </is>
      </c>
      <c r="B5" s="6" t="n">
        <v>12000</v>
      </c>
    </row>
    <row r="6">
      <c r="A6" s="5" t="inlineStr">
        <is>
          <t>Variable cost per unit</t>
        </is>
      </c>
      <c r="B6" s="7" t="n">
        <v>45</v>
      </c>
    </row>
    <row r="7">
      <c r="A7" s="5" t="inlineStr">
        <is>
          <t>Selling price per unit</t>
        </is>
      </c>
      <c r="B7" s="7" t="n">
        <v>85</v>
      </c>
      <c r="C7" s="8" t="str">
        <f>IF(B7&lt;=B6,"⚠ Price does not cover the unit cost — no break-even","")</f>
        <v/>
      </c>
      <c r="D7" s="9" t="n"/>
      <c r="E7" s="10" t="n"/>
    </row>
    <row r="8">
      <c r="A8" s="5" t="inlineStr">
        <is>
          <t>Target monthly profit</t>
        </is>
      </c>
      <c r="B8" s="6" t="n">
        <v>8000</v>
      </c>
    </row>
    <row r="10">
      <c r="A10" s="4" t="inlineStr">
        <is>
          <t>Results</t>
        </is>
      </c>
    </row>
    <row r="11">
      <c r="A11" s="5" t="inlineStr">
        <is>
          <t>Contribution per unit</t>
        </is>
      </c>
      <c r="B11" s="11">
        <f>B7-B6</f>
        <v>40</v>
      </c>
    </row>
    <row r="12">
      <c r="A12" s="5" t="inlineStr">
        <is>
          <t>Contribution margin</t>
        </is>
      </c>
      <c r="B12" s="12">
        <f>IFERROR(B11/B7,0)</f>
        <v>0.470588235294118</v>
      </c>
    </row>
    <row r="13">
      <c r="A13" s="13" t="inlineStr">
        <is>
          <t>Break-even — units per month</t>
        </is>
      </c>
      <c r="B13" s="14">
        <f>IF(B11&lt;=0,"—",ROUNDUP(B5/B11,0))</f>
        <v>300</v>
      </c>
    </row>
    <row r="14">
      <c r="A14" s="5" t="inlineStr">
        <is>
          <t>Break-even — monthly revenue</t>
        </is>
      </c>
      <c r="B14" s="15">
        <f>IF(B11&lt;=0,"—",B13*B7)</f>
        <v>25500</v>
      </c>
    </row>
    <row r="15">
      <c r="A15" s="13" t="inlineStr">
        <is>
          <t>Units for target profit</t>
        </is>
      </c>
      <c r="B15" s="14">
        <f>IF(B11&lt;=0,"—",ROUNDUP((B5+B8)/B11,0))</f>
        <v>500</v>
      </c>
    </row>
    <row r="16">
      <c r="A16" s="5" t="inlineStr">
        <is>
          <t>Revenue for target profit</t>
        </is>
      </c>
      <c r="B16" s="15">
        <f>IF(B11&lt;=0,"—",B15*B7)</f>
        <v>42500</v>
      </c>
    </row>
    <row r="17">
      <c r="A17" s="5" t="inlineStr">
        <is>
          <t>Per working day (22/month) — units for target</t>
        </is>
      </c>
      <c r="B17" s="16">
        <f>IF(B11&lt;=0,"—",ROUNDUP(B15/22,0))</f>
        <v>23</v>
      </c>
    </row>
    <row r="19">
      <c r="A19" s="4" t="inlineStr">
        <is>
          <t>Sales scenarios</t>
        </is>
      </c>
    </row>
    <row r="20" ht="32" customHeight="1">
      <c r="A20" s="17" t="inlineStr">
        <is>
          <t>Units sold</t>
        </is>
      </c>
      <c r="B20" s="17" t="inlineStr">
        <is>
          <t>Revenue</t>
        </is>
      </c>
      <c r="C20" s="17" t="inlineStr">
        <is>
          <t>Variable cost</t>
        </is>
      </c>
      <c r="D20" s="17" t="inlineStr">
        <is>
          <t>Profit / loss</t>
        </is>
      </c>
      <c r="E20" s="17" t="inlineStr">
        <is>
          <t>Result</t>
        </is>
      </c>
    </row>
    <row r="21">
      <c r="A21" s="16">
        <f>IF(ISNUMBER($B$13),ROUND($B$13*0.25,0),25)</f>
        <v>75</v>
      </c>
      <c r="B21" s="15">
        <f>A21*$B$7</f>
        <v>6375</v>
      </c>
      <c r="C21" s="15">
        <f>A21*$B$6</f>
        <v>3375</v>
      </c>
      <c r="D21" s="18">
        <f>B21-C21-$B$5</f>
        <v>-9000</v>
      </c>
      <c r="E21" s="19" t="str">
        <f>IF(D21&gt;=0,"Profit","Loss")</f>
        <v>Loss</v>
      </c>
    </row>
    <row r="22">
      <c r="A22" s="16">
        <f>IF(ISNUMBER($B$13),ROUND($B$13*0.5,0),50)</f>
        <v>150</v>
      </c>
      <c r="B22" s="15">
        <f>A22*$B$7</f>
        <v>12750</v>
      </c>
      <c r="C22" s="15">
        <f>A22*$B$6</f>
        <v>6750</v>
      </c>
      <c r="D22" s="18">
        <f>B22-C22-$B$5</f>
        <v>-6000</v>
      </c>
      <c r="E22" s="19" t="str">
        <f>IF(D22&gt;=0,"Profit","Loss")</f>
        <v>Loss</v>
      </c>
    </row>
    <row r="23">
      <c r="A23" s="16">
        <f>IF(ISNUMBER($B$13),ROUND($B$13*0.75,0),75)</f>
        <v>225</v>
      </c>
      <c r="B23" s="15">
        <f>A23*$B$7</f>
        <v>19125</v>
      </c>
      <c r="C23" s="15">
        <f>A23*$B$6</f>
        <v>10125</v>
      </c>
      <c r="D23" s="18">
        <f>B23-C23-$B$5</f>
        <v>-3000</v>
      </c>
      <c r="E23" s="19" t="str">
        <f>IF(D23&gt;=0,"Profit","Loss")</f>
        <v>Loss</v>
      </c>
    </row>
    <row r="24">
      <c r="A24" s="16">
        <f>IF(ISNUMBER($B$13),ROUND($B$13*1,0),100)</f>
        <v>300</v>
      </c>
      <c r="B24" s="15">
        <f>A24*$B$7</f>
        <v>25500</v>
      </c>
      <c r="C24" s="15">
        <f>A24*$B$6</f>
        <v>13500</v>
      </c>
      <c r="D24" s="18">
        <f>B24-C24-$B$5</f>
        <v>0</v>
      </c>
      <c r="E24" s="19" t="str">
        <f>IF(D24&gt;=0,"Profit","Loss")</f>
        <v>Profit</v>
      </c>
    </row>
    <row r="25">
      <c r="A25" s="16">
        <f>IF(ISNUMBER($B$13),ROUND($B$13*1.25,0),125)</f>
        <v>375</v>
      </c>
      <c r="B25" s="15">
        <f>A25*$B$7</f>
        <v>31875</v>
      </c>
      <c r="C25" s="15">
        <f>A25*$B$6</f>
        <v>16875</v>
      </c>
      <c r="D25" s="18">
        <f>B25-C25-$B$5</f>
        <v>3000</v>
      </c>
      <c r="E25" s="19" t="str">
        <f>IF(D25&gt;=0,"Profit","Loss")</f>
        <v>Profit</v>
      </c>
    </row>
    <row r="26">
      <c r="A26" s="16">
        <f>IF(ISNUMBER($B$13),ROUND($B$13*1.5,0),150)</f>
        <v>450</v>
      </c>
      <c r="B26" s="15">
        <f>A26*$B$7</f>
        <v>38250</v>
      </c>
      <c r="C26" s="15">
        <f>A26*$B$6</f>
        <v>20250</v>
      </c>
      <c r="D26" s="18">
        <f>B26-C26-$B$5</f>
        <v>6000</v>
      </c>
      <c r="E26" s="19" t="str">
        <f>IF(D26&gt;=0,"Profit","Loss")</f>
        <v>Profit</v>
      </c>
    </row>
    <row r="27">
      <c r="A27" s="16">
        <f>IF(ISNUMBER($B$13),ROUND($B$13*2,0),200)</f>
        <v>600</v>
      </c>
      <c r="B27" s="15">
        <f>A27*$B$7</f>
        <v>51000</v>
      </c>
      <c r="C27" s="15">
        <f>A27*$B$6</f>
        <v>27000</v>
      </c>
      <c r="D27" s="18">
        <f>B27-C27-$B$5</f>
        <v>12000</v>
      </c>
      <c r="E27" s="19" t="str">
        <f>IF(D27&gt;=0,"Profit","Loss")</f>
        <v>Profit</v>
      </c>
    </row>
    <row r="28">
      <c r="A28" s="20" t="n">
        <v>500</v>
      </c>
      <c r="B28" s="15">
        <f>A28*$B$7</f>
        <v>42500</v>
      </c>
      <c r="C28" s="15">
        <f>A28*$B$6</f>
        <v>22500</v>
      </c>
      <c r="D28" s="18">
        <f>B28-C28-$B$5</f>
        <v>8000</v>
      </c>
      <c r="E28" s="19" t="str">
        <f>IF(D28&gt;=0,"Profit","Loss")</f>
        <v>Profit</v>
      </c>
    </row>
    <row r="29" ht="28" customHeight="1">
      <c r="A29" s="21" t="inlineStr">
        <is>
          <t>Last row: type any number of units to test.</t>
        </is>
      </c>
    </row>
  </sheetData>
  <mergeCells count="4">
    <mergeCell ref="A2:E2"/>
    <mergeCell ref="C7:E7"/>
    <mergeCell ref="A1:E1"/>
    <mergeCell ref="A29:E29"/>
  </mergeCells>
  <conditionalFormatting sqref="D21:D28">
    <cfRule type="cellIs" priority="1" operator="lessThan" dxfId="0">
      <formula>0</formula>
    </cfRule>
  </conditionalFormatting>
  <conditionalFormatting sqref="E21:E28">
    <cfRule type="expression" priority="2" dxfId="1">
      <formula>E21="Profit"</formula>
    </cfRule>
    <cfRule type="expression" priority="3" dxfId="0">
      <formula>E21="Loss"</formula>
    </cfRule>
  </conditionalFormatting>
  <dataValidations count="1">
    <dataValidation sqref="B5:B8" showDropDown="0" showInputMessage="0" showErrorMessage="0" allowBlank="1" error="Enter a number" type="decimal" errorStyle="warning" operator="greaterThanOrEqual">
      <formula1>0</formula1>
    </dataValidation>
  </dataValidations>
  <printOptions horizontalCentered="1"/>
  <pageMargins left="0.4" right="0.4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2026-10-13T06:02:31Z</dcterms:created>
  <dcterms:modified xmlns:dcterms="http://purl.org/dc/terms/" xmlns:xsi="http://www.w3.org/2001/XMLSchema-instance" xsi:type="dcterms:W3CDTF">2026-10-13T06:02:31Z</dcterms:modified>
</cp:coreProperties>
</file>