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1F5C4E"/>
      <sz val="12"/>
    </font>
    <font>
      <name val="Arial"/>
      <color rgb="00222222"/>
      <sz val="11"/>
    </font>
    <font>
      <name val="Arial"/>
      <color rgb="000000CC"/>
      <sz val="11"/>
    </font>
    <font>
      <name val="Arial"/>
      <i val="1"/>
      <color rgb="00666666"/>
      <sz val="9"/>
    </font>
    <font>
      <name val="Arial"/>
      <b val="1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0" applyAlignment="1" pivotButton="0" quotePrefix="0" xfId="0">
      <alignment horizontal="left" vertical="center" readingOrder="1"/>
    </xf>
    <xf numFmtId="0" fontId="4" fillId="0" borderId="1" applyAlignment="1" pivotButton="0" quotePrefix="0" xfId="0">
      <alignment horizontal="left" vertical="center" readingOrder="1"/>
    </xf>
    <xf numFmtId="164" fontId="5" fillId="3" borderId="1" applyAlignment="1" pivotButton="0" quotePrefix="0" xfId="0">
      <alignment vertical="center" readingOrder="1"/>
    </xf>
    <xf numFmtId="9" fontId="5" fillId="3" borderId="1" applyAlignment="1" pivotButton="0" quotePrefix="0" xfId="0">
      <alignment vertical="center" readingOrder="1"/>
    </xf>
    <xf numFmtId="0" fontId="6" fillId="0" borderId="0" applyAlignment="1" pivotButton="0" quotePrefix="0" xfId="0">
      <alignment horizontal="left" vertical="center" readingOrder="1"/>
    </xf>
    <xf numFmtId="1" fontId="5" fillId="3" borderId="1" applyAlignment="1" pivotButton="0" quotePrefix="0" xfId="0">
      <alignment vertical="center" readingOrder="1"/>
    </xf>
    <xf numFmtId="165" fontId="5" fillId="3" borderId="1" applyAlignment="1" pivotButton="0" quotePrefix="0" xfId="0">
      <alignment vertical="center" readingOrder="1"/>
    </xf>
    <xf numFmtId="164" fontId="4" fillId="0" borderId="1" applyAlignment="1" pivotButton="0" quotePrefix="0" xfId="0">
      <alignment vertical="center" readingOrder="1"/>
    </xf>
    <xf numFmtId="166" fontId="4" fillId="0" borderId="1" applyAlignment="1" pivotButton="0" quotePrefix="0" xfId="0">
      <alignment vertical="center" readingOrder="1"/>
    </xf>
    <xf numFmtId="0" fontId="7" fillId="4" borderId="1" applyAlignment="1" pivotButton="0" quotePrefix="0" xfId="0">
      <alignment horizontal="left" vertical="center" readingOrder="1"/>
    </xf>
    <xf numFmtId="164" fontId="7" fillId="4" borderId="1" applyAlignment="1" pivotButton="0" quotePrefix="0" xfId="0">
      <alignment vertical="center" readingOrder="1"/>
    </xf>
    <xf numFmtId="0" fontId="6" fillId="0" borderId="0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rightToLeft="0" zoomScale="10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 ht="34" customHeight="1">
      <c r="A1" s="1" t="inlineStr">
        <is>
          <t>What should I charge per hour? — freelancer calculator</t>
        </is>
      </c>
      <c r="B1" s="2" t="n"/>
      <c r="C1" s="2" t="n"/>
    </row>
    <row r="2" ht="30" customHeight="1">
      <c r="A2" s="3" t="inlineStr">
        <is>
          <t>Enter what you want to take home each month, your costs and how many hours you can really bill. The sheet calculates your minimum hourly, daily and project price.</t>
        </is>
      </c>
    </row>
    <row r="4">
      <c r="A4" s="4" t="inlineStr">
        <is>
          <t>What you want to earn</t>
        </is>
      </c>
    </row>
    <row r="5">
      <c r="A5" s="5" t="inlineStr">
        <is>
          <t>Monthly take-home (net)</t>
        </is>
      </c>
      <c r="B5" s="6" t="n">
        <v>15000</v>
      </c>
    </row>
    <row r="6">
      <c r="A6" s="5" t="inlineStr">
        <is>
          <t>Monthly business costs (software, gear, car, accountant...)</t>
        </is>
      </c>
      <c r="B6" s="6" t="n">
        <v>2500</v>
      </c>
    </row>
    <row r="7">
      <c r="A7" s="5" t="inlineStr">
        <is>
          <t>Estimated income tax + social security + pension (%)</t>
        </is>
      </c>
      <c r="B7" s="7" t="n">
        <v>0.3</v>
      </c>
      <c r="C7" s="8" t="inlineStr">
        <is>
          <t>Check with an accountant</t>
        </is>
      </c>
    </row>
    <row r="8">
      <c r="A8" s="5" t="inlineStr">
        <is>
          <t>Working days per week</t>
        </is>
      </c>
      <c r="B8" s="9" t="n">
        <v>5</v>
      </c>
    </row>
    <row r="9">
      <c r="A9" s="5" t="inlineStr">
        <is>
          <t>Working hours per day</t>
        </is>
      </c>
      <c r="B9" s="10" t="n">
        <v>8</v>
      </c>
    </row>
    <row r="10">
      <c r="A10" s="5" t="inlineStr">
        <is>
          <t>Share of hours you can bill (%)</t>
        </is>
      </c>
      <c r="B10" s="7" t="n">
        <v>0.6</v>
      </c>
      <c r="C10" s="8" t="inlineStr">
        <is>
          <t>Marketing, email and admin aren't billable</t>
        </is>
      </c>
    </row>
    <row r="11">
      <c r="A11" s="5" t="inlineStr">
        <is>
          <t>Weeks off per year (holidays, sick days)</t>
        </is>
      </c>
      <c r="B11" s="9" t="n">
        <v>6</v>
      </c>
    </row>
    <row r="13">
      <c r="A13" s="4" t="inlineStr">
        <is>
          <t>Result</t>
        </is>
      </c>
    </row>
    <row r="14">
      <c r="A14" s="5" t="inlineStr">
        <is>
          <t>Monthly revenue needed (before sales tax)</t>
        </is>
      </c>
      <c r="B14" s="11">
        <f>IFERROR(B5/(1-B7)+B6,0)</f>
        <v>23928.5714285714</v>
      </c>
    </row>
    <row r="15">
      <c r="A15" s="5" t="inlineStr">
        <is>
          <t>Billable hours per month (average)</t>
        </is>
      </c>
      <c r="B15" s="12">
        <f>B8*B9*B10*(52-B11)/12</f>
        <v>92</v>
      </c>
    </row>
    <row r="16">
      <c r="A16" s="13" t="inlineStr">
        <is>
          <t>Minimum hourly rate</t>
        </is>
      </c>
      <c r="B16" s="14">
        <f>IFERROR(B14/B15,0)</f>
        <v>260.093167701863</v>
      </c>
    </row>
    <row r="17">
      <c r="A17" s="5" t="inlineStr">
        <is>
          <t>Minimum day rate</t>
        </is>
      </c>
      <c r="B17" s="11">
        <f>B16*B9*B10</f>
        <v>1248.44720496894</v>
      </c>
    </row>
    <row r="18">
      <c r="A18" s="5" t="inlineStr">
        <is>
          <t>Hourly incl. 18% sales tax</t>
        </is>
      </c>
      <c r="B18" s="11">
        <f>B16*1.18</f>
        <v>306.909937888199</v>
      </c>
    </row>
    <row r="20">
      <c r="A20" s="4" t="inlineStr">
        <is>
          <t>Price a project</t>
        </is>
      </c>
    </row>
    <row r="21">
      <c r="A21" s="5" t="inlineStr">
        <is>
          <t>Estimated hours</t>
        </is>
      </c>
      <c r="B21" s="9" t="n">
        <v>20</v>
      </c>
    </row>
    <row r="22">
      <c r="A22" s="5" t="inlineStr">
        <is>
          <t>Buffer for revisions and surprises (%)</t>
        </is>
      </c>
      <c r="B22" s="7" t="n">
        <v>0.2</v>
      </c>
    </row>
    <row r="23">
      <c r="A23" s="13" t="inlineStr">
        <is>
          <t>Suggested project price (before tax)</t>
        </is>
      </c>
      <c r="B23" s="14">
        <f>ROUNDUP(B16*B21*(1+B22),-1)</f>
        <v>6250</v>
      </c>
    </row>
    <row r="25" ht="28" customHeight="1">
      <c r="A25" s="15" t="inlineStr">
        <is>
          <t>This is the minimum price to reach your target. Also check what others in your field charge — and charge more if demand is high.</t>
        </is>
      </c>
    </row>
  </sheetData>
  <mergeCells count="3">
    <mergeCell ref="A1:C1"/>
    <mergeCell ref="A25:C25"/>
    <mergeCell ref="A2:C2"/>
  </mergeCells>
  <dataValidations count="1">
    <dataValidation sqref="B5:B11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2026-10-13T06:02:40Z</dcterms:created>
  <dcterms:modified xmlns:dcterms="http://purl.org/dc/terms/" xmlns:xsi="http://www.w3.org/2001/XMLSchema-instance" xsi:type="dcterms:W3CDTF">2026-10-13T06:02:40Z</dcterms:modified>
</cp:coreProperties>
</file>