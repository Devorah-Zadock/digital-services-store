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d/mm"/>
    <numFmt numFmtId="166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222222"/>
      <sz val="11"/>
    </font>
    <font>
      <name val="Arial"/>
      <b val="1"/>
      <color rgb="00222222"/>
      <sz val="12"/>
    </font>
    <font>
      <name val="Arial"/>
      <color rgb="00222222"/>
      <sz val="11"/>
    </font>
    <font>
      <name val="Arial"/>
      <b val="1"/>
      <color rgb="00FFFFFF"/>
      <sz val="11"/>
    </font>
    <font>
      <name val="Arial"/>
      <color rgb="000000CC"/>
      <sz val="11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E8F1EE"/>
      </patternFill>
    </fill>
    <fill>
      <patternFill patternType="solid">
        <fgColor rgb="00FFF9C4"/>
      </patternFill>
    </fill>
  </fills>
  <borders count="5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  <border>
      <left/>
      <right/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 style="thin">
        <color rgb="00D9DED9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readingOrder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 readingOrder="1"/>
    </xf>
    <xf numFmtId="0" fontId="3" fillId="3" borderId="1" applyAlignment="1" pivotButton="0" quotePrefix="0" xfId="0">
      <alignment horizontal="left" vertical="center" readingOrder="1"/>
    </xf>
    <xf numFmtId="9" fontId="4" fillId="3" borderId="1" applyAlignment="1" pivotButton="0" quotePrefix="0" xfId="0">
      <alignment vertical="center" readingOrder="1"/>
    </xf>
    <xf numFmtId="0" fontId="3" fillId="0" borderId="1" applyAlignment="1" pivotButton="0" quotePrefix="0" xfId="0">
      <alignment horizontal="left" vertical="center" readingOrder="1"/>
    </xf>
    <xf numFmtId="164" fontId="5" fillId="0" borderId="1" applyAlignment="1" pivotButton="0" quotePrefix="0" xfId="0">
      <alignment vertical="center" readingOrder="1"/>
    </xf>
    <xf numFmtId="0" fontId="0" fillId="0" borderId="4" pivotButton="0" quotePrefix="0" xfId="0"/>
    <xf numFmtId="3" fontId="4" fillId="3" borderId="1" applyAlignment="1" pivotButton="0" quotePrefix="0" xfId="0">
      <alignment vertical="center" readingOrder="1"/>
    </xf>
    <xf numFmtId="164" fontId="4" fillId="3" borderId="1" applyAlignment="1" pivotButton="0" quotePrefix="0" xfId="0">
      <alignment vertical="center" readingOrder="1"/>
    </xf>
    <xf numFmtId="0" fontId="6" fillId="2" borderId="1" applyAlignment="1" pivotButton="0" quotePrefix="0" xfId="0">
      <alignment horizontal="center" vertical="center" wrapText="1" readingOrder="1"/>
    </xf>
    <xf numFmtId="165" fontId="6" fillId="2" borderId="1" applyAlignment="1" pivotButton="0" quotePrefix="0" xfId="0">
      <alignment horizontal="center" vertical="center" textRotation="90" readingOrder="1"/>
    </xf>
    <xf numFmtId="0" fontId="7" fillId="4" borderId="1" applyAlignment="1" pivotButton="0" quotePrefix="0" xfId="0">
      <alignment horizontal="left" vertical="center" readingOrder="1"/>
    </xf>
    <xf numFmtId="164" fontId="7" fillId="4" borderId="1" applyAlignment="1" pivotButton="0" quotePrefix="0" xfId="0">
      <alignment horizontal="left" vertical="center" readingOrder="1"/>
    </xf>
    <xf numFmtId="1" fontId="5" fillId="0" borderId="1" applyAlignment="1" pivotButton="0" quotePrefix="0" xfId="0">
      <alignment horizontal="center" vertical="center" readingOrder="1"/>
    </xf>
    <xf numFmtId="9" fontId="7" fillId="4" borderId="1" applyAlignment="1" pivotButton="0" quotePrefix="0" xfId="0">
      <alignment horizontal="center" vertical="center" readingOrder="1"/>
    </xf>
    <xf numFmtId="0" fontId="5" fillId="0" borderId="1" applyAlignment="1" pivotButton="0" quotePrefix="0" xfId="0">
      <alignment horizontal="center" vertical="center" readingOrder="1"/>
    </xf>
    <xf numFmtId="0" fontId="5" fillId="0" borderId="0" applyAlignment="1" pivotButton="0" quotePrefix="0" xfId="0">
      <alignment horizontal="left" vertical="center" readingOrder="1"/>
    </xf>
  </cellXfs>
  <cellStyles count="1">
    <cellStyle name="Normal" xfId="0" builtinId="0" hidden="0"/>
  </cellStyles>
  <dxfs count="8">
    <dxf>
      <font>
        <color rgb="00B42318"/>
      </font>
      <fill>
        <patternFill patternType="solid">
          <fgColor rgb="00FDE2E1"/>
          <bgColor rgb="00FDE2E1"/>
        </patternFill>
      </fill>
    </dxf>
    <dxf>
      <fill>
        <patternFill patternType="solid">
          <fgColor rgb="005B9B87"/>
          <bgColor rgb="005B9B87"/>
        </patternFill>
      </fill>
    </dxf>
    <dxf>
      <fill>
        <patternFill patternType="solid">
          <fgColor rgb="00E57373"/>
          <bgColor rgb="00E57373"/>
        </patternFill>
      </fill>
    </dxf>
    <dxf>
      <fill>
        <patternFill patternType="solid">
          <fgColor rgb="00A8D5C5"/>
          <bgColor rgb="00A8D5C5"/>
        </patternFill>
      </fill>
    </dxf>
    <dxf>
      <fill>
        <patternFill patternType="solid">
          <fgColor rgb="00FBE3C8"/>
          <bgColor rgb="00FBE3C8"/>
        </patternFill>
      </fill>
    </dxf>
    <dxf>
      <font>
        <b val="1"/>
        <color rgb="001E6B3A"/>
      </font>
      <fill>
        <patternFill patternType="solid">
          <fgColor rgb="00DCF2E3"/>
          <bgColor rgb="00DCF2E3"/>
        </patternFill>
      </fill>
    </dxf>
    <dxf>
      <font>
        <b val="1"/>
        <color rgb="00B42318"/>
      </font>
      <fill>
        <patternFill patternType="solid">
          <fgColor rgb="00FDE2E1"/>
          <bgColor rgb="00FDE2E1"/>
        </patternFill>
      </fill>
    </dxf>
    <dxf>
      <font>
        <b val="1"/>
        <color rgb="008A5A00"/>
      </font>
      <fill>
        <patternFill patternType="solid">
          <fgColor rgb="00FFF1D6"/>
          <bgColor rgb="00FFF1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68"/>
  <sheetViews>
    <sheetView showGridLines="0" rightToLeft="0" zoomScale="10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9" customWidth="1" min="5" max="5"/>
    <col width="11" customWidth="1" min="6" max="6"/>
    <col width="13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</cols>
  <sheetData>
    <row r="1" ht="34" customHeight="1">
      <c r="A1" s="1" t="inlineStr">
        <is>
          <t>Project timeline — with a Gantt chart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30" customHeight="1">
      <c r="A2" s="3" t="inlineStr">
        <is>
          <t>For each task: owner, start and end dates and % complete. Duration, status and the chart bars update by themselves; the orange column is the current week.</t>
        </is>
      </c>
    </row>
    <row r="4">
      <c r="A4" s="4" t="inlineStr">
        <is>
          <t>Overall progress</t>
        </is>
      </c>
      <c r="B4" s="5">
        <f>IFERROR(SUMPRODUCT($E$9:$E$68,$F$9:$F$68)/SUM($E$9:$E$68),0)</f>
        <v>0.33968253968254</v>
      </c>
      <c r="D4" s="6" t="inlineStr">
        <is>
          <t>Chart starts:</t>
        </is>
      </c>
      <c r="E4" s="7">
        <f>IF(COUNT($C$9:$C$68)=0,TODAY(),MIN($C$9:$C$68))-WEEKDAY(IF(COUNT($C$9:$C$68)=0,TODAY(),MIN($C$9:$C$68)))+1</f>
        <v>46292.0</v>
      </c>
      <c r="F4" s="8" t="n"/>
    </row>
    <row r="5">
      <c r="A5" s="4" t="inlineStr">
        <is>
          <t>Late tasks</t>
        </is>
      </c>
      <c r="B5" s="9">
        <f>COUNTIF($G$9:$G$68,"Late")</f>
        <v>0</v>
      </c>
    </row>
    <row r="6">
      <c r="A6" s="4" t="inlineStr">
        <is>
          <t>Planned finish</t>
        </is>
      </c>
      <c r="B6" s="10">
        <f>IF(COUNT($D$9:$D$68)=0,"",MAX($D$9:$D$68))</f>
        <v>46340.0</v>
      </c>
    </row>
    <row r="8" ht="44" customHeight="1">
      <c r="A8" s="11" t="inlineStr">
        <is>
          <t>Task</t>
        </is>
      </c>
      <c r="B8" s="11" t="inlineStr">
        <is>
          <t>Owner</t>
        </is>
      </c>
      <c r="C8" s="11" t="inlineStr">
        <is>
          <t>Start</t>
        </is>
      </c>
      <c r="D8" s="11" t="inlineStr">
        <is>
          <t>End</t>
        </is>
      </c>
      <c r="E8" s="11" t="inlineStr">
        <is>
          <t>Days</t>
        </is>
      </c>
      <c r="F8" s="11" t="inlineStr">
        <is>
          <t>% done</t>
        </is>
      </c>
      <c r="G8" s="11" t="inlineStr">
        <is>
          <t>Status</t>
        </is>
      </c>
      <c r="H8" s="12">
        <f>$E$4+0</f>
        <v>46292.0</v>
      </c>
      <c r="I8" s="12">
        <f>$E$4+7</f>
        <v>46299.0</v>
      </c>
      <c r="J8" s="12">
        <f>$E$4+14</f>
        <v>46306.0</v>
      </c>
      <c r="K8" s="12">
        <f>$E$4+21</f>
        <v>46313.0</v>
      </c>
      <c r="L8" s="12">
        <f>$E$4+28</f>
        <v>46320.0</v>
      </c>
      <c r="M8" s="12">
        <f>$E$4+35</f>
        <v>46327.0</v>
      </c>
      <c r="N8" s="12">
        <f>$E$4+42</f>
        <v>46334.0</v>
      </c>
      <c r="O8" s="12">
        <f>$E$4+49</f>
        <v>46341.0</v>
      </c>
      <c r="P8" s="12">
        <f>$E$4+56</f>
        <v>46348.0</v>
      </c>
      <c r="Q8" s="12">
        <f>$E$4+63</f>
        <v>46355.0</v>
      </c>
      <c r="R8" s="12">
        <f>$E$4+70</f>
        <v>46362.0</v>
      </c>
      <c r="S8" s="12">
        <f>$E$4+77</f>
        <v>46369.0</v>
      </c>
      <c r="T8" s="12">
        <f>$E$4+84</f>
        <v>46376.0</v>
      </c>
      <c r="U8" s="12">
        <f>$E$4+91</f>
        <v>46383.0</v>
      </c>
      <c r="V8" s="12">
        <f>$E$4+98</f>
        <v>46390.0</v>
      </c>
      <c r="W8" s="12">
        <f>$E$4+105</f>
        <v>46397.0</v>
      </c>
      <c r="X8" s="12">
        <f>$E$4+112</f>
        <v>46404.0</v>
      </c>
      <c r="Y8" s="12">
        <f>$E$4+119</f>
        <v>46411.0</v>
      </c>
      <c r="Z8" s="12">
        <f>$E$4+126</f>
        <v>46418.0</v>
      </c>
      <c r="AA8" s="12">
        <f>$E$4+133</f>
        <v>46425.0</v>
      </c>
    </row>
    <row r="9">
      <c r="A9" s="13" t="inlineStr">
        <is>
          <t>Gather requirements</t>
        </is>
      </c>
      <c r="B9" s="13" t="inlineStr">
        <is>
          <t>Dana</t>
        </is>
      </c>
      <c r="C9" s="14" t="n">
        <v>46292</v>
      </c>
      <c r="D9" s="14" t="n">
        <v>46297</v>
      </c>
      <c r="E9" s="15">
        <f>IF(OR(C9="",D9=""),"",D9-C9+1)</f>
        <v>6</v>
      </c>
      <c r="F9" s="16" t="n">
        <v>1</v>
      </c>
      <c r="G9" s="17" t="str">
        <f>IF(A9="","",IF(N(F9)&gt;=1,"Done",IF(AND(D9&lt;&gt;"",TODAY()&gt;D9),"Late",IF(AND(C9&lt;&gt;"",TODAY()&lt;C9),"Not started","In progress"))))</f>
        <v>Done</v>
      </c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</row>
    <row r="10">
      <c r="A10" s="13" t="inlineStr">
        <is>
          <t>Spec &amp; design</t>
        </is>
      </c>
      <c r="B10" s="13" t="inlineStr">
        <is>
          <t>Yossi</t>
        </is>
      </c>
      <c r="C10" s="14" t="n">
        <v>46298</v>
      </c>
      <c r="D10" s="14" t="n">
        <v>46308</v>
      </c>
      <c r="E10" s="15">
        <f>IF(OR(C10="",D10=""),"",D10-C10+1)</f>
        <v>11</v>
      </c>
      <c r="F10" s="16" t="n">
        <v>0.8</v>
      </c>
      <c r="G10" s="17" t="str">
        <f>IF(A10="","",IF(N(F10)&gt;=1,"Done",IF(AND(D10&lt;&gt;"",TODAY()&gt;D10),"Late",IF(AND(C10&lt;&gt;"",TODAY()&lt;C10),"Not started","In progress"))))</f>
        <v>In progress</v>
      </c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</row>
    <row r="11">
      <c r="A11" s="13" t="inlineStr">
        <is>
          <t>Build — phase 1</t>
        </is>
      </c>
      <c r="B11" s="13" t="inlineStr">
        <is>
          <t>Dana</t>
        </is>
      </c>
      <c r="C11" s="14" t="n">
        <v>46306</v>
      </c>
      <c r="D11" s="14" t="n">
        <v>46327</v>
      </c>
      <c r="E11" s="15">
        <f>IF(OR(C11="",D11=""),"",D11-C11+1)</f>
        <v>22</v>
      </c>
      <c r="F11" s="16" t="n">
        <v>0.3</v>
      </c>
      <c r="G11" s="17" t="str">
        <f>IF(A11="","",IF(N(F11)&gt;=1,"Done",IF(AND(D11&lt;&gt;"",TODAY()&gt;D11),"Late",IF(AND(C11&lt;&gt;"",TODAY()&lt;C11),"Not started","In progress"))))</f>
        <v>In progress</v>
      </c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</row>
    <row r="12">
      <c r="A12" s="13" t="inlineStr">
        <is>
          <t>Content &amp; photos</t>
        </is>
      </c>
      <c r="B12" s="13" t="inlineStr">
        <is>
          <t>Rotem</t>
        </is>
      </c>
      <c r="C12" s="14" t="n">
        <v>46312</v>
      </c>
      <c r="D12" s="14" t="n">
        <v>46322</v>
      </c>
      <c r="E12" s="15">
        <f>IF(OR(C12="",D12=""),"",D12-C12+1)</f>
        <v>11</v>
      </c>
      <c r="F12" s="16" t="n">
        <v>0</v>
      </c>
      <c r="G12" s="17" t="str">
        <f>IF(A12="","",IF(N(F12)&gt;=1,"Done",IF(AND(D12&lt;&gt;"",TODAY()&gt;D12),"Late",IF(AND(C12&lt;&gt;"",TODAY()&lt;C12),"Not started","In progress"))))</f>
        <v>Not started</v>
      </c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</row>
    <row r="13">
      <c r="A13" s="13" t="inlineStr">
        <is>
          <t>Testing</t>
        </is>
      </c>
      <c r="B13" s="13" t="inlineStr">
        <is>
          <t>Rotem</t>
        </is>
      </c>
      <c r="C13" s="14" t="n">
        <v>46328</v>
      </c>
      <c r="D13" s="14" t="n">
        <v>46337</v>
      </c>
      <c r="E13" s="15">
        <f>IF(OR(C13="",D13=""),"",D13-C13+1)</f>
        <v>10</v>
      </c>
      <c r="F13" s="16" t="n">
        <v>0</v>
      </c>
      <c r="G13" s="17" t="str">
        <f>IF(A13="","",IF(N(F13)&gt;=1,"Done",IF(AND(D13&lt;&gt;"",TODAY()&gt;D13),"Late",IF(AND(C13&lt;&gt;"",TODAY()&lt;C13),"Not started","In progress"))))</f>
        <v>Not started</v>
      </c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</row>
    <row r="14">
      <c r="A14" s="13" t="inlineStr">
        <is>
          <t>Launch</t>
        </is>
      </c>
      <c r="B14" s="13" t="inlineStr">
        <is>
          <t>Yossi</t>
        </is>
      </c>
      <c r="C14" s="14" t="n">
        <v>46338</v>
      </c>
      <c r="D14" s="14" t="n">
        <v>46340</v>
      </c>
      <c r="E14" s="15">
        <f>IF(OR(C14="",D14=""),"",D14-C14+1)</f>
        <v>3</v>
      </c>
      <c r="F14" s="16" t="n">
        <v>0</v>
      </c>
      <c r="G14" s="17" t="str">
        <f>IF(A14="","",IF(N(F14)&gt;=1,"Done",IF(AND(D14&lt;&gt;"",TODAY()&gt;D14),"Late",IF(AND(C14&lt;&gt;"",TODAY()&lt;C14),"Not started","In progress"))))</f>
        <v>Not started</v>
      </c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</row>
    <row r="15">
      <c r="A15" s="13" t="n"/>
      <c r="B15" s="13" t="n"/>
      <c r="C15" s="14" t="n"/>
      <c r="D15" s="14" t="n"/>
      <c r="E15" s="15" t="str">
        <f>IF(OR(C15="",D15=""),"",D15-C15+1)</f>
        <v/>
      </c>
      <c r="F15" s="16" t="n"/>
      <c r="G15" s="17" t="str">
        <f>IF(A15="","",IF(N(F15)&gt;=1,"Done",IF(AND(D15&lt;&gt;"",TODAY()&gt;D15),"Late",IF(AND(C15&lt;&gt;"",TODAY()&lt;C15),"Not started","In progress"))))</f>
        <v/>
      </c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</row>
    <row r="16">
      <c r="A16" s="13" t="n"/>
      <c r="B16" s="13" t="n"/>
      <c r="C16" s="14" t="n"/>
      <c r="D16" s="14" t="n"/>
      <c r="E16" s="15" t="str">
        <f>IF(OR(C16="",D16=""),"",D16-C16+1)</f>
        <v/>
      </c>
      <c r="F16" s="16" t="n"/>
      <c r="G16" s="17" t="str">
        <f>IF(A16="","",IF(N(F16)&gt;=1,"Done",IF(AND(D16&lt;&gt;"",TODAY()&gt;D16),"Late",IF(AND(C16&lt;&gt;"",TODAY()&lt;C16),"Not started","In progress"))))</f>
        <v/>
      </c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</row>
    <row r="17">
      <c r="A17" s="13" t="n"/>
      <c r="B17" s="13" t="n"/>
      <c r="C17" s="14" t="n"/>
      <c r="D17" s="14" t="n"/>
      <c r="E17" s="15" t="str">
        <f>IF(OR(C17="",D17=""),"",D17-C17+1)</f>
        <v/>
      </c>
      <c r="F17" s="16" t="n"/>
      <c r="G17" s="17" t="str">
        <f>IF(A17="","",IF(N(F17)&gt;=1,"Done",IF(AND(D17&lt;&gt;"",TODAY()&gt;D17),"Late",IF(AND(C17&lt;&gt;"",TODAY()&lt;C17),"Not started","In progress"))))</f>
        <v/>
      </c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</row>
    <row r="18">
      <c r="A18" s="13" t="n"/>
      <c r="B18" s="13" t="n"/>
      <c r="C18" s="14" t="n"/>
      <c r="D18" s="14" t="n"/>
      <c r="E18" s="15" t="str">
        <f>IF(OR(C18="",D18=""),"",D18-C18+1)</f>
        <v/>
      </c>
      <c r="F18" s="16" t="n"/>
      <c r="G18" s="17" t="str">
        <f>IF(A18="","",IF(N(F18)&gt;=1,"Done",IF(AND(D18&lt;&gt;"",TODAY()&gt;D18),"Late",IF(AND(C18&lt;&gt;"",TODAY()&lt;C18),"Not started","In progress"))))</f>
        <v/>
      </c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</row>
    <row r="19">
      <c r="A19" s="13" t="n"/>
      <c r="B19" s="13" t="n"/>
      <c r="C19" s="14" t="n"/>
      <c r="D19" s="14" t="n"/>
      <c r="E19" s="15" t="str">
        <f>IF(OR(C19="",D19=""),"",D19-C19+1)</f>
        <v/>
      </c>
      <c r="F19" s="16" t="n"/>
      <c r="G19" s="17" t="str">
        <f>IF(A19="","",IF(N(F19)&gt;=1,"Done",IF(AND(D19&lt;&gt;"",TODAY()&gt;D19),"Late",IF(AND(C19&lt;&gt;"",TODAY()&lt;C19),"Not started","In progress"))))</f>
        <v/>
      </c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</row>
    <row r="20">
      <c r="A20" s="13" t="n"/>
      <c r="B20" s="13" t="n"/>
      <c r="C20" s="14" t="n"/>
      <c r="D20" s="14" t="n"/>
      <c r="E20" s="15" t="str">
        <f>IF(OR(C20="",D20=""),"",D20-C20+1)</f>
        <v/>
      </c>
      <c r="F20" s="16" t="n"/>
      <c r="G20" s="17" t="str">
        <f>IF(A20="","",IF(N(F20)&gt;=1,"Done",IF(AND(D20&lt;&gt;"",TODAY()&gt;D20),"Late",IF(AND(C20&lt;&gt;"",TODAY()&lt;C20),"Not started","In progress"))))</f>
        <v/>
      </c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</row>
    <row r="21">
      <c r="A21" s="13" t="n"/>
      <c r="B21" s="13" t="n"/>
      <c r="C21" s="14" t="n"/>
      <c r="D21" s="14" t="n"/>
      <c r="E21" s="15" t="str">
        <f>IF(OR(C21="",D21=""),"",D21-C21+1)</f>
        <v/>
      </c>
      <c r="F21" s="16" t="n"/>
      <c r="G21" s="17" t="str">
        <f>IF(A21="","",IF(N(F21)&gt;=1,"Done",IF(AND(D21&lt;&gt;"",TODAY()&gt;D21),"Late",IF(AND(C21&lt;&gt;"",TODAY()&lt;C21),"Not started","In progress"))))</f>
        <v/>
      </c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</row>
    <row r="22">
      <c r="A22" s="13" t="n"/>
      <c r="B22" s="13" t="n"/>
      <c r="C22" s="14" t="n"/>
      <c r="D22" s="14" t="n"/>
      <c r="E22" s="15" t="str">
        <f>IF(OR(C22="",D22=""),"",D22-C22+1)</f>
        <v/>
      </c>
      <c r="F22" s="16" t="n"/>
      <c r="G22" s="17" t="str">
        <f>IF(A22="","",IF(N(F22)&gt;=1,"Done",IF(AND(D22&lt;&gt;"",TODAY()&gt;D22),"Late",IF(AND(C22&lt;&gt;"",TODAY()&lt;C22),"Not started","In progress"))))</f>
        <v/>
      </c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</row>
    <row r="23">
      <c r="A23" s="13" t="n"/>
      <c r="B23" s="13" t="n"/>
      <c r="C23" s="14" t="n"/>
      <c r="D23" s="14" t="n"/>
      <c r="E23" s="15" t="str">
        <f>IF(OR(C23="",D23=""),"",D23-C23+1)</f>
        <v/>
      </c>
      <c r="F23" s="16" t="n"/>
      <c r="G23" s="17" t="str">
        <f>IF(A23="","",IF(N(F23)&gt;=1,"Done",IF(AND(D23&lt;&gt;"",TODAY()&gt;D23),"Late",IF(AND(C23&lt;&gt;"",TODAY()&lt;C23),"Not started","In progress"))))</f>
        <v/>
      </c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</row>
    <row r="24">
      <c r="A24" s="13" t="n"/>
      <c r="B24" s="13" t="n"/>
      <c r="C24" s="14" t="n"/>
      <c r="D24" s="14" t="n"/>
      <c r="E24" s="15" t="str">
        <f>IF(OR(C24="",D24=""),"",D24-C24+1)</f>
        <v/>
      </c>
      <c r="F24" s="16" t="n"/>
      <c r="G24" s="17" t="str">
        <f>IF(A24="","",IF(N(F24)&gt;=1,"Done",IF(AND(D24&lt;&gt;"",TODAY()&gt;D24),"Late",IF(AND(C24&lt;&gt;"",TODAY()&lt;C24),"Not started","In progress"))))</f>
        <v/>
      </c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</row>
    <row r="25">
      <c r="A25" s="13" t="n"/>
      <c r="B25" s="13" t="n"/>
      <c r="C25" s="14" t="n"/>
      <c r="D25" s="14" t="n"/>
      <c r="E25" s="15" t="str">
        <f>IF(OR(C25="",D25=""),"",D25-C25+1)</f>
        <v/>
      </c>
      <c r="F25" s="16" t="n"/>
      <c r="G25" s="17" t="str">
        <f>IF(A25="","",IF(N(F25)&gt;=1,"Done",IF(AND(D25&lt;&gt;"",TODAY()&gt;D25),"Late",IF(AND(C25&lt;&gt;"",TODAY()&lt;C25),"Not started","In progress"))))</f>
        <v/>
      </c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</row>
    <row r="26">
      <c r="A26" s="13" t="n"/>
      <c r="B26" s="13" t="n"/>
      <c r="C26" s="14" t="n"/>
      <c r="D26" s="14" t="n"/>
      <c r="E26" s="15" t="str">
        <f>IF(OR(C26="",D26=""),"",D26-C26+1)</f>
        <v/>
      </c>
      <c r="F26" s="16" t="n"/>
      <c r="G26" s="17" t="str">
        <f>IF(A26="","",IF(N(F26)&gt;=1,"Done",IF(AND(D26&lt;&gt;"",TODAY()&gt;D26),"Late",IF(AND(C26&lt;&gt;"",TODAY()&lt;C26),"Not started","In progress"))))</f>
        <v/>
      </c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</row>
    <row r="27">
      <c r="A27" s="13" t="n"/>
      <c r="B27" s="13" t="n"/>
      <c r="C27" s="14" t="n"/>
      <c r="D27" s="14" t="n"/>
      <c r="E27" s="15" t="str">
        <f>IF(OR(C27="",D27=""),"",D27-C27+1)</f>
        <v/>
      </c>
      <c r="F27" s="16" t="n"/>
      <c r="G27" s="17" t="str">
        <f>IF(A27="","",IF(N(F27)&gt;=1,"Done",IF(AND(D27&lt;&gt;"",TODAY()&gt;D27),"Late",IF(AND(C27&lt;&gt;"",TODAY()&lt;C27),"Not started","In progress"))))</f>
        <v/>
      </c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</row>
    <row r="28">
      <c r="A28" s="13" t="n"/>
      <c r="B28" s="13" t="n"/>
      <c r="C28" s="14" t="n"/>
      <c r="D28" s="14" t="n"/>
      <c r="E28" s="15" t="str">
        <f>IF(OR(C28="",D28=""),"",D28-C28+1)</f>
        <v/>
      </c>
      <c r="F28" s="16" t="n"/>
      <c r="G28" s="17" t="str">
        <f>IF(A28="","",IF(N(F28)&gt;=1,"Done",IF(AND(D28&lt;&gt;"",TODAY()&gt;D28),"Late",IF(AND(C28&lt;&gt;"",TODAY()&lt;C28),"Not started","In progress"))))</f>
        <v/>
      </c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</row>
    <row r="29">
      <c r="A29" s="13" t="n"/>
      <c r="B29" s="13" t="n"/>
      <c r="C29" s="14" t="n"/>
      <c r="D29" s="14" t="n"/>
      <c r="E29" s="15" t="str">
        <f>IF(OR(C29="",D29=""),"",D29-C29+1)</f>
        <v/>
      </c>
      <c r="F29" s="16" t="n"/>
      <c r="G29" s="17" t="str">
        <f>IF(A29="","",IF(N(F29)&gt;=1,"Done",IF(AND(D29&lt;&gt;"",TODAY()&gt;D29),"Late",IF(AND(C29&lt;&gt;"",TODAY()&lt;C29),"Not started","In progress"))))</f>
        <v/>
      </c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</row>
    <row r="30">
      <c r="A30" s="13" t="n"/>
      <c r="B30" s="13" t="n"/>
      <c r="C30" s="14" t="n"/>
      <c r="D30" s="14" t="n"/>
      <c r="E30" s="15" t="str">
        <f>IF(OR(C30="",D30=""),"",D30-C30+1)</f>
        <v/>
      </c>
      <c r="F30" s="16" t="n"/>
      <c r="G30" s="17" t="str">
        <f>IF(A30="","",IF(N(F30)&gt;=1,"Done",IF(AND(D30&lt;&gt;"",TODAY()&gt;D30),"Late",IF(AND(C30&lt;&gt;"",TODAY()&lt;C30),"Not started","In progress"))))</f>
        <v/>
      </c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</row>
    <row r="31">
      <c r="A31" s="13" t="n"/>
      <c r="B31" s="13" t="n"/>
      <c r="C31" s="14" t="n"/>
      <c r="D31" s="14" t="n"/>
      <c r="E31" s="15" t="str">
        <f>IF(OR(C31="",D31=""),"",D31-C31+1)</f>
        <v/>
      </c>
      <c r="F31" s="16" t="n"/>
      <c r="G31" s="17" t="str">
        <f>IF(A31="","",IF(N(F31)&gt;=1,"Done",IF(AND(D31&lt;&gt;"",TODAY()&gt;D31),"Late",IF(AND(C31&lt;&gt;"",TODAY()&lt;C31),"Not started","In progress"))))</f>
        <v/>
      </c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</row>
    <row r="32">
      <c r="A32" s="13" t="n"/>
      <c r="B32" s="13" t="n"/>
      <c r="C32" s="14" t="n"/>
      <c r="D32" s="14" t="n"/>
      <c r="E32" s="15" t="str">
        <f>IF(OR(C32="",D32=""),"",D32-C32+1)</f>
        <v/>
      </c>
      <c r="F32" s="16" t="n"/>
      <c r="G32" s="17" t="str">
        <f>IF(A32="","",IF(N(F32)&gt;=1,"Done",IF(AND(D32&lt;&gt;"",TODAY()&gt;D32),"Late",IF(AND(C32&lt;&gt;"",TODAY()&lt;C32),"Not started","In progress"))))</f>
        <v/>
      </c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</row>
    <row r="33">
      <c r="A33" s="13" t="n"/>
      <c r="B33" s="13" t="n"/>
      <c r="C33" s="14" t="n"/>
      <c r="D33" s="14" t="n"/>
      <c r="E33" s="15" t="str">
        <f>IF(OR(C33="",D33=""),"",D33-C33+1)</f>
        <v/>
      </c>
      <c r="F33" s="16" t="n"/>
      <c r="G33" s="17" t="str">
        <f>IF(A33="","",IF(N(F33)&gt;=1,"Done",IF(AND(D33&lt;&gt;"",TODAY()&gt;D33),"Late",IF(AND(C33&lt;&gt;"",TODAY()&lt;C33),"Not started","In progress"))))</f>
        <v/>
      </c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</row>
    <row r="34">
      <c r="A34" s="13" t="n"/>
      <c r="B34" s="13" t="n"/>
      <c r="C34" s="14" t="n"/>
      <c r="D34" s="14" t="n"/>
      <c r="E34" s="15" t="str">
        <f>IF(OR(C34="",D34=""),"",D34-C34+1)</f>
        <v/>
      </c>
      <c r="F34" s="16" t="n"/>
      <c r="G34" s="17" t="str">
        <f>IF(A34="","",IF(N(F34)&gt;=1,"Done",IF(AND(D34&lt;&gt;"",TODAY()&gt;D34),"Late",IF(AND(C34&lt;&gt;"",TODAY()&lt;C34),"Not started","In progress"))))</f>
        <v/>
      </c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</row>
    <row r="35">
      <c r="A35" s="13" t="n"/>
      <c r="B35" s="13" t="n"/>
      <c r="C35" s="14" t="n"/>
      <c r="D35" s="14" t="n"/>
      <c r="E35" s="15" t="str">
        <f>IF(OR(C35="",D35=""),"",D35-C35+1)</f>
        <v/>
      </c>
      <c r="F35" s="16" t="n"/>
      <c r="G35" s="17" t="str">
        <f>IF(A35="","",IF(N(F35)&gt;=1,"Done",IF(AND(D35&lt;&gt;"",TODAY()&gt;D35),"Late",IF(AND(C35&lt;&gt;"",TODAY()&lt;C35),"Not started","In progress"))))</f>
        <v/>
      </c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</row>
    <row r="36">
      <c r="A36" s="13" t="n"/>
      <c r="B36" s="13" t="n"/>
      <c r="C36" s="14" t="n"/>
      <c r="D36" s="14" t="n"/>
      <c r="E36" s="15" t="str">
        <f>IF(OR(C36="",D36=""),"",D36-C36+1)</f>
        <v/>
      </c>
      <c r="F36" s="16" t="n"/>
      <c r="G36" s="17" t="str">
        <f>IF(A36="","",IF(N(F36)&gt;=1,"Done",IF(AND(D36&lt;&gt;"",TODAY()&gt;D36),"Late",IF(AND(C36&lt;&gt;"",TODAY()&lt;C36),"Not started","In progress"))))</f>
        <v/>
      </c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</row>
    <row r="37">
      <c r="A37" s="13" t="n"/>
      <c r="B37" s="13" t="n"/>
      <c r="C37" s="14" t="n"/>
      <c r="D37" s="14" t="n"/>
      <c r="E37" s="15" t="str">
        <f>IF(OR(C37="",D37=""),"",D37-C37+1)</f>
        <v/>
      </c>
      <c r="F37" s="16" t="n"/>
      <c r="G37" s="17" t="str">
        <f>IF(A37="","",IF(N(F37)&gt;=1,"Done",IF(AND(D37&lt;&gt;"",TODAY()&gt;D37),"Late",IF(AND(C37&lt;&gt;"",TODAY()&lt;C37),"Not started","In progress"))))</f>
        <v/>
      </c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</row>
    <row r="38">
      <c r="A38" s="13" t="n"/>
      <c r="B38" s="13" t="n"/>
      <c r="C38" s="14" t="n"/>
      <c r="D38" s="14" t="n"/>
      <c r="E38" s="15" t="str">
        <f>IF(OR(C38="",D38=""),"",D38-C38+1)</f>
        <v/>
      </c>
      <c r="F38" s="16" t="n"/>
      <c r="G38" s="17" t="str">
        <f>IF(A38="","",IF(N(F38)&gt;=1,"Done",IF(AND(D38&lt;&gt;"",TODAY()&gt;D38),"Late",IF(AND(C38&lt;&gt;"",TODAY()&lt;C38),"Not started","In progress"))))</f>
        <v/>
      </c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</row>
    <row r="39">
      <c r="A39" s="13" t="n"/>
      <c r="B39" s="13" t="n"/>
      <c r="C39" s="14" t="n"/>
      <c r="D39" s="14" t="n"/>
      <c r="E39" s="15" t="str">
        <f>IF(OR(C39="",D39=""),"",D39-C39+1)</f>
        <v/>
      </c>
      <c r="F39" s="16" t="n"/>
      <c r="G39" s="17" t="str">
        <f>IF(A39="","",IF(N(F39)&gt;=1,"Done",IF(AND(D39&lt;&gt;"",TODAY()&gt;D39),"Late",IF(AND(C39&lt;&gt;"",TODAY()&lt;C39),"Not started","In progress"))))</f>
        <v/>
      </c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</row>
    <row r="40">
      <c r="A40" s="13" t="n"/>
      <c r="B40" s="13" t="n"/>
      <c r="C40" s="14" t="n"/>
      <c r="D40" s="14" t="n"/>
      <c r="E40" s="15" t="str">
        <f>IF(OR(C40="",D40=""),"",D40-C40+1)</f>
        <v/>
      </c>
      <c r="F40" s="16" t="n"/>
      <c r="G40" s="17" t="str">
        <f>IF(A40="","",IF(N(F40)&gt;=1,"Done",IF(AND(D40&lt;&gt;"",TODAY()&gt;D40),"Late",IF(AND(C40&lt;&gt;"",TODAY()&lt;C40),"Not started","In progress"))))</f>
        <v/>
      </c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</row>
    <row r="41">
      <c r="A41" s="13" t="n"/>
      <c r="B41" s="13" t="n"/>
      <c r="C41" s="14" t="n"/>
      <c r="D41" s="14" t="n"/>
      <c r="E41" s="15" t="str">
        <f>IF(OR(C41="",D41=""),"",D41-C41+1)</f>
        <v/>
      </c>
      <c r="F41" s="16" t="n"/>
      <c r="G41" s="17" t="str">
        <f>IF(A41="","",IF(N(F41)&gt;=1,"Done",IF(AND(D41&lt;&gt;"",TODAY()&gt;D41),"Late",IF(AND(C41&lt;&gt;"",TODAY()&lt;C41),"Not started","In progress"))))</f>
        <v/>
      </c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</row>
    <row r="42">
      <c r="A42" s="13" t="n"/>
      <c r="B42" s="13" t="n"/>
      <c r="C42" s="14" t="n"/>
      <c r="D42" s="14" t="n"/>
      <c r="E42" s="15" t="str">
        <f>IF(OR(C42="",D42=""),"",D42-C42+1)</f>
        <v/>
      </c>
      <c r="F42" s="16" t="n"/>
      <c r="G42" s="17" t="str">
        <f>IF(A42="","",IF(N(F42)&gt;=1,"Done",IF(AND(D42&lt;&gt;"",TODAY()&gt;D42),"Late",IF(AND(C42&lt;&gt;"",TODAY()&lt;C42),"Not started","In progress"))))</f>
        <v/>
      </c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</row>
    <row r="43">
      <c r="A43" s="13" t="n"/>
      <c r="B43" s="13" t="n"/>
      <c r="C43" s="14" t="n"/>
      <c r="D43" s="14" t="n"/>
      <c r="E43" s="15" t="str">
        <f>IF(OR(C43="",D43=""),"",D43-C43+1)</f>
        <v/>
      </c>
      <c r="F43" s="16" t="n"/>
      <c r="G43" s="17" t="str">
        <f>IF(A43="","",IF(N(F43)&gt;=1,"Done",IF(AND(D43&lt;&gt;"",TODAY()&gt;D43),"Late",IF(AND(C43&lt;&gt;"",TODAY()&lt;C43),"Not started","In progress"))))</f>
        <v/>
      </c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</row>
    <row r="44">
      <c r="A44" s="13" t="n"/>
      <c r="B44" s="13" t="n"/>
      <c r="C44" s="14" t="n"/>
      <c r="D44" s="14" t="n"/>
      <c r="E44" s="15" t="str">
        <f>IF(OR(C44="",D44=""),"",D44-C44+1)</f>
        <v/>
      </c>
      <c r="F44" s="16" t="n"/>
      <c r="G44" s="17" t="str">
        <f>IF(A44="","",IF(N(F44)&gt;=1,"Done",IF(AND(D44&lt;&gt;"",TODAY()&gt;D44),"Late",IF(AND(C44&lt;&gt;"",TODAY()&lt;C44),"Not started","In progress"))))</f>
        <v/>
      </c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</row>
    <row r="45">
      <c r="A45" s="13" t="n"/>
      <c r="B45" s="13" t="n"/>
      <c r="C45" s="14" t="n"/>
      <c r="D45" s="14" t="n"/>
      <c r="E45" s="15" t="str">
        <f>IF(OR(C45="",D45=""),"",D45-C45+1)</f>
        <v/>
      </c>
      <c r="F45" s="16" t="n"/>
      <c r="G45" s="17" t="str">
        <f>IF(A45="","",IF(N(F45)&gt;=1,"Done",IF(AND(D45&lt;&gt;"",TODAY()&gt;D45),"Late",IF(AND(C45&lt;&gt;"",TODAY()&lt;C45),"Not started","In progress"))))</f>
        <v/>
      </c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</row>
    <row r="46">
      <c r="A46" s="13" t="n"/>
      <c r="B46" s="13" t="n"/>
      <c r="C46" s="14" t="n"/>
      <c r="D46" s="14" t="n"/>
      <c r="E46" s="15" t="str">
        <f>IF(OR(C46="",D46=""),"",D46-C46+1)</f>
        <v/>
      </c>
      <c r="F46" s="16" t="n"/>
      <c r="G46" s="17" t="str">
        <f>IF(A46="","",IF(N(F46)&gt;=1,"Done",IF(AND(D46&lt;&gt;"",TODAY()&gt;D46),"Late",IF(AND(C46&lt;&gt;"",TODAY()&lt;C46),"Not started","In progress"))))</f>
        <v/>
      </c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</row>
    <row r="47">
      <c r="A47" s="13" t="n"/>
      <c r="B47" s="13" t="n"/>
      <c r="C47" s="14" t="n"/>
      <c r="D47" s="14" t="n"/>
      <c r="E47" s="15" t="str">
        <f>IF(OR(C47="",D47=""),"",D47-C47+1)</f>
        <v/>
      </c>
      <c r="F47" s="16" t="n"/>
      <c r="G47" s="17" t="str">
        <f>IF(A47="","",IF(N(F47)&gt;=1,"Done",IF(AND(D47&lt;&gt;"",TODAY()&gt;D47),"Late",IF(AND(C47&lt;&gt;"",TODAY()&lt;C47),"Not started","In progress"))))</f>
        <v/>
      </c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</row>
    <row r="48">
      <c r="A48" s="13" t="n"/>
      <c r="B48" s="13" t="n"/>
      <c r="C48" s="14" t="n"/>
      <c r="D48" s="14" t="n"/>
      <c r="E48" s="15" t="str">
        <f>IF(OR(C48="",D48=""),"",D48-C48+1)</f>
        <v/>
      </c>
      <c r="F48" s="16" t="n"/>
      <c r="G48" s="17" t="str">
        <f>IF(A48="","",IF(N(F48)&gt;=1,"Done",IF(AND(D48&lt;&gt;"",TODAY()&gt;D48),"Late",IF(AND(C48&lt;&gt;"",TODAY()&lt;C48),"Not started","In progress"))))</f>
        <v/>
      </c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</row>
    <row r="49">
      <c r="A49" s="13" t="n"/>
      <c r="B49" s="13" t="n"/>
      <c r="C49" s="14" t="n"/>
      <c r="D49" s="14" t="n"/>
      <c r="E49" s="15" t="str">
        <f>IF(OR(C49="",D49=""),"",D49-C49+1)</f>
        <v/>
      </c>
      <c r="F49" s="16" t="n"/>
      <c r="G49" s="17" t="str">
        <f>IF(A49="","",IF(N(F49)&gt;=1,"Done",IF(AND(D49&lt;&gt;"",TODAY()&gt;D49),"Late",IF(AND(C49&lt;&gt;"",TODAY()&lt;C49),"Not started","In progress"))))</f>
        <v/>
      </c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</row>
    <row r="50">
      <c r="A50" s="13" t="n"/>
      <c r="B50" s="13" t="n"/>
      <c r="C50" s="14" t="n"/>
      <c r="D50" s="14" t="n"/>
      <c r="E50" s="15" t="str">
        <f>IF(OR(C50="",D50=""),"",D50-C50+1)</f>
        <v/>
      </c>
      <c r="F50" s="16" t="n"/>
      <c r="G50" s="17" t="str">
        <f>IF(A50="","",IF(N(F50)&gt;=1,"Done",IF(AND(D50&lt;&gt;"",TODAY()&gt;D50),"Late",IF(AND(C50&lt;&gt;"",TODAY()&lt;C50),"Not started","In progress"))))</f>
        <v/>
      </c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</row>
    <row r="51">
      <c r="A51" s="13" t="n"/>
      <c r="B51" s="13" t="n"/>
      <c r="C51" s="14" t="n"/>
      <c r="D51" s="14" t="n"/>
      <c r="E51" s="15" t="str">
        <f>IF(OR(C51="",D51=""),"",D51-C51+1)</f>
        <v/>
      </c>
      <c r="F51" s="16" t="n"/>
      <c r="G51" s="17" t="str">
        <f>IF(A51="","",IF(N(F51)&gt;=1,"Done",IF(AND(D51&lt;&gt;"",TODAY()&gt;D51),"Late",IF(AND(C51&lt;&gt;"",TODAY()&lt;C51),"Not started","In progress"))))</f>
        <v/>
      </c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</row>
    <row r="52">
      <c r="A52" s="13" t="n"/>
      <c r="B52" s="13" t="n"/>
      <c r="C52" s="14" t="n"/>
      <c r="D52" s="14" t="n"/>
      <c r="E52" s="15" t="str">
        <f>IF(OR(C52="",D52=""),"",D52-C52+1)</f>
        <v/>
      </c>
      <c r="F52" s="16" t="n"/>
      <c r="G52" s="17" t="str">
        <f>IF(A52="","",IF(N(F52)&gt;=1,"Done",IF(AND(D52&lt;&gt;"",TODAY()&gt;D52),"Late",IF(AND(C52&lt;&gt;"",TODAY()&lt;C52),"Not started","In progress"))))</f>
        <v/>
      </c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</row>
    <row r="53">
      <c r="A53" s="13" t="n"/>
      <c r="B53" s="13" t="n"/>
      <c r="C53" s="14" t="n"/>
      <c r="D53" s="14" t="n"/>
      <c r="E53" s="15" t="str">
        <f>IF(OR(C53="",D53=""),"",D53-C53+1)</f>
        <v/>
      </c>
      <c r="F53" s="16" t="n"/>
      <c r="G53" s="17" t="str">
        <f>IF(A53="","",IF(N(F53)&gt;=1,"Done",IF(AND(D53&lt;&gt;"",TODAY()&gt;D53),"Late",IF(AND(C53&lt;&gt;"",TODAY()&lt;C53),"Not started","In progress"))))</f>
        <v/>
      </c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</row>
    <row r="54">
      <c r="A54" s="13" t="n"/>
      <c r="B54" s="13" t="n"/>
      <c r="C54" s="14" t="n"/>
      <c r="D54" s="14" t="n"/>
      <c r="E54" s="15" t="str">
        <f>IF(OR(C54="",D54=""),"",D54-C54+1)</f>
        <v/>
      </c>
      <c r="F54" s="16" t="n"/>
      <c r="G54" s="17" t="str">
        <f>IF(A54="","",IF(N(F54)&gt;=1,"Done",IF(AND(D54&lt;&gt;"",TODAY()&gt;D54),"Late",IF(AND(C54&lt;&gt;"",TODAY()&lt;C54),"Not started","In progress"))))</f>
        <v/>
      </c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</row>
    <row r="55">
      <c r="A55" s="13" t="n"/>
      <c r="B55" s="13" t="n"/>
      <c r="C55" s="14" t="n"/>
      <c r="D55" s="14" t="n"/>
      <c r="E55" s="15" t="str">
        <f>IF(OR(C55="",D55=""),"",D55-C55+1)</f>
        <v/>
      </c>
      <c r="F55" s="16" t="n"/>
      <c r="G55" s="17" t="str">
        <f>IF(A55="","",IF(N(F55)&gt;=1,"Done",IF(AND(D55&lt;&gt;"",TODAY()&gt;D55),"Late",IF(AND(C55&lt;&gt;"",TODAY()&lt;C55),"Not started","In progress"))))</f>
        <v/>
      </c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</row>
    <row r="56">
      <c r="A56" s="13" t="n"/>
      <c r="B56" s="13" t="n"/>
      <c r="C56" s="14" t="n"/>
      <c r="D56" s="14" t="n"/>
      <c r="E56" s="15" t="str">
        <f>IF(OR(C56="",D56=""),"",D56-C56+1)</f>
        <v/>
      </c>
      <c r="F56" s="16" t="n"/>
      <c r="G56" s="17" t="str">
        <f>IF(A56="","",IF(N(F56)&gt;=1,"Done",IF(AND(D56&lt;&gt;"",TODAY()&gt;D56),"Late",IF(AND(C56&lt;&gt;"",TODAY()&lt;C56),"Not started","In progress"))))</f>
        <v/>
      </c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</row>
    <row r="57">
      <c r="A57" s="13" t="n"/>
      <c r="B57" s="13" t="n"/>
      <c r="C57" s="14" t="n"/>
      <c r="D57" s="14" t="n"/>
      <c r="E57" s="15" t="str">
        <f>IF(OR(C57="",D57=""),"",D57-C57+1)</f>
        <v/>
      </c>
      <c r="F57" s="16" t="n"/>
      <c r="G57" s="17" t="str">
        <f>IF(A57="","",IF(N(F57)&gt;=1,"Done",IF(AND(D57&lt;&gt;"",TODAY()&gt;D57),"Late",IF(AND(C57&lt;&gt;"",TODAY()&lt;C57),"Not started","In progress"))))</f>
        <v/>
      </c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</row>
    <row r="58">
      <c r="A58" s="13" t="n"/>
      <c r="B58" s="13" t="n"/>
      <c r="C58" s="14" t="n"/>
      <c r="D58" s="14" t="n"/>
      <c r="E58" s="15" t="str">
        <f>IF(OR(C58="",D58=""),"",D58-C58+1)</f>
        <v/>
      </c>
      <c r="F58" s="16" t="n"/>
      <c r="G58" s="17" t="str">
        <f>IF(A58="","",IF(N(F58)&gt;=1,"Done",IF(AND(D58&lt;&gt;"",TODAY()&gt;D58),"Late",IF(AND(C58&lt;&gt;"",TODAY()&lt;C58),"Not started","In progress"))))</f>
        <v/>
      </c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</row>
    <row r="59">
      <c r="A59" s="13" t="n"/>
      <c r="B59" s="13" t="n"/>
      <c r="C59" s="14" t="n"/>
      <c r="D59" s="14" t="n"/>
      <c r="E59" s="15" t="str">
        <f>IF(OR(C59="",D59=""),"",D59-C59+1)</f>
        <v/>
      </c>
      <c r="F59" s="16" t="n"/>
      <c r="G59" s="17" t="str">
        <f>IF(A59="","",IF(N(F59)&gt;=1,"Done",IF(AND(D59&lt;&gt;"",TODAY()&gt;D59),"Late",IF(AND(C59&lt;&gt;"",TODAY()&lt;C59),"Not started","In progress"))))</f>
        <v/>
      </c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</row>
    <row r="60">
      <c r="A60" s="13" t="n"/>
      <c r="B60" s="13" t="n"/>
      <c r="C60" s="14" t="n"/>
      <c r="D60" s="14" t="n"/>
      <c r="E60" s="15" t="str">
        <f>IF(OR(C60="",D60=""),"",D60-C60+1)</f>
        <v/>
      </c>
      <c r="F60" s="16" t="n"/>
      <c r="G60" s="17" t="str">
        <f>IF(A60="","",IF(N(F60)&gt;=1,"Done",IF(AND(D60&lt;&gt;"",TODAY()&gt;D60),"Late",IF(AND(C60&lt;&gt;"",TODAY()&lt;C60),"Not started","In progress"))))</f>
        <v/>
      </c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</row>
    <row r="61">
      <c r="A61" s="13" t="n"/>
      <c r="B61" s="13" t="n"/>
      <c r="C61" s="14" t="n"/>
      <c r="D61" s="14" t="n"/>
      <c r="E61" s="15" t="str">
        <f>IF(OR(C61="",D61=""),"",D61-C61+1)</f>
        <v/>
      </c>
      <c r="F61" s="16" t="n"/>
      <c r="G61" s="17" t="str">
        <f>IF(A61="","",IF(N(F61)&gt;=1,"Done",IF(AND(D61&lt;&gt;"",TODAY()&gt;D61),"Late",IF(AND(C61&lt;&gt;"",TODAY()&lt;C61),"Not started","In progress"))))</f>
        <v/>
      </c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</row>
    <row r="62">
      <c r="A62" s="13" t="n"/>
      <c r="B62" s="13" t="n"/>
      <c r="C62" s="14" t="n"/>
      <c r="D62" s="14" t="n"/>
      <c r="E62" s="15" t="str">
        <f>IF(OR(C62="",D62=""),"",D62-C62+1)</f>
        <v/>
      </c>
      <c r="F62" s="16" t="n"/>
      <c r="G62" s="17" t="str">
        <f>IF(A62="","",IF(N(F62)&gt;=1,"Done",IF(AND(D62&lt;&gt;"",TODAY()&gt;D62),"Late",IF(AND(C62&lt;&gt;"",TODAY()&lt;C62),"Not started","In progress"))))</f>
        <v/>
      </c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</row>
    <row r="63">
      <c r="A63" s="13" t="n"/>
      <c r="B63" s="13" t="n"/>
      <c r="C63" s="14" t="n"/>
      <c r="D63" s="14" t="n"/>
      <c r="E63" s="15" t="str">
        <f>IF(OR(C63="",D63=""),"",D63-C63+1)</f>
        <v/>
      </c>
      <c r="F63" s="16" t="n"/>
      <c r="G63" s="17" t="str">
        <f>IF(A63="","",IF(N(F63)&gt;=1,"Done",IF(AND(D63&lt;&gt;"",TODAY()&gt;D63),"Late",IF(AND(C63&lt;&gt;"",TODAY()&lt;C63),"Not started","In progress"))))</f>
        <v/>
      </c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</row>
    <row r="64">
      <c r="A64" s="13" t="n"/>
      <c r="B64" s="13" t="n"/>
      <c r="C64" s="14" t="n"/>
      <c r="D64" s="14" t="n"/>
      <c r="E64" s="15" t="str">
        <f>IF(OR(C64="",D64=""),"",D64-C64+1)</f>
        <v/>
      </c>
      <c r="F64" s="16" t="n"/>
      <c r="G64" s="17" t="str">
        <f>IF(A64="","",IF(N(F64)&gt;=1,"Done",IF(AND(D64&lt;&gt;"",TODAY()&gt;D64),"Late",IF(AND(C64&lt;&gt;"",TODAY()&lt;C64),"Not started","In progress"))))</f>
        <v/>
      </c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</row>
    <row r="65">
      <c r="A65" s="13" t="n"/>
      <c r="B65" s="13" t="n"/>
      <c r="C65" s="14" t="n"/>
      <c r="D65" s="14" t="n"/>
      <c r="E65" s="15" t="str">
        <f>IF(OR(C65="",D65=""),"",D65-C65+1)</f>
        <v/>
      </c>
      <c r="F65" s="16" t="n"/>
      <c r="G65" s="17" t="str">
        <f>IF(A65="","",IF(N(F65)&gt;=1,"Done",IF(AND(D65&lt;&gt;"",TODAY()&gt;D65),"Late",IF(AND(C65&lt;&gt;"",TODAY()&lt;C65),"Not started","In progress"))))</f>
        <v/>
      </c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</row>
    <row r="66">
      <c r="A66" s="13" t="n"/>
      <c r="B66" s="13" t="n"/>
      <c r="C66" s="14" t="n"/>
      <c r="D66" s="14" t="n"/>
      <c r="E66" s="15" t="str">
        <f>IF(OR(C66="",D66=""),"",D66-C66+1)</f>
        <v/>
      </c>
      <c r="F66" s="16" t="n"/>
      <c r="G66" s="17" t="str">
        <f>IF(A66="","",IF(N(F66)&gt;=1,"Done",IF(AND(D66&lt;&gt;"",TODAY()&gt;D66),"Late",IF(AND(C66&lt;&gt;"",TODAY()&lt;C66),"Not started","In progress"))))</f>
        <v/>
      </c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</row>
    <row r="67">
      <c r="A67" s="13" t="n"/>
      <c r="B67" s="13" t="n"/>
      <c r="C67" s="14" t="n"/>
      <c r="D67" s="14" t="n"/>
      <c r="E67" s="15" t="str">
        <f>IF(OR(C67="",D67=""),"",D67-C67+1)</f>
        <v/>
      </c>
      <c r="F67" s="16" t="n"/>
      <c r="G67" s="17" t="str">
        <f>IF(A67="","",IF(N(F67)&gt;=1,"Done",IF(AND(D67&lt;&gt;"",TODAY()&gt;D67),"Late",IF(AND(C67&lt;&gt;"",TODAY()&lt;C67),"Not started","In progress"))))</f>
        <v/>
      </c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</row>
    <row r="68">
      <c r="A68" s="13" t="n"/>
      <c r="B68" s="13" t="n"/>
      <c r="C68" s="14" t="n"/>
      <c r="D68" s="14" t="n"/>
      <c r="E68" s="15" t="str">
        <f>IF(OR(C68="",D68=""),"",D68-C68+1)</f>
        <v/>
      </c>
      <c r="F68" s="16" t="n"/>
      <c r="G68" s="17" t="str">
        <f>IF(A68="","",IF(N(F68)&gt;=1,"Done",IF(AND(D68&lt;&gt;"",TODAY()&gt;D68),"Late",IF(AND(C68&lt;&gt;"",TODAY()&lt;C68),"Not started","In progress"))))</f>
        <v/>
      </c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</row>
  </sheetData>
  <mergeCells count="3">
    <mergeCell ref="E4:F4"/>
    <mergeCell ref="A1:AA1"/>
    <mergeCell ref="A2:AA2"/>
  </mergeCells>
  <conditionalFormatting sqref="B5">
    <cfRule type="expression" priority="1" dxfId="0">
      <formula>B5&gt;0</formula>
    </cfRule>
  </conditionalFormatting>
  <conditionalFormatting sqref="H9:AA68">
    <cfRule type="expression" priority="2" dxfId="1" stopIfTrue="1">
      <formula>AND($C9&lt;&gt;"",H$8&lt;=$D9,H$8+6&gt;=$C9,$G9="Done")</formula>
    </cfRule>
    <cfRule type="expression" priority="3" dxfId="2" stopIfTrue="1">
      <formula>AND($C9&lt;&gt;"",H$8&lt;=$D9,H$8+6&gt;=$C9,$G9="Late")</formula>
    </cfRule>
    <cfRule type="expression" priority="4" dxfId="3" stopIfTrue="1">
      <formula>AND($C9&lt;&gt;"",H$8&lt;=$D9,H$8+6&gt;=$C9)</formula>
    </cfRule>
    <cfRule type="expression" priority="5" dxfId="4">
      <formula>AND(TODAY()&gt;=H$8,TODAY()&lt;H$8+7)</formula>
    </cfRule>
  </conditionalFormatting>
  <conditionalFormatting sqref="G9:G68">
    <cfRule type="expression" priority="6" dxfId="5">
      <formula>G9="Done"</formula>
    </cfRule>
    <cfRule type="expression" priority="7" dxfId="6">
      <formula>G9="Late"</formula>
    </cfRule>
    <cfRule type="expression" priority="8" dxfId="7">
      <formula>G9="In progress"</formula>
    </cfRule>
  </conditionalFormatting>
  <conditionalFormatting sqref="F9:F68">
    <cfRule type="dataBar" priority="9">
      <dataBar>
        <cfvo type="num" val="0"/>
        <cfvo type="num" val="1"/>
        <color rgb="005B9B87"/>
      </dataBar>
    </cfRule>
  </conditionalFormatting>
  <printOptions horizontalCentered="1"/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2026-10-13T06:02:26Z</dcterms:created>
  <dcterms:modified xmlns:dcterms="http://purl.org/dc/terms/" xmlns:xsi="http://www.w3.org/2001/XMLSchema-instance" xsi:type="dcterms:W3CDTF">2026-10-13T06:02:26Z</dcterms:modified>
</cp:coreProperties>
</file>