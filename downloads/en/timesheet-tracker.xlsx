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" sheetId="1" state="visible" r:id="rId1"/>
    <sheet xmlns:r="http://schemas.openxmlformats.org/officeDocument/2006/relationships" name="Employees" sheetId="2" state="visible" r:id="rId2"/>
  </sheets>
  <definedNames>
    <definedName name="EmpNames">'Employees'!$A$7:$A$36</definedName>
    <definedName name="EmpTable">'Employees'!$A$7:$B$36</definedName>
    <definedName name="_xlnm._FilterDatabase" localSheetId="0" hidden="1">'Hours'!$A$6:$I$706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/yyyy"/>
    <numFmt numFmtId="166" formatCode="#,##0.00;[Red]-#,##0.00"/>
    <numFmt numFmtId="167" formatCode="#,##0;[Red]-#,##0"/>
    <numFmt numFmtId="168" formatCode="dd/mm/yyyy"/>
    <numFmt numFmtId="169" formatCode="hh:mm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b val="1"/>
      <color rgb="00FFFFFF"/>
      <sz val="11"/>
    </font>
    <font>
      <name val="Arial"/>
      <b val="1"/>
      <color rgb="00222222"/>
      <sz val="12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5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4" borderId="1" applyAlignment="1" pivotButton="0" quotePrefix="0" xfId="0">
      <alignment horizontal="left" vertical="center" readingOrder="1"/>
    </xf>
    <xf numFmtId="4" fontId="6" fillId="4" borderId="1" applyAlignment="1" pivotButton="0" quotePrefix="0" xfId="0">
      <alignment vertical="center" readingOrder="1"/>
    </xf>
    <xf numFmtId="167" fontId="6" fillId="4" borderId="1" applyAlignment="1" pivotButton="0" quotePrefix="0" xfId="0">
      <alignment vertical="center" readingOrder="1"/>
    </xf>
    <xf numFmtId="0" fontId="0" fillId="0" borderId="4" pivotButton="0" quotePrefix="0" xfId="0"/>
    <xf numFmtId="0" fontId="5" fillId="2" borderId="1" applyAlignment="1" pivotButton="0" quotePrefix="0" xfId="0">
      <alignment horizontal="center" vertical="center" wrapText="1" readingOrder="1"/>
    </xf>
    <xf numFmtId="168" fontId="4" fillId="3" borderId="1" applyAlignment="1" pivotButton="0" quotePrefix="0" xfId="0">
      <alignment horizontal="left" vertical="center" readingOrder="1"/>
    </xf>
    <xf numFmtId="0" fontId="4" fillId="3" borderId="1" applyAlignment="1" pivotButton="0" quotePrefix="0" xfId="0">
      <alignment horizontal="left" vertical="center" readingOrder="1"/>
    </xf>
    <xf numFmtId="169" fontId="4" fillId="3" borderId="1" applyAlignment="1" pivotButton="0" quotePrefix="0" xfId="0">
      <alignment horizontal="center" vertical="center" readingOrder="1"/>
    </xf>
    <xf numFmtId="1" fontId="4" fillId="3" borderId="1" applyAlignment="1" pivotButton="0" quotePrefix="0" xfId="0">
      <alignment horizontal="center" vertical="center" readingOrder="1"/>
    </xf>
    <xf numFmtId="4" fontId="7" fillId="0" borderId="1" applyAlignment="1" pivotButton="0" quotePrefix="0" xfId="0">
      <alignment horizontal="center" vertical="center" readingOrder="1"/>
    </xf>
    <xf numFmtId="166" fontId="7" fillId="0" borderId="1" applyAlignment="1" pivotButton="0" quotePrefix="0" xfId="0">
      <alignment vertical="center" readingOrder="1"/>
    </xf>
    <xf numFmtId="0" fontId="3" fillId="0" borderId="1" applyAlignment="1" pivotButton="0" quotePrefix="0" xfId="0">
      <alignment horizontal="left" vertical="center" readingOrder="1"/>
    </xf>
    <xf numFmtId="165" fontId="4" fillId="3" borderId="1" applyAlignment="1" pivotButton="0" quotePrefix="0" xfId="0">
      <alignment horizontal="left" vertical="center" readingOrder="1"/>
    </xf>
    <xf numFmtId="166" fontId="4" fillId="3" borderId="1" applyAlignment="1" pivotButton="0" quotePrefix="0" xfId="0">
      <alignment vertical="center" readingOrder="1"/>
    </xf>
    <xf numFmtId="4" fontId="7" fillId="0" borderId="1" applyAlignment="1" pivotButton="0" quotePrefix="0" xfId="0">
      <alignment vertical="center" readingOrder="1"/>
    </xf>
    <xf numFmtId="167" fontId="7" fillId="0" borderId="1" applyAlignment="1" pivotButton="0" quotePrefix="0" xfId="0">
      <alignment vertical="center" readingOrder="1"/>
    </xf>
    <xf numFmtId="3" fontId="7" fillId="0" borderId="1" applyAlignment="1" pivotButton="0" quotePrefix="0" xfId="0">
      <alignment horizontal="center" vertical="center" readingOrder="1"/>
    </xf>
    <xf numFmtId="166" fontId="4" fillId="3" borderId="1" applyAlignment="1" pivotButton="0" quotePrefix="0" xfId="0">
      <alignment horizontal="left" vertical="center" readingOrder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06"/>
  <sheetViews>
    <sheetView showGridLines="0" rightToLeft="0"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1" customWidth="1" min="4" max="4"/>
    <col width="12" customWidth="1" min="5" max="5"/>
    <col width="11" customWidth="1" min="6" max="6"/>
    <col width="13" customWidth="1" min="7" max="7"/>
    <col width="14" customWidth="1" min="8" max="8"/>
    <col width="26" customWidth="1" min="9" max="9"/>
  </cols>
  <sheetData>
    <row r="1" ht="34" customHeight="1">
      <c r="A1" s="1" t="inlineStr">
        <is>
          <t>Timesheet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One shift per row: date, employee, start, end and break in minutes. Hours and pay are calculated — including shifts that pass midnight.</t>
        </is>
      </c>
    </row>
    <row r="4">
      <c r="A4" s="4" t="inlineStr">
        <is>
          <t>Total hours</t>
        </is>
      </c>
      <c r="B4" s="5">
        <f>SUM($F$7:$F$706)</f>
        <v>31.75</v>
      </c>
      <c r="C4" s="4" t="inlineStr">
        <is>
          <t>Total pay</t>
        </is>
      </c>
      <c r="D4" s="6">
        <f>SUM($H$7:$H$706)</f>
        <v>1785</v>
      </c>
      <c r="E4" s="7" t="n"/>
    </row>
    <row r="6" ht="32" customHeight="1">
      <c r="A6" s="8" t="inlineStr">
        <is>
          <t>Date</t>
        </is>
      </c>
      <c r="B6" s="8" t="inlineStr">
        <is>
          <t>Employee</t>
        </is>
      </c>
      <c r="C6" s="8" t="inlineStr">
        <is>
          <t>Start</t>
        </is>
      </c>
      <c r="D6" s="8" t="inlineStr">
        <is>
          <t>End</t>
        </is>
      </c>
      <c r="E6" s="8" t="inlineStr">
        <is>
          <t>Break (min)</t>
        </is>
      </c>
      <c r="F6" s="8" t="inlineStr">
        <is>
          <t>Hours</t>
        </is>
      </c>
      <c r="G6" s="8" t="inlineStr">
        <is>
          <t>Rate</t>
        </is>
      </c>
      <c r="H6" s="8" t="inlineStr">
        <is>
          <t>Pay</t>
        </is>
      </c>
      <c r="I6" s="8" t="inlineStr">
        <is>
          <t>Notes</t>
        </is>
      </c>
    </row>
    <row r="7">
      <c r="A7" s="9" t="n">
        <v>46296</v>
      </c>
      <c r="B7" s="10" t="inlineStr">
        <is>
          <t>Noa</t>
        </is>
      </c>
      <c r="C7" s="11" t="n">
        <v>0.375</v>
      </c>
      <c r="D7" s="11" t="n">
        <v>0.7291666666666666</v>
      </c>
      <c r="E7" s="12" t="n">
        <v>30</v>
      </c>
      <c r="F7" s="13">
        <f>IF(OR(C7="",D7=""),"",ROUND(MOD(D7-C7,1)*24-N(E7)/60,2))</f>
        <v>8</v>
      </c>
      <c r="G7" s="14">
        <f>IF(B7="","",IFERROR(VLOOKUP(B7,EmpTable,2,FALSE),""))</f>
        <v>55</v>
      </c>
      <c r="H7" s="14">
        <f>IF(OR(F7="",G7=""),"",F7*G7)</f>
        <v>440</v>
      </c>
      <c r="I7" s="10" t="n"/>
    </row>
    <row r="8">
      <c r="A8" s="9" t="n">
        <v>46297</v>
      </c>
      <c r="B8" s="10" t="inlineStr">
        <is>
          <t>Noa</t>
        </is>
      </c>
      <c r="C8" s="11" t="n">
        <v>0.375</v>
      </c>
      <c r="D8" s="11" t="n">
        <v>0.6666666666666666</v>
      </c>
      <c r="E8" s="12" t="n">
        <v>30</v>
      </c>
      <c r="F8" s="13">
        <f>IF(OR(C8="",D8=""),"",ROUND(MOD(D8-C8,1)*24-N(E8)/60,2))</f>
        <v>6.5</v>
      </c>
      <c r="G8" s="14">
        <f>IF(B8="","",IFERROR(VLOOKUP(B8,EmpTable,2,FALSE),""))</f>
        <v>55</v>
      </c>
      <c r="H8" s="14">
        <f>IF(OR(F8="",G8=""),"",F8*G8)</f>
        <v>357.5</v>
      </c>
      <c r="I8" s="10" t="n"/>
    </row>
    <row r="9">
      <c r="A9" s="9" t="n">
        <v>46296</v>
      </c>
      <c r="B9" s="10" t="inlineStr">
        <is>
          <t>Uri</t>
        </is>
      </c>
      <c r="C9" s="11" t="n">
        <v>0.6666666666666666</v>
      </c>
      <c r="D9" s="11" t="n">
        <v>0.02083333333333333</v>
      </c>
      <c r="E9" s="12" t="n">
        <v>30</v>
      </c>
      <c r="F9" s="13">
        <f>IF(OR(C9="",D9=""),"",ROUND(MOD(D9-C9,1)*24-N(E9)/60,2))</f>
        <v>8</v>
      </c>
      <c r="G9" s="14">
        <f>IF(B9="","",IFERROR(VLOOKUP(B9,EmpTable,2,FALSE),""))</f>
        <v>60</v>
      </c>
      <c r="H9" s="14">
        <f>IF(OR(F9="",G9=""),"",F9*G9)</f>
        <v>480</v>
      </c>
      <c r="I9" s="10" t="n"/>
    </row>
    <row r="10">
      <c r="A10" s="9" t="n">
        <v>46298</v>
      </c>
      <c r="B10" s="10" t="inlineStr">
        <is>
          <t>Uri</t>
        </is>
      </c>
      <c r="C10" s="11" t="n">
        <v>0.4166666666666667</v>
      </c>
      <c r="D10" s="11" t="n">
        <v>0.6041666666666666</v>
      </c>
      <c r="E10" s="12" t="n">
        <v>0</v>
      </c>
      <c r="F10" s="13">
        <f>IF(OR(C10="",D10=""),"",ROUND(MOD(D10-C10,1)*24-N(E10)/60,2))</f>
        <v>4.5</v>
      </c>
      <c r="G10" s="14">
        <f>IF(B10="","",IFERROR(VLOOKUP(B10,EmpTable,2,FALSE),""))</f>
        <v>60</v>
      </c>
      <c r="H10" s="14">
        <f>IF(OR(F10="",G10=""),"",F10*G10)</f>
        <v>270</v>
      </c>
      <c r="I10" s="10" t="n"/>
    </row>
    <row r="11">
      <c r="A11" s="9" t="n">
        <v>46298</v>
      </c>
      <c r="B11" s="10" t="inlineStr">
        <is>
          <t>Maya</t>
        </is>
      </c>
      <c r="C11" s="11" t="n">
        <v>0.3333333333333333</v>
      </c>
      <c r="D11" s="11" t="n">
        <v>0.5416666666666666</v>
      </c>
      <c r="E11" s="12" t="n">
        <v>15</v>
      </c>
      <c r="F11" s="13">
        <f>IF(OR(C11="",D11=""),"",ROUND(MOD(D11-C11,1)*24-N(E11)/60,2))</f>
        <v>4.75</v>
      </c>
      <c r="G11" s="14">
        <f>IF(B11="","",IFERROR(VLOOKUP(B11,EmpTable,2,FALSE),""))</f>
        <v>50</v>
      </c>
      <c r="H11" s="14">
        <f>IF(OR(F11="",G11=""),"",F11*G11)</f>
        <v>237.5</v>
      </c>
      <c r="I11" s="10" t="n"/>
    </row>
    <row r="12">
      <c r="A12" s="9" t="n"/>
      <c r="B12" s="10" t="n"/>
      <c r="C12" s="11" t="n"/>
      <c r="D12" s="11" t="n"/>
      <c r="E12" s="12" t="n"/>
      <c r="F12" s="13" t="str">
        <f>IF(OR(C12="",D12=""),"",ROUND(MOD(D12-C12,1)*24-N(E12)/60,2))</f>
        <v/>
      </c>
      <c r="G12" s="14" t="str">
        <f>IF(B12="","",IFERROR(VLOOKUP(B12,EmpTable,2,FALSE),""))</f>
        <v/>
      </c>
      <c r="H12" s="14" t="str">
        <f>IF(OR(F12="",G12=""),"",F12*G12)</f>
        <v/>
      </c>
      <c r="I12" s="10" t="n"/>
    </row>
    <row r="13">
      <c r="A13" s="9" t="n"/>
      <c r="B13" s="10" t="n"/>
      <c r="C13" s="11" t="n"/>
      <c r="D13" s="11" t="n"/>
      <c r="E13" s="12" t="n"/>
      <c r="F13" s="13" t="str">
        <f>IF(OR(C13="",D13=""),"",ROUND(MOD(D13-C13,1)*24-N(E13)/60,2))</f>
        <v/>
      </c>
      <c r="G13" s="14" t="str">
        <f>IF(B13="","",IFERROR(VLOOKUP(B13,EmpTable,2,FALSE),""))</f>
        <v/>
      </c>
      <c r="H13" s="14" t="str">
        <f>IF(OR(F13="",G13=""),"",F13*G13)</f>
        <v/>
      </c>
      <c r="I13" s="10" t="n"/>
    </row>
    <row r="14">
      <c r="A14" s="9" t="n"/>
      <c r="B14" s="10" t="n"/>
      <c r="C14" s="11" t="n"/>
      <c r="D14" s="11" t="n"/>
      <c r="E14" s="12" t="n"/>
      <c r="F14" s="13" t="str">
        <f>IF(OR(C14="",D14=""),"",ROUND(MOD(D14-C14,1)*24-N(E14)/60,2))</f>
        <v/>
      </c>
      <c r="G14" s="14" t="str">
        <f>IF(B14="","",IFERROR(VLOOKUP(B14,EmpTable,2,FALSE),""))</f>
        <v/>
      </c>
      <c r="H14" s="14" t="str">
        <f>IF(OR(F14="",G14=""),"",F14*G14)</f>
        <v/>
      </c>
      <c r="I14" s="10" t="n"/>
    </row>
    <row r="15">
      <c r="A15" s="9" t="n"/>
      <c r="B15" s="10" t="n"/>
      <c r="C15" s="11" t="n"/>
      <c r="D15" s="11" t="n"/>
      <c r="E15" s="12" t="n"/>
      <c r="F15" s="13" t="str">
        <f>IF(OR(C15="",D15=""),"",ROUND(MOD(D15-C15,1)*24-N(E15)/60,2))</f>
        <v/>
      </c>
      <c r="G15" s="14" t="str">
        <f>IF(B15="","",IFERROR(VLOOKUP(B15,EmpTable,2,FALSE),""))</f>
        <v/>
      </c>
      <c r="H15" s="14" t="str">
        <f>IF(OR(F15="",G15=""),"",F15*G15)</f>
        <v/>
      </c>
      <c r="I15" s="10" t="n"/>
    </row>
    <row r="16">
      <c r="A16" s="9" t="n"/>
      <c r="B16" s="10" t="n"/>
      <c r="C16" s="11" t="n"/>
      <c r="D16" s="11" t="n"/>
      <c r="E16" s="12" t="n"/>
      <c r="F16" s="13" t="str">
        <f>IF(OR(C16="",D16=""),"",ROUND(MOD(D16-C16,1)*24-N(E16)/60,2))</f>
        <v/>
      </c>
      <c r="G16" s="14" t="str">
        <f>IF(B16="","",IFERROR(VLOOKUP(B16,EmpTable,2,FALSE),""))</f>
        <v/>
      </c>
      <c r="H16" s="14" t="str">
        <f>IF(OR(F16="",G16=""),"",F16*G16)</f>
        <v/>
      </c>
      <c r="I16" s="10" t="n"/>
    </row>
    <row r="17">
      <c r="A17" s="9" t="n"/>
      <c r="B17" s="10" t="n"/>
      <c r="C17" s="11" t="n"/>
      <c r="D17" s="11" t="n"/>
      <c r="E17" s="12" t="n"/>
      <c r="F17" s="13" t="str">
        <f>IF(OR(C17="",D17=""),"",ROUND(MOD(D17-C17,1)*24-N(E17)/60,2))</f>
        <v/>
      </c>
      <c r="G17" s="14" t="str">
        <f>IF(B17="","",IFERROR(VLOOKUP(B17,EmpTable,2,FALSE),""))</f>
        <v/>
      </c>
      <c r="H17" s="14" t="str">
        <f>IF(OR(F17="",G17=""),"",F17*G17)</f>
        <v/>
      </c>
      <c r="I17" s="10" t="n"/>
    </row>
    <row r="18">
      <c r="A18" s="9" t="n"/>
      <c r="B18" s="10" t="n"/>
      <c r="C18" s="11" t="n"/>
      <c r="D18" s="11" t="n"/>
      <c r="E18" s="12" t="n"/>
      <c r="F18" s="13" t="str">
        <f>IF(OR(C18="",D18=""),"",ROUND(MOD(D18-C18,1)*24-N(E18)/60,2))</f>
        <v/>
      </c>
      <c r="G18" s="14" t="str">
        <f>IF(B18="","",IFERROR(VLOOKUP(B18,EmpTable,2,FALSE),""))</f>
        <v/>
      </c>
      <c r="H18" s="14" t="str">
        <f>IF(OR(F18="",G18=""),"",F18*G18)</f>
        <v/>
      </c>
      <c r="I18" s="10" t="n"/>
    </row>
    <row r="19">
      <c r="A19" s="9" t="n"/>
      <c r="B19" s="10" t="n"/>
      <c r="C19" s="11" t="n"/>
      <c r="D19" s="11" t="n"/>
      <c r="E19" s="12" t="n"/>
      <c r="F19" s="13" t="str">
        <f>IF(OR(C19="",D19=""),"",ROUND(MOD(D19-C19,1)*24-N(E19)/60,2))</f>
        <v/>
      </c>
      <c r="G19" s="14" t="str">
        <f>IF(B19="","",IFERROR(VLOOKUP(B19,EmpTable,2,FALSE),""))</f>
        <v/>
      </c>
      <c r="H19" s="14" t="str">
        <f>IF(OR(F19="",G19=""),"",F19*G19)</f>
        <v/>
      </c>
      <c r="I19" s="10" t="n"/>
    </row>
    <row r="20">
      <c r="A20" s="9" t="n"/>
      <c r="B20" s="10" t="n"/>
      <c r="C20" s="11" t="n"/>
      <c r="D20" s="11" t="n"/>
      <c r="E20" s="12" t="n"/>
      <c r="F20" s="13" t="str">
        <f>IF(OR(C20="",D20=""),"",ROUND(MOD(D20-C20,1)*24-N(E20)/60,2))</f>
        <v/>
      </c>
      <c r="G20" s="14" t="str">
        <f>IF(B20="","",IFERROR(VLOOKUP(B20,EmpTable,2,FALSE),""))</f>
        <v/>
      </c>
      <c r="H20" s="14" t="str">
        <f>IF(OR(F20="",G20=""),"",F20*G20)</f>
        <v/>
      </c>
      <c r="I20" s="10" t="n"/>
    </row>
    <row r="21">
      <c r="A21" s="9" t="n"/>
      <c r="B21" s="10" t="n"/>
      <c r="C21" s="11" t="n"/>
      <c r="D21" s="11" t="n"/>
      <c r="E21" s="12" t="n"/>
      <c r="F21" s="13" t="str">
        <f>IF(OR(C21="",D21=""),"",ROUND(MOD(D21-C21,1)*24-N(E21)/60,2))</f>
        <v/>
      </c>
      <c r="G21" s="14" t="str">
        <f>IF(B21="","",IFERROR(VLOOKUP(B21,EmpTable,2,FALSE),""))</f>
        <v/>
      </c>
      <c r="H21" s="14" t="str">
        <f>IF(OR(F21="",G21=""),"",F21*G21)</f>
        <v/>
      </c>
      <c r="I21" s="10" t="n"/>
    </row>
    <row r="22">
      <c r="A22" s="9" t="n"/>
      <c r="B22" s="10" t="n"/>
      <c r="C22" s="11" t="n"/>
      <c r="D22" s="11" t="n"/>
      <c r="E22" s="12" t="n"/>
      <c r="F22" s="13" t="str">
        <f>IF(OR(C22="",D22=""),"",ROUND(MOD(D22-C22,1)*24-N(E22)/60,2))</f>
        <v/>
      </c>
      <c r="G22" s="14" t="str">
        <f>IF(B22="","",IFERROR(VLOOKUP(B22,EmpTable,2,FALSE),""))</f>
        <v/>
      </c>
      <c r="H22" s="14" t="str">
        <f>IF(OR(F22="",G22=""),"",F22*G22)</f>
        <v/>
      </c>
      <c r="I22" s="10" t="n"/>
    </row>
    <row r="23">
      <c r="A23" s="9" t="n"/>
      <c r="B23" s="10" t="n"/>
      <c r="C23" s="11" t="n"/>
      <c r="D23" s="11" t="n"/>
      <c r="E23" s="12" t="n"/>
      <c r="F23" s="13" t="str">
        <f>IF(OR(C23="",D23=""),"",ROUND(MOD(D23-C23,1)*24-N(E23)/60,2))</f>
        <v/>
      </c>
      <c r="G23" s="14" t="str">
        <f>IF(B23="","",IFERROR(VLOOKUP(B23,EmpTable,2,FALSE),""))</f>
        <v/>
      </c>
      <c r="H23" s="14" t="str">
        <f>IF(OR(F23="",G23=""),"",F23*G23)</f>
        <v/>
      </c>
      <c r="I23" s="10" t="n"/>
    </row>
    <row r="24">
      <c r="A24" s="9" t="n"/>
      <c r="B24" s="10" t="n"/>
      <c r="C24" s="11" t="n"/>
      <c r="D24" s="11" t="n"/>
      <c r="E24" s="12" t="n"/>
      <c r="F24" s="13" t="str">
        <f>IF(OR(C24="",D24=""),"",ROUND(MOD(D24-C24,1)*24-N(E24)/60,2))</f>
        <v/>
      </c>
      <c r="G24" s="14" t="str">
        <f>IF(B24="","",IFERROR(VLOOKUP(B24,EmpTable,2,FALSE),""))</f>
        <v/>
      </c>
      <c r="H24" s="14" t="str">
        <f>IF(OR(F24="",G24=""),"",F24*G24)</f>
        <v/>
      </c>
      <c r="I24" s="10" t="n"/>
    </row>
    <row r="25">
      <c r="A25" s="9" t="n"/>
      <c r="B25" s="10" t="n"/>
      <c r="C25" s="11" t="n"/>
      <c r="D25" s="11" t="n"/>
      <c r="E25" s="12" t="n"/>
      <c r="F25" s="13" t="str">
        <f>IF(OR(C25="",D25=""),"",ROUND(MOD(D25-C25,1)*24-N(E25)/60,2))</f>
        <v/>
      </c>
      <c r="G25" s="14" t="str">
        <f>IF(B25="","",IFERROR(VLOOKUP(B25,EmpTable,2,FALSE),""))</f>
        <v/>
      </c>
      <c r="H25" s="14" t="str">
        <f>IF(OR(F25="",G25=""),"",F25*G25)</f>
        <v/>
      </c>
      <c r="I25" s="10" t="n"/>
    </row>
    <row r="26">
      <c r="A26" s="9" t="n"/>
      <c r="B26" s="10" t="n"/>
      <c r="C26" s="11" t="n"/>
      <c r="D26" s="11" t="n"/>
      <c r="E26" s="12" t="n"/>
      <c r="F26" s="13" t="str">
        <f>IF(OR(C26="",D26=""),"",ROUND(MOD(D26-C26,1)*24-N(E26)/60,2))</f>
        <v/>
      </c>
      <c r="G26" s="14" t="str">
        <f>IF(B26="","",IFERROR(VLOOKUP(B26,EmpTable,2,FALSE),""))</f>
        <v/>
      </c>
      <c r="H26" s="14" t="str">
        <f>IF(OR(F26="",G26=""),"",F26*G26)</f>
        <v/>
      </c>
      <c r="I26" s="10" t="n"/>
    </row>
    <row r="27">
      <c r="A27" s="9" t="n"/>
      <c r="B27" s="10" t="n"/>
      <c r="C27" s="11" t="n"/>
      <c r="D27" s="11" t="n"/>
      <c r="E27" s="12" t="n"/>
      <c r="F27" s="13" t="str">
        <f>IF(OR(C27="",D27=""),"",ROUND(MOD(D27-C27,1)*24-N(E27)/60,2))</f>
        <v/>
      </c>
      <c r="G27" s="14" t="str">
        <f>IF(B27="","",IFERROR(VLOOKUP(B27,EmpTable,2,FALSE),""))</f>
        <v/>
      </c>
      <c r="H27" s="14" t="str">
        <f>IF(OR(F27="",G27=""),"",F27*G27)</f>
        <v/>
      </c>
      <c r="I27" s="10" t="n"/>
    </row>
    <row r="28">
      <c r="A28" s="9" t="n"/>
      <c r="B28" s="10" t="n"/>
      <c r="C28" s="11" t="n"/>
      <c r="D28" s="11" t="n"/>
      <c r="E28" s="12" t="n"/>
      <c r="F28" s="13" t="str">
        <f>IF(OR(C28="",D28=""),"",ROUND(MOD(D28-C28,1)*24-N(E28)/60,2))</f>
        <v/>
      </c>
      <c r="G28" s="14" t="str">
        <f>IF(B28="","",IFERROR(VLOOKUP(B28,EmpTable,2,FALSE),""))</f>
        <v/>
      </c>
      <c r="H28" s="14" t="str">
        <f>IF(OR(F28="",G28=""),"",F28*G28)</f>
        <v/>
      </c>
      <c r="I28" s="10" t="n"/>
    </row>
    <row r="29">
      <c r="A29" s="9" t="n"/>
      <c r="B29" s="10" t="n"/>
      <c r="C29" s="11" t="n"/>
      <c r="D29" s="11" t="n"/>
      <c r="E29" s="12" t="n"/>
      <c r="F29" s="13" t="str">
        <f>IF(OR(C29="",D29=""),"",ROUND(MOD(D29-C29,1)*24-N(E29)/60,2))</f>
        <v/>
      </c>
      <c r="G29" s="14" t="str">
        <f>IF(B29="","",IFERROR(VLOOKUP(B29,EmpTable,2,FALSE),""))</f>
        <v/>
      </c>
      <c r="H29" s="14" t="str">
        <f>IF(OR(F29="",G29=""),"",F29*G29)</f>
        <v/>
      </c>
      <c r="I29" s="10" t="n"/>
    </row>
    <row r="30">
      <c r="A30" s="9" t="n"/>
      <c r="B30" s="10" t="n"/>
      <c r="C30" s="11" t="n"/>
      <c r="D30" s="11" t="n"/>
      <c r="E30" s="12" t="n"/>
      <c r="F30" s="13" t="str">
        <f>IF(OR(C30="",D30=""),"",ROUND(MOD(D30-C30,1)*24-N(E30)/60,2))</f>
        <v/>
      </c>
      <c r="G30" s="14" t="str">
        <f>IF(B30="","",IFERROR(VLOOKUP(B30,EmpTable,2,FALSE),""))</f>
        <v/>
      </c>
      <c r="H30" s="14" t="str">
        <f>IF(OR(F30="",G30=""),"",F30*G30)</f>
        <v/>
      </c>
      <c r="I30" s="10" t="n"/>
    </row>
    <row r="31">
      <c r="A31" s="9" t="n"/>
      <c r="B31" s="10" t="n"/>
      <c r="C31" s="11" t="n"/>
      <c r="D31" s="11" t="n"/>
      <c r="E31" s="12" t="n"/>
      <c r="F31" s="13" t="str">
        <f>IF(OR(C31="",D31=""),"",ROUND(MOD(D31-C31,1)*24-N(E31)/60,2))</f>
        <v/>
      </c>
      <c r="G31" s="14" t="str">
        <f>IF(B31="","",IFERROR(VLOOKUP(B31,EmpTable,2,FALSE),""))</f>
        <v/>
      </c>
      <c r="H31" s="14" t="str">
        <f>IF(OR(F31="",G31=""),"",F31*G31)</f>
        <v/>
      </c>
      <c r="I31" s="10" t="n"/>
    </row>
    <row r="32">
      <c r="A32" s="9" t="n"/>
      <c r="B32" s="10" t="n"/>
      <c r="C32" s="11" t="n"/>
      <c r="D32" s="11" t="n"/>
      <c r="E32" s="12" t="n"/>
      <c r="F32" s="13" t="str">
        <f>IF(OR(C32="",D32=""),"",ROUND(MOD(D32-C32,1)*24-N(E32)/60,2))</f>
        <v/>
      </c>
      <c r="G32" s="14" t="str">
        <f>IF(B32="","",IFERROR(VLOOKUP(B32,EmpTable,2,FALSE),""))</f>
        <v/>
      </c>
      <c r="H32" s="14" t="str">
        <f>IF(OR(F32="",G32=""),"",F32*G32)</f>
        <v/>
      </c>
      <c r="I32" s="10" t="n"/>
    </row>
    <row r="33">
      <c r="A33" s="9" t="n"/>
      <c r="B33" s="10" t="n"/>
      <c r="C33" s="11" t="n"/>
      <c r="D33" s="11" t="n"/>
      <c r="E33" s="12" t="n"/>
      <c r="F33" s="13" t="str">
        <f>IF(OR(C33="",D33=""),"",ROUND(MOD(D33-C33,1)*24-N(E33)/60,2))</f>
        <v/>
      </c>
      <c r="G33" s="14" t="str">
        <f>IF(B33="","",IFERROR(VLOOKUP(B33,EmpTable,2,FALSE),""))</f>
        <v/>
      </c>
      <c r="H33" s="14" t="str">
        <f>IF(OR(F33="",G33=""),"",F33*G33)</f>
        <v/>
      </c>
      <c r="I33" s="10" t="n"/>
    </row>
    <row r="34">
      <c r="A34" s="9" t="n"/>
      <c r="B34" s="10" t="n"/>
      <c r="C34" s="11" t="n"/>
      <c r="D34" s="11" t="n"/>
      <c r="E34" s="12" t="n"/>
      <c r="F34" s="13" t="str">
        <f>IF(OR(C34="",D34=""),"",ROUND(MOD(D34-C34,1)*24-N(E34)/60,2))</f>
        <v/>
      </c>
      <c r="G34" s="14" t="str">
        <f>IF(B34="","",IFERROR(VLOOKUP(B34,EmpTable,2,FALSE),""))</f>
        <v/>
      </c>
      <c r="H34" s="14" t="str">
        <f>IF(OR(F34="",G34=""),"",F34*G34)</f>
        <v/>
      </c>
      <c r="I34" s="10" t="n"/>
    </row>
    <row r="35">
      <c r="A35" s="9" t="n"/>
      <c r="B35" s="10" t="n"/>
      <c r="C35" s="11" t="n"/>
      <c r="D35" s="11" t="n"/>
      <c r="E35" s="12" t="n"/>
      <c r="F35" s="13" t="str">
        <f>IF(OR(C35="",D35=""),"",ROUND(MOD(D35-C35,1)*24-N(E35)/60,2))</f>
        <v/>
      </c>
      <c r="G35" s="14" t="str">
        <f>IF(B35="","",IFERROR(VLOOKUP(B35,EmpTable,2,FALSE),""))</f>
        <v/>
      </c>
      <c r="H35" s="14" t="str">
        <f>IF(OR(F35="",G35=""),"",F35*G35)</f>
        <v/>
      </c>
      <c r="I35" s="10" t="n"/>
    </row>
    <row r="36">
      <c r="A36" s="9" t="n"/>
      <c r="B36" s="10" t="n"/>
      <c r="C36" s="11" t="n"/>
      <c r="D36" s="11" t="n"/>
      <c r="E36" s="12" t="n"/>
      <c r="F36" s="13" t="str">
        <f>IF(OR(C36="",D36=""),"",ROUND(MOD(D36-C36,1)*24-N(E36)/60,2))</f>
        <v/>
      </c>
      <c r="G36" s="14" t="str">
        <f>IF(B36="","",IFERROR(VLOOKUP(B36,EmpTable,2,FALSE),""))</f>
        <v/>
      </c>
      <c r="H36" s="14" t="str">
        <f>IF(OR(F36="",G36=""),"",F36*G36)</f>
        <v/>
      </c>
      <c r="I36" s="10" t="n"/>
    </row>
    <row r="37">
      <c r="A37" s="9" t="n"/>
      <c r="B37" s="10" t="n"/>
      <c r="C37" s="11" t="n"/>
      <c r="D37" s="11" t="n"/>
      <c r="E37" s="12" t="n"/>
      <c r="F37" s="13" t="str">
        <f>IF(OR(C37="",D37=""),"",ROUND(MOD(D37-C37,1)*24-N(E37)/60,2))</f>
        <v/>
      </c>
      <c r="G37" s="14" t="str">
        <f>IF(B37="","",IFERROR(VLOOKUP(B37,EmpTable,2,FALSE),""))</f>
        <v/>
      </c>
      <c r="H37" s="14" t="str">
        <f>IF(OR(F37="",G37=""),"",F37*G37)</f>
        <v/>
      </c>
      <c r="I37" s="10" t="n"/>
    </row>
    <row r="38">
      <c r="A38" s="9" t="n"/>
      <c r="B38" s="10" t="n"/>
      <c r="C38" s="11" t="n"/>
      <c r="D38" s="11" t="n"/>
      <c r="E38" s="12" t="n"/>
      <c r="F38" s="13" t="str">
        <f>IF(OR(C38="",D38=""),"",ROUND(MOD(D38-C38,1)*24-N(E38)/60,2))</f>
        <v/>
      </c>
      <c r="G38" s="14" t="str">
        <f>IF(B38="","",IFERROR(VLOOKUP(B38,EmpTable,2,FALSE),""))</f>
        <v/>
      </c>
      <c r="H38" s="14" t="str">
        <f>IF(OR(F38="",G38=""),"",F38*G38)</f>
        <v/>
      </c>
      <c r="I38" s="10" t="n"/>
    </row>
    <row r="39">
      <c r="A39" s="9" t="n"/>
      <c r="B39" s="10" t="n"/>
      <c r="C39" s="11" t="n"/>
      <c r="D39" s="11" t="n"/>
      <c r="E39" s="12" t="n"/>
      <c r="F39" s="13" t="str">
        <f>IF(OR(C39="",D39=""),"",ROUND(MOD(D39-C39,1)*24-N(E39)/60,2))</f>
        <v/>
      </c>
      <c r="G39" s="14" t="str">
        <f>IF(B39="","",IFERROR(VLOOKUP(B39,EmpTable,2,FALSE),""))</f>
        <v/>
      </c>
      <c r="H39" s="14" t="str">
        <f>IF(OR(F39="",G39=""),"",F39*G39)</f>
        <v/>
      </c>
      <c r="I39" s="10" t="n"/>
    </row>
    <row r="40">
      <c r="A40" s="9" t="n"/>
      <c r="B40" s="10" t="n"/>
      <c r="C40" s="11" t="n"/>
      <c r="D40" s="11" t="n"/>
      <c r="E40" s="12" t="n"/>
      <c r="F40" s="13" t="str">
        <f>IF(OR(C40="",D40=""),"",ROUND(MOD(D40-C40,1)*24-N(E40)/60,2))</f>
        <v/>
      </c>
      <c r="G40" s="14" t="str">
        <f>IF(B40="","",IFERROR(VLOOKUP(B40,EmpTable,2,FALSE),""))</f>
        <v/>
      </c>
      <c r="H40" s="14" t="str">
        <f>IF(OR(F40="",G40=""),"",F40*G40)</f>
        <v/>
      </c>
      <c r="I40" s="10" t="n"/>
    </row>
    <row r="41">
      <c r="A41" s="9" t="n"/>
      <c r="B41" s="10" t="n"/>
      <c r="C41" s="11" t="n"/>
      <c r="D41" s="11" t="n"/>
      <c r="E41" s="12" t="n"/>
      <c r="F41" s="13" t="str">
        <f>IF(OR(C41="",D41=""),"",ROUND(MOD(D41-C41,1)*24-N(E41)/60,2))</f>
        <v/>
      </c>
      <c r="G41" s="14" t="str">
        <f>IF(B41="","",IFERROR(VLOOKUP(B41,EmpTable,2,FALSE),""))</f>
        <v/>
      </c>
      <c r="H41" s="14" t="str">
        <f>IF(OR(F41="",G41=""),"",F41*G41)</f>
        <v/>
      </c>
      <c r="I41" s="10" t="n"/>
    </row>
    <row r="42">
      <c r="A42" s="9" t="n"/>
      <c r="B42" s="10" t="n"/>
      <c r="C42" s="11" t="n"/>
      <c r="D42" s="11" t="n"/>
      <c r="E42" s="12" t="n"/>
      <c r="F42" s="13" t="str">
        <f>IF(OR(C42="",D42=""),"",ROUND(MOD(D42-C42,1)*24-N(E42)/60,2))</f>
        <v/>
      </c>
      <c r="G42" s="14" t="str">
        <f>IF(B42="","",IFERROR(VLOOKUP(B42,EmpTable,2,FALSE),""))</f>
        <v/>
      </c>
      <c r="H42" s="14" t="str">
        <f>IF(OR(F42="",G42=""),"",F42*G42)</f>
        <v/>
      </c>
      <c r="I42" s="10" t="n"/>
    </row>
    <row r="43">
      <c r="A43" s="9" t="n"/>
      <c r="B43" s="10" t="n"/>
      <c r="C43" s="11" t="n"/>
      <c r="D43" s="11" t="n"/>
      <c r="E43" s="12" t="n"/>
      <c r="F43" s="13" t="str">
        <f>IF(OR(C43="",D43=""),"",ROUND(MOD(D43-C43,1)*24-N(E43)/60,2))</f>
        <v/>
      </c>
      <c r="G43" s="14" t="str">
        <f>IF(B43="","",IFERROR(VLOOKUP(B43,EmpTable,2,FALSE),""))</f>
        <v/>
      </c>
      <c r="H43" s="14" t="str">
        <f>IF(OR(F43="",G43=""),"",F43*G43)</f>
        <v/>
      </c>
      <c r="I43" s="10" t="n"/>
    </row>
    <row r="44">
      <c r="A44" s="9" t="n"/>
      <c r="B44" s="10" t="n"/>
      <c r="C44" s="11" t="n"/>
      <c r="D44" s="11" t="n"/>
      <c r="E44" s="12" t="n"/>
      <c r="F44" s="13" t="str">
        <f>IF(OR(C44="",D44=""),"",ROUND(MOD(D44-C44,1)*24-N(E44)/60,2))</f>
        <v/>
      </c>
      <c r="G44" s="14" t="str">
        <f>IF(B44="","",IFERROR(VLOOKUP(B44,EmpTable,2,FALSE),""))</f>
        <v/>
      </c>
      <c r="H44" s="14" t="str">
        <f>IF(OR(F44="",G44=""),"",F44*G44)</f>
        <v/>
      </c>
      <c r="I44" s="10" t="n"/>
    </row>
    <row r="45">
      <c r="A45" s="9" t="n"/>
      <c r="B45" s="10" t="n"/>
      <c r="C45" s="11" t="n"/>
      <c r="D45" s="11" t="n"/>
      <c r="E45" s="12" t="n"/>
      <c r="F45" s="13" t="str">
        <f>IF(OR(C45="",D45=""),"",ROUND(MOD(D45-C45,1)*24-N(E45)/60,2))</f>
        <v/>
      </c>
      <c r="G45" s="14" t="str">
        <f>IF(B45="","",IFERROR(VLOOKUP(B45,EmpTable,2,FALSE),""))</f>
        <v/>
      </c>
      <c r="H45" s="14" t="str">
        <f>IF(OR(F45="",G45=""),"",F45*G45)</f>
        <v/>
      </c>
      <c r="I45" s="10" t="n"/>
    </row>
    <row r="46">
      <c r="A46" s="9" t="n"/>
      <c r="B46" s="10" t="n"/>
      <c r="C46" s="11" t="n"/>
      <c r="D46" s="11" t="n"/>
      <c r="E46" s="12" t="n"/>
      <c r="F46" s="13" t="str">
        <f>IF(OR(C46="",D46=""),"",ROUND(MOD(D46-C46,1)*24-N(E46)/60,2))</f>
        <v/>
      </c>
      <c r="G46" s="14" t="str">
        <f>IF(B46="","",IFERROR(VLOOKUP(B46,EmpTable,2,FALSE),""))</f>
        <v/>
      </c>
      <c r="H46" s="14" t="str">
        <f>IF(OR(F46="",G46=""),"",F46*G46)</f>
        <v/>
      </c>
      <c r="I46" s="10" t="n"/>
    </row>
    <row r="47">
      <c r="A47" s="9" t="n"/>
      <c r="B47" s="10" t="n"/>
      <c r="C47" s="11" t="n"/>
      <c r="D47" s="11" t="n"/>
      <c r="E47" s="12" t="n"/>
      <c r="F47" s="13" t="str">
        <f>IF(OR(C47="",D47=""),"",ROUND(MOD(D47-C47,1)*24-N(E47)/60,2))</f>
        <v/>
      </c>
      <c r="G47" s="14" t="str">
        <f>IF(B47="","",IFERROR(VLOOKUP(B47,EmpTable,2,FALSE),""))</f>
        <v/>
      </c>
      <c r="H47" s="14" t="str">
        <f>IF(OR(F47="",G47=""),"",F47*G47)</f>
        <v/>
      </c>
      <c r="I47" s="10" t="n"/>
    </row>
    <row r="48">
      <c r="A48" s="9" t="n"/>
      <c r="B48" s="10" t="n"/>
      <c r="C48" s="11" t="n"/>
      <c r="D48" s="11" t="n"/>
      <c r="E48" s="12" t="n"/>
      <c r="F48" s="13" t="str">
        <f>IF(OR(C48="",D48=""),"",ROUND(MOD(D48-C48,1)*24-N(E48)/60,2))</f>
        <v/>
      </c>
      <c r="G48" s="14" t="str">
        <f>IF(B48="","",IFERROR(VLOOKUP(B48,EmpTable,2,FALSE),""))</f>
        <v/>
      </c>
      <c r="H48" s="14" t="str">
        <f>IF(OR(F48="",G48=""),"",F48*G48)</f>
        <v/>
      </c>
      <c r="I48" s="10" t="n"/>
    </row>
    <row r="49">
      <c r="A49" s="9" t="n"/>
      <c r="B49" s="10" t="n"/>
      <c r="C49" s="11" t="n"/>
      <c r="D49" s="11" t="n"/>
      <c r="E49" s="12" t="n"/>
      <c r="F49" s="13" t="str">
        <f>IF(OR(C49="",D49=""),"",ROUND(MOD(D49-C49,1)*24-N(E49)/60,2))</f>
        <v/>
      </c>
      <c r="G49" s="14" t="str">
        <f>IF(B49="","",IFERROR(VLOOKUP(B49,EmpTable,2,FALSE),""))</f>
        <v/>
      </c>
      <c r="H49" s="14" t="str">
        <f>IF(OR(F49="",G49=""),"",F49*G49)</f>
        <v/>
      </c>
      <c r="I49" s="10" t="n"/>
    </row>
    <row r="50">
      <c r="A50" s="9" t="n"/>
      <c r="B50" s="10" t="n"/>
      <c r="C50" s="11" t="n"/>
      <c r="D50" s="11" t="n"/>
      <c r="E50" s="12" t="n"/>
      <c r="F50" s="13" t="str">
        <f>IF(OR(C50="",D50=""),"",ROUND(MOD(D50-C50,1)*24-N(E50)/60,2))</f>
        <v/>
      </c>
      <c r="G50" s="14" t="str">
        <f>IF(B50="","",IFERROR(VLOOKUP(B50,EmpTable,2,FALSE),""))</f>
        <v/>
      </c>
      <c r="H50" s="14" t="str">
        <f>IF(OR(F50="",G50=""),"",F50*G50)</f>
        <v/>
      </c>
      <c r="I50" s="10" t="n"/>
    </row>
    <row r="51">
      <c r="A51" s="9" t="n"/>
      <c r="B51" s="10" t="n"/>
      <c r="C51" s="11" t="n"/>
      <c r="D51" s="11" t="n"/>
      <c r="E51" s="12" t="n"/>
      <c r="F51" s="13" t="str">
        <f>IF(OR(C51="",D51=""),"",ROUND(MOD(D51-C51,1)*24-N(E51)/60,2))</f>
        <v/>
      </c>
      <c r="G51" s="14" t="str">
        <f>IF(B51="","",IFERROR(VLOOKUP(B51,EmpTable,2,FALSE),""))</f>
        <v/>
      </c>
      <c r="H51" s="14" t="str">
        <f>IF(OR(F51="",G51=""),"",F51*G51)</f>
        <v/>
      </c>
      <c r="I51" s="10" t="n"/>
    </row>
    <row r="52">
      <c r="A52" s="9" t="n"/>
      <c r="B52" s="10" t="n"/>
      <c r="C52" s="11" t="n"/>
      <c r="D52" s="11" t="n"/>
      <c r="E52" s="12" t="n"/>
      <c r="F52" s="13" t="str">
        <f>IF(OR(C52="",D52=""),"",ROUND(MOD(D52-C52,1)*24-N(E52)/60,2))</f>
        <v/>
      </c>
      <c r="G52" s="14" t="str">
        <f>IF(B52="","",IFERROR(VLOOKUP(B52,EmpTable,2,FALSE),""))</f>
        <v/>
      </c>
      <c r="H52" s="14" t="str">
        <f>IF(OR(F52="",G52=""),"",F52*G52)</f>
        <v/>
      </c>
      <c r="I52" s="10" t="n"/>
    </row>
    <row r="53">
      <c r="A53" s="9" t="n"/>
      <c r="B53" s="10" t="n"/>
      <c r="C53" s="11" t="n"/>
      <c r="D53" s="11" t="n"/>
      <c r="E53" s="12" t="n"/>
      <c r="F53" s="13" t="str">
        <f>IF(OR(C53="",D53=""),"",ROUND(MOD(D53-C53,1)*24-N(E53)/60,2))</f>
        <v/>
      </c>
      <c r="G53" s="14" t="str">
        <f>IF(B53="","",IFERROR(VLOOKUP(B53,EmpTable,2,FALSE),""))</f>
        <v/>
      </c>
      <c r="H53" s="14" t="str">
        <f>IF(OR(F53="",G53=""),"",F53*G53)</f>
        <v/>
      </c>
      <c r="I53" s="10" t="n"/>
    </row>
    <row r="54">
      <c r="A54" s="9" t="n"/>
      <c r="B54" s="10" t="n"/>
      <c r="C54" s="11" t="n"/>
      <c r="D54" s="11" t="n"/>
      <c r="E54" s="12" t="n"/>
      <c r="F54" s="13" t="str">
        <f>IF(OR(C54="",D54=""),"",ROUND(MOD(D54-C54,1)*24-N(E54)/60,2))</f>
        <v/>
      </c>
      <c r="G54" s="14" t="str">
        <f>IF(B54="","",IFERROR(VLOOKUP(B54,EmpTable,2,FALSE),""))</f>
        <v/>
      </c>
      <c r="H54" s="14" t="str">
        <f>IF(OR(F54="",G54=""),"",F54*G54)</f>
        <v/>
      </c>
      <c r="I54" s="10" t="n"/>
    </row>
    <row r="55">
      <c r="A55" s="9" t="n"/>
      <c r="B55" s="10" t="n"/>
      <c r="C55" s="11" t="n"/>
      <c r="D55" s="11" t="n"/>
      <c r="E55" s="12" t="n"/>
      <c r="F55" s="13" t="str">
        <f>IF(OR(C55="",D55=""),"",ROUND(MOD(D55-C55,1)*24-N(E55)/60,2))</f>
        <v/>
      </c>
      <c r="G55" s="14" t="str">
        <f>IF(B55="","",IFERROR(VLOOKUP(B55,EmpTable,2,FALSE),""))</f>
        <v/>
      </c>
      <c r="H55" s="14" t="str">
        <f>IF(OR(F55="",G55=""),"",F55*G55)</f>
        <v/>
      </c>
      <c r="I55" s="10" t="n"/>
    </row>
    <row r="56">
      <c r="A56" s="9" t="n"/>
      <c r="B56" s="10" t="n"/>
      <c r="C56" s="11" t="n"/>
      <c r="D56" s="11" t="n"/>
      <c r="E56" s="12" t="n"/>
      <c r="F56" s="13" t="str">
        <f>IF(OR(C56="",D56=""),"",ROUND(MOD(D56-C56,1)*24-N(E56)/60,2))</f>
        <v/>
      </c>
      <c r="G56" s="14" t="str">
        <f>IF(B56="","",IFERROR(VLOOKUP(B56,EmpTable,2,FALSE),""))</f>
        <v/>
      </c>
      <c r="H56" s="14" t="str">
        <f>IF(OR(F56="",G56=""),"",F56*G56)</f>
        <v/>
      </c>
      <c r="I56" s="10" t="n"/>
    </row>
    <row r="57">
      <c r="A57" s="9" t="n"/>
      <c r="B57" s="10" t="n"/>
      <c r="C57" s="11" t="n"/>
      <c r="D57" s="11" t="n"/>
      <c r="E57" s="12" t="n"/>
      <c r="F57" s="13" t="str">
        <f>IF(OR(C57="",D57=""),"",ROUND(MOD(D57-C57,1)*24-N(E57)/60,2))</f>
        <v/>
      </c>
      <c r="G57" s="14" t="str">
        <f>IF(B57="","",IFERROR(VLOOKUP(B57,EmpTable,2,FALSE),""))</f>
        <v/>
      </c>
      <c r="H57" s="14" t="str">
        <f>IF(OR(F57="",G57=""),"",F57*G57)</f>
        <v/>
      </c>
      <c r="I57" s="10" t="n"/>
    </row>
    <row r="58">
      <c r="A58" s="9" t="n"/>
      <c r="B58" s="10" t="n"/>
      <c r="C58" s="11" t="n"/>
      <c r="D58" s="11" t="n"/>
      <c r="E58" s="12" t="n"/>
      <c r="F58" s="13" t="str">
        <f>IF(OR(C58="",D58=""),"",ROUND(MOD(D58-C58,1)*24-N(E58)/60,2))</f>
        <v/>
      </c>
      <c r="G58" s="14" t="str">
        <f>IF(B58="","",IFERROR(VLOOKUP(B58,EmpTable,2,FALSE),""))</f>
        <v/>
      </c>
      <c r="H58" s="14" t="str">
        <f>IF(OR(F58="",G58=""),"",F58*G58)</f>
        <v/>
      </c>
      <c r="I58" s="10" t="n"/>
    </row>
    <row r="59">
      <c r="A59" s="9" t="n"/>
      <c r="B59" s="10" t="n"/>
      <c r="C59" s="11" t="n"/>
      <c r="D59" s="11" t="n"/>
      <c r="E59" s="12" t="n"/>
      <c r="F59" s="13" t="str">
        <f>IF(OR(C59="",D59=""),"",ROUND(MOD(D59-C59,1)*24-N(E59)/60,2))</f>
        <v/>
      </c>
      <c r="G59" s="14" t="str">
        <f>IF(B59="","",IFERROR(VLOOKUP(B59,EmpTable,2,FALSE),""))</f>
        <v/>
      </c>
      <c r="H59" s="14" t="str">
        <f>IF(OR(F59="",G59=""),"",F59*G59)</f>
        <v/>
      </c>
      <c r="I59" s="10" t="n"/>
    </row>
    <row r="60">
      <c r="A60" s="9" t="n"/>
      <c r="B60" s="10" t="n"/>
      <c r="C60" s="11" t="n"/>
      <c r="D60" s="11" t="n"/>
      <c r="E60" s="12" t="n"/>
      <c r="F60" s="13" t="str">
        <f>IF(OR(C60="",D60=""),"",ROUND(MOD(D60-C60,1)*24-N(E60)/60,2))</f>
        <v/>
      </c>
      <c r="G60" s="14" t="str">
        <f>IF(B60="","",IFERROR(VLOOKUP(B60,EmpTable,2,FALSE),""))</f>
        <v/>
      </c>
      <c r="H60" s="14" t="str">
        <f>IF(OR(F60="",G60=""),"",F60*G60)</f>
        <v/>
      </c>
      <c r="I60" s="10" t="n"/>
    </row>
    <row r="61">
      <c r="A61" s="9" t="n"/>
      <c r="B61" s="10" t="n"/>
      <c r="C61" s="11" t="n"/>
      <c r="D61" s="11" t="n"/>
      <c r="E61" s="12" t="n"/>
      <c r="F61" s="13" t="str">
        <f>IF(OR(C61="",D61=""),"",ROUND(MOD(D61-C61,1)*24-N(E61)/60,2))</f>
        <v/>
      </c>
      <c r="G61" s="14" t="str">
        <f>IF(B61="","",IFERROR(VLOOKUP(B61,EmpTable,2,FALSE),""))</f>
        <v/>
      </c>
      <c r="H61" s="14" t="str">
        <f>IF(OR(F61="",G61=""),"",F61*G61)</f>
        <v/>
      </c>
      <c r="I61" s="10" t="n"/>
    </row>
    <row r="62">
      <c r="A62" s="9" t="n"/>
      <c r="B62" s="10" t="n"/>
      <c r="C62" s="11" t="n"/>
      <c r="D62" s="11" t="n"/>
      <c r="E62" s="12" t="n"/>
      <c r="F62" s="13" t="str">
        <f>IF(OR(C62="",D62=""),"",ROUND(MOD(D62-C62,1)*24-N(E62)/60,2))</f>
        <v/>
      </c>
      <c r="G62" s="14" t="str">
        <f>IF(B62="","",IFERROR(VLOOKUP(B62,EmpTable,2,FALSE),""))</f>
        <v/>
      </c>
      <c r="H62" s="14" t="str">
        <f>IF(OR(F62="",G62=""),"",F62*G62)</f>
        <v/>
      </c>
      <c r="I62" s="10" t="n"/>
    </row>
    <row r="63">
      <c r="A63" s="9" t="n"/>
      <c r="B63" s="10" t="n"/>
      <c r="C63" s="11" t="n"/>
      <c r="D63" s="11" t="n"/>
      <c r="E63" s="12" t="n"/>
      <c r="F63" s="13" t="str">
        <f>IF(OR(C63="",D63=""),"",ROUND(MOD(D63-C63,1)*24-N(E63)/60,2))</f>
        <v/>
      </c>
      <c r="G63" s="14" t="str">
        <f>IF(B63="","",IFERROR(VLOOKUP(B63,EmpTable,2,FALSE),""))</f>
        <v/>
      </c>
      <c r="H63" s="14" t="str">
        <f>IF(OR(F63="",G63=""),"",F63*G63)</f>
        <v/>
      </c>
      <c r="I63" s="10" t="n"/>
    </row>
    <row r="64">
      <c r="A64" s="9" t="n"/>
      <c r="B64" s="10" t="n"/>
      <c r="C64" s="11" t="n"/>
      <c r="D64" s="11" t="n"/>
      <c r="E64" s="12" t="n"/>
      <c r="F64" s="13" t="str">
        <f>IF(OR(C64="",D64=""),"",ROUND(MOD(D64-C64,1)*24-N(E64)/60,2))</f>
        <v/>
      </c>
      <c r="G64" s="14" t="str">
        <f>IF(B64="","",IFERROR(VLOOKUP(B64,EmpTable,2,FALSE),""))</f>
        <v/>
      </c>
      <c r="H64" s="14" t="str">
        <f>IF(OR(F64="",G64=""),"",F64*G64)</f>
        <v/>
      </c>
      <c r="I64" s="10" t="n"/>
    </row>
    <row r="65">
      <c r="A65" s="9" t="n"/>
      <c r="B65" s="10" t="n"/>
      <c r="C65" s="11" t="n"/>
      <c r="D65" s="11" t="n"/>
      <c r="E65" s="12" t="n"/>
      <c r="F65" s="13" t="str">
        <f>IF(OR(C65="",D65=""),"",ROUND(MOD(D65-C65,1)*24-N(E65)/60,2))</f>
        <v/>
      </c>
      <c r="G65" s="14" t="str">
        <f>IF(B65="","",IFERROR(VLOOKUP(B65,EmpTable,2,FALSE),""))</f>
        <v/>
      </c>
      <c r="H65" s="14" t="str">
        <f>IF(OR(F65="",G65=""),"",F65*G65)</f>
        <v/>
      </c>
      <c r="I65" s="10" t="n"/>
    </row>
    <row r="66">
      <c r="A66" s="9" t="n"/>
      <c r="B66" s="10" t="n"/>
      <c r="C66" s="11" t="n"/>
      <c r="D66" s="11" t="n"/>
      <c r="E66" s="12" t="n"/>
      <c r="F66" s="13" t="str">
        <f>IF(OR(C66="",D66=""),"",ROUND(MOD(D66-C66,1)*24-N(E66)/60,2))</f>
        <v/>
      </c>
      <c r="G66" s="14" t="str">
        <f>IF(B66="","",IFERROR(VLOOKUP(B66,EmpTable,2,FALSE),""))</f>
        <v/>
      </c>
      <c r="H66" s="14" t="str">
        <f>IF(OR(F66="",G66=""),"",F66*G66)</f>
        <v/>
      </c>
      <c r="I66" s="10" t="n"/>
    </row>
    <row r="67">
      <c r="A67" s="9" t="n"/>
      <c r="B67" s="10" t="n"/>
      <c r="C67" s="11" t="n"/>
      <c r="D67" s="11" t="n"/>
      <c r="E67" s="12" t="n"/>
      <c r="F67" s="13" t="str">
        <f>IF(OR(C67="",D67=""),"",ROUND(MOD(D67-C67,1)*24-N(E67)/60,2))</f>
        <v/>
      </c>
      <c r="G67" s="14" t="str">
        <f>IF(B67="","",IFERROR(VLOOKUP(B67,EmpTable,2,FALSE),""))</f>
        <v/>
      </c>
      <c r="H67" s="14" t="str">
        <f>IF(OR(F67="",G67=""),"",F67*G67)</f>
        <v/>
      </c>
      <c r="I67" s="10" t="n"/>
    </row>
    <row r="68">
      <c r="A68" s="9" t="n"/>
      <c r="B68" s="10" t="n"/>
      <c r="C68" s="11" t="n"/>
      <c r="D68" s="11" t="n"/>
      <c r="E68" s="12" t="n"/>
      <c r="F68" s="13" t="str">
        <f>IF(OR(C68="",D68=""),"",ROUND(MOD(D68-C68,1)*24-N(E68)/60,2))</f>
        <v/>
      </c>
      <c r="G68" s="14" t="str">
        <f>IF(B68="","",IFERROR(VLOOKUP(B68,EmpTable,2,FALSE),""))</f>
        <v/>
      </c>
      <c r="H68" s="14" t="str">
        <f>IF(OR(F68="",G68=""),"",F68*G68)</f>
        <v/>
      </c>
      <c r="I68" s="10" t="n"/>
    </row>
    <row r="69">
      <c r="A69" s="9" t="n"/>
      <c r="B69" s="10" t="n"/>
      <c r="C69" s="11" t="n"/>
      <c r="D69" s="11" t="n"/>
      <c r="E69" s="12" t="n"/>
      <c r="F69" s="13" t="str">
        <f>IF(OR(C69="",D69=""),"",ROUND(MOD(D69-C69,1)*24-N(E69)/60,2))</f>
        <v/>
      </c>
      <c r="G69" s="14" t="str">
        <f>IF(B69="","",IFERROR(VLOOKUP(B69,EmpTable,2,FALSE),""))</f>
        <v/>
      </c>
      <c r="H69" s="14" t="str">
        <f>IF(OR(F69="",G69=""),"",F69*G69)</f>
        <v/>
      </c>
      <c r="I69" s="10" t="n"/>
    </row>
    <row r="70">
      <c r="A70" s="9" t="n"/>
      <c r="B70" s="10" t="n"/>
      <c r="C70" s="11" t="n"/>
      <c r="D70" s="11" t="n"/>
      <c r="E70" s="12" t="n"/>
      <c r="F70" s="13" t="str">
        <f>IF(OR(C70="",D70=""),"",ROUND(MOD(D70-C70,1)*24-N(E70)/60,2))</f>
        <v/>
      </c>
      <c r="G70" s="14" t="str">
        <f>IF(B70="","",IFERROR(VLOOKUP(B70,EmpTable,2,FALSE),""))</f>
        <v/>
      </c>
      <c r="H70" s="14" t="str">
        <f>IF(OR(F70="",G70=""),"",F70*G70)</f>
        <v/>
      </c>
      <c r="I70" s="10" t="n"/>
    </row>
    <row r="71">
      <c r="A71" s="9" t="n"/>
      <c r="B71" s="10" t="n"/>
      <c r="C71" s="11" t="n"/>
      <c r="D71" s="11" t="n"/>
      <c r="E71" s="12" t="n"/>
      <c r="F71" s="13" t="str">
        <f>IF(OR(C71="",D71=""),"",ROUND(MOD(D71-C71,1)*24-N(E71)/60,2))</f>
        <v/>
      </c>
      <c r="G71" s="14" t="str">
        <f>IF(B71="","",IFERROR(VLOOKUP(B71,EmpTable,2,FALSE),""))</f>
        <v/>
      </c>
      <c r="H71" s="14" t="str">
        <f>IF(OR(F71="",G71=""),"",F71*G71)</f>
        <v/>
      </c>
      <c r="I71" s="10" t="n"/>
    </row>
    <row r="72">
      <c r="A72" s="9" t="n"/>
      <c r="B72" s="10" t="n"/>
      <c r="C72" s="11" t="n"/>
      <c r="D72" s="11" t="n"/>
      <c r="E72" s="12" t="n"/>
      <c r="F72" s="13" t="str">
        <f>IF(OR(C72="",D72=""),"",ROUND(MOD(D72-C72,1)*24-N(E72)/60,2))</f>
        <v/>
      </c>
      <c r="G72" s="14" t="str">
        <f>IF(B72="","",IFERROR(VLOOKUP(B72,EmpTable,2,FALSE),""))</f>
        <v/>
      </c>
      <c r="H72" s="14" t="str">
        <f>IF(OR(F72="",G72=""),"",F72*G72)</f>
        <v/>
      </c>
      <c r="I72" s="10" t="n"/>
    </row>
    <row r="73">
      <c r="A73" s="9" t="n"/>
      <c r="B73" s="10" t="n"/>
      <c r="C73" s="11" t="n"/>
      <c r="D73" s="11" t="n"/>
      <c r="E73" s="12" t="n"/>
      <c r="F73" s="13" t="str">
        <f>IF(OR(C73="",D73=""),"",ROUND(MOD(D73-C73,1)*24-N(E73)/60,2))</f>
        <v/>
      </c>
      <c r="G73" s="14" t="str">
        <f>IF(B73="","",IFERROR(VLOOKUP(B73,EmpTable,2,FALSE),""))</f>
        <v/>
      </c>
      <c r="H73" s="14" t="str">
        <f>IF(OR(F73="",G73=""),"",F73*G73)</f>
        <v/>
      </c>
      <c r="I73" s="10" t="n"/>
    </row>
    <row r="74">
      <c r="A74" s="9" t="n"/>
      <c r="B74" s="10" t="n"/>
      <c r="C74" s="11" t="n"/>
      <c r="D74" s="11" t="n"/>
      <c r="E74" s="12" t="n"/>
      <c r="F74" s="13" t="str">
        <f>IF(OR(C74="",D74=""),"",ROUND(MOD(D74-C74,1)*24-N(E74)/60,2))</f>
        <v/>
      </c>
      <c r="G74" s="14" t="str">
        <f>IF(B74="","",IFERROR(VLOOKUP(B74,EmpTable,2,FALSE),""))</f>
        <v/>
      </c>
      <c r="H74" s="14" t="str">
        <f>IF(OR(F74="",G74=""),"",F74*G74)</f>
        <v/>
      </c>
      <c r="I74" s="10" t="n"/>
    </row>
    <row r="75">
      <c r="A75" s="9" t="n"/>
      <c r="B75" s="10" t="n"/>
      <c r="C75" s="11" t="n"/>
      <c r="D75" s="11" t="n"/>
      <c r="E75" s="12" t="n"/>
      <c r="F75" s="13" t="str">
        <f>IF(OR(C75="",D75=""),"",ROUND(MOD(D75-C75,1)*24-N(E75)/60,2))</f>
        <v/>
      </c>
      <c r="G75" s="14" t="str">
        <f>IF(B75="","",IFERROR(VLOOKUP(B75,EmpTable,2,FALSE),""))</f>
        <v/>
      </c>
      <c r="H75" s="14" t="str">
        <f>IF(OR(F75="",G75=""),"",F75*G75)</f>
        <v/>
      </c>
      <c r="I75" s="10" t="n"/>
    </row>
    <row r="76">
      <c r="A76" s="9" t="n"/>
      <c r="B76" s="10" t="n"/>
      <c r="C76" s="11" t="n"/>
      <c r="D76" s="11" t="n"/>
      <c r="E76" s="12" t="n"/>
      <c r="F76" s="13" t="str">
        <f>IF(OR(C76="",D76=""),"",ROUND(MOD(D76-C76,1)*24-N(E76)/60,2))</f>
        <v/>
      </c>
      <c r="G76" s="14" t="str">
        <f>IF(B76="","",IFERROR(VLOOKUP(B76,EmpTable,2,FALSE),""))</f>
        <v/>
      </c>
      <c r="H76" s="14" t="str">
        <f>IF(OR(F76="",G76=""),"",F76*G76)</f>
        <v/>
      </c>
      <c r="I76" s="10" t="n"/>
    </row>
    <row r="77">
      <c r="A77" s="9" t="n"/>
      <c r="B77" s="10" t="n"/>
      <c r="C77" s="11" t="n"/>
      <c r="D77" s="11" t="n"/>
      <c r="E77" s="12" t="n"/>
      <c r="F77" s="13" t="str">
        <f>IF(OR(C77="",D77=""),"",ROUND(MOD(D77-C77,1)*24-N(E77)/60,2))</f>
        <v/>
      </c>
      <c r="G77" s="14" t="str">
        <f>IF(B77="","",IFERROR(VLOOKUP(B77,EmpTable,2,FALSE),""))</f>
        <v/>
      </c>
      <c r="H77" s="14" t="str">
        <f>IF(OR(F77="",G77=""),"",F77*G77)</f>
        <v/>
      </c>
      <c r="I77" s="10" t="n"/>
    </row>
    <row r="78">
      <c r="A78" s="9" t="n"/>
      <c r="B78" s="10" t="n"/>
      <c r="C78" s="11" t="n"/>
      <c r="D78" s="11" t="n"/>
      <c r="E78" s="12" t="n"/>
      <c r="F78" s="13" t="str">
        <f>IF(OR(C78="",D78=""),"",ROUND(MOD(D78-C78,1)*24-N(E78)/60,2))</f>
        <v/>
      </c>
      <c r="G78" s="14" t="str">
        <f>IF(B78="","",IFERROR(VLOOKUP(B78,EmpTable,2,FALSE),""))</f>
        <v/>
      </c>
      <c r="H78" s="14" t="str">
        <f>IF(OR(F78="",G78=""),"",F78*G78)</f>
        <v/>
      </c>
      <c r="I78" s="10" t="n"/>
    </row>
    <row r="79">
      <c r="A79" s="9" t="n"/>
      <c r="B79" s="10" t="n"/>
      <c r="C79" s="11" t="n"/>
      <c r="D79" s="11" t="n"/>
      <c r="E79" s="12" t="n"/>
      <c r="F79" s="13" t="str">
        <f>IF(OR(C79="",D79=""),"",ROUND(MOD(D79-C79,1)*24-N(E79)/60,2))</f>
        <v/>
      </c>
      <c r="G79" s="14" t="str">
        <f>IF(B79="","",IFERROR(VLOOKUP(B79,EmpTable,2,FALSE),""))</f>
        <v/>
      </c>
      <c r="H79" s="14" t="str">
        <f>IF(OR(F79="",G79=""),"",F79*G79)</f>
        <v/>
      </c>
      <c r="I79" s="10" t="n"/>
    </row>
    <row r="80">
      <c r="A80" s="9" t="n"/>
      <c r="B80" s="10" t="n"/>
      <c r="C80" s="11" t="n"/>
      <c r="D80" s="11" t="n"/>
      <c r="E80" s="12" t="n"/>
      <c r="F80" s="13" t="str">
        <f>IF(OR(C80="",D80=""),"",ROUND(MOD(D80-C80,1)*24-N(E80)/60,2))</f>
        <v/>
      </c>
      <c r="G80" s="14" t="str">
        <f>IF(B80="","",IFERROR(VLOOKUP(B80,EmpTable,2,FALSE),""))</f>
        <v/>
      </c>
      <c r="H80" s="14" t="str">
        <f>IF(OR(F80="",G80=""),"",F80*G80)</f>
        <v/>
      </c>
      <c r="I80" s="10" t="n"/>
    </row>
    <row r="81">
      <c r="A81" s="9" t="n"/>
      <c r="B81" s="10" t="n"/>
      <c r="C81" s="11" t="n"/>
      <c r="D81" s="11" t="n"/>
      <c r="E81" s="12" t="n"/>
      <c r="F81" s="13" t="str">
        <f>IF(OR(C81="",D81=""),"",ROUND(MOD(D81-C81,1)*24-N(E81)/60,2))</f>
        <v/>
      </c>
      <c r="G81" s="14" t="str">
        <f>IF(B81="","",IFERROR(VLOOKUP(B81,EmpTable,2,FALSE),""))</f>
        <v/>
      </c>
      <c r="H81" s="14" t="str">
        <f>IF(OR(F81="",G81=""),"",F81*G81)</f>
        <v/>
      </c>
      <c r="I81" s="10" t="n"/>
    </row>
    <row r="82">
      <c r="A82" s="9" t="n"/>
      <c r="B82" s="10" t="n"/>
      <c r="C82" s="11" t="n"/>
      <c r="D82" s="11" t="n"/>
      <c r="E82" s="12" t="n"/>
      <c r="F82" s="13" t="str">
        <f>IF(OR(C82="",D82=""),"",ROUND(MOD(D82-C82,1)*24-N(E82)/60,2))</f>
        <v/>
      </c>
      <c r="G82" s="14" t="str">
        <f>IF(B82="","",IFERROR(VLOOKUP(B82,EmpTable,2,FALSE),""))</f>
        <v/>
      </c>
      <c r="H82" s="14" t="str">
        <f>IF(OR(F82="",G82=""),"",F82*G82)</f>
        <v/>
      </c>
      <c r="I82" s="10" t="n"/>
    </row>
    <row r="83">
      <c r="A83" s="9" t="n"/>
      <c r="B83" s="10" t="n"/>
      <c r="C83" s="11" t="n"/>
      <c r="D83" s="11" t="n"/>
      <c r="E83" s="12" t="n"/>
      <c r="F83" s="13" t="str">
        <f>IF(OR(C83="",D83=""),"",ROUND(MOD(D83-C83,1)*24-N(E83)/60,2))</f>
        <v/>
      </c>
      <c r="G83" s="14" t="str">
        <f>IF(B83="","",IFERROR(VLOOKUP(B83,EmpTable,2,FALSE),""))</f>
        <v/>
      </c>
      <c r="H83" s="14" t="str">
        <f>IF(OR(F83="",G83=""),"",F83*G83)</f>
        <v/>
      </c>
      <c r="I83" s="10" t="n"/>
    </row>
    <row r="84">
      <c r="A84" s="9" t="n"/>
      <c r="B84" s="10" t="n"/>
      <c r="C84" s="11" t="n"/>
      <c r="D84" s="11" t="n"/>
      <c r="E84" s="12" t="n"/>
      <c r="F84" s="13" t="str">
        <f>IF(OR(C84="",D84=""),"",ROUND(MOD(D84-C84,1)*24-N(E84)/60,2))</f>
        <v/>
      </c>
      <c r="G84" s="14" t="str">
        <f>IF(B84="","",IFERROR(VLOOKUP(B84,EmpTable,2,FALSE),""))</f>
        <v/>
      </c>
      <c r="H84" s="14" t="str">
        <f>IF(OR(F84="",G84=""),"",F84*G84)</f>
        <v/>
      </c>
      <c r="I84" s="10" t="n"/>
    </row>
    <row r="85">
      <c r="A85" s="9" t="n"/>
      <c r="B85" s="10" t="n"/>
      <c r="C85" s="11" t="n"/>
      <c r="D85" s="11" t="n"/>
      <c r="E85" s="12" t="n"/>
      <c r="F85" s="13" t="str">
        <f>IF(OR(C85="",D85=""),"",ROUND(MOD(D85-C85,1)*24-N(E85)/60,2))</f>
        <v/>
      </c>
      <c r="G85" s="14" t="str">
        <f>IF(B85="","",IFERROR(VLOOKUP(B85,EmpTable,2,FALSE),""))</f>
        <v/>
      </c>
      <c r="H85" s="14" t="str">
        <f>IF(OR(F85="",G85=""),"",F85*G85)</f>
        <v/>
      </c>
      <c r="I85" s="10" t="n"/>
    </row>
    <row r="86">
      <c r="A86" s="9" t="n"/>
      <c r="B86" s="10" t="n"/>
      <c r="C86" s="11" t="n"/>
      <c r="D86" s="11" t="n"/>
      <c r="E86" s="12" t="n"/>
      <c r="F86" s="13" t="str">
        <f>IF(OR(C86="",D86=""),"",ROUND(MOD(D86-C86,1)*24-N(E86)/60,2))</f>
        <v/>
      </c>
      <c r="G86" s="14" t="str">
        <f>IF(B86="","",IFERROR(VLOOKUP(B86,EmpTable,2,FALSE),""))</f>
        <v/>
      </c>
      <c r="H86" s="14" t="str">
        <f>IF(OR(F86="",G86=""),"",F86*G86)</f>
        <v/>
      </c>
      <c r="I86" s="10" t="n"/>
    </row>
    <row r="87">
      <c r="A87" s="9" t="n"/>
      <c r="B87" s="10" t="n"/>
      <c r="C87" s="11" t="n"/>
      <c r="D87" s="11" t="n"/>
      <c r="E87" s="12" t="n"/>
      <c r="F87" s="13" t="str">
        <f>IF(OR(C87="",D87=""),"",ROUND(MOD(D87-C87,1)*24-N(E87)/60,2))</f>
        <v/>
      </c>
      <c r="G87" s="14" t="str">
        <f>IF(B87="","",IFERROR(VLOOKUP(B87,EmpTable,2,FALSE),""))</f>
        <v/>
      </c>
      <c r="H87" s="14" t="str">
        <f>IF(OR(F87="",G87=""),"",F87*G87)</f>
        <v/>
      </c>
      <c r="I87" s="10" t="n"/>
    </row>
    <row r="88">
      <c r="A88" s="9" t="n"/>
      <c r="B88" s="10" t="n"/>
      <c r="C88" s="11" t="n"/>
      <c r="D88" s="11" t="n"/>
      <c r="E88" s="12" t="n"/>
      <c r="F88" s="13" t="str">
        <f>IF(OR(C88="",D88=""),"",ROUND(MOD(D88-C88,1)*24-N(E88)/60,2))</f>
        <v/>
      </c>
      <c r="G88" s="14" t="str">
        <f>IF(B88="","",IFERROR(VLOOKUP(B88,EmpTable,2,FALSE),""))</f>
        <v/>
      </c>
      <c r="H88" s="14" t="str">
        <f>IF(OR(F88="",G88=""),"",F88*G88)</f>
        <v/>
      </c>
      <c r="I88" s="10" t="n"/>
    </row>
    <row r="89">
      <c r="A89" s="9" t="n"/>
      <c r="B89" s="10" t="n"/>
      <c r="C89" s="11" t="n"/>
      <c r="D89" s="11" t="n"/>
      <c r="E89" s="12" t="n"/>
      <c r="F89" s="13" t="str">
        <f>IF(OR(C89="",D89=""),"",ROUND(MOD(D89-C89,1)*24-N(E89)/60,2))</f>
        <v/>
      </c>
      <c r="G89" s="14" t="str">
        <f>IF(B89="","",IFERROR(VLOOKUP(B89,EmpTable,2,FALSE),""))</f>
        <v/>
      </c>
      <c r="H89" s="14" t="str">
        <f>IF(OR(F89="",G89=""),"",F89*G89)</f>
        <v/>
      </c>
      <c r="I89" s="10" t="n"/>
    </row>
    <row r="90">
      <c r="A90" s="9" t="n"/>
      <c r="B90" s="10" t="n"/>
      <c r="C90" s="11" t="n"/>
      <c r="D90" s="11" t="n"/>
      <c r="E90" s="12" t="n"/>
      <c r="F90" s="13" t="str">
        <f>IF(OR(C90="",D90=""),"",ROUND(MOD(D90-C90,1)*24-N(E90)/60,2))</f>
        <v/>
      </c>
      <c r="G90" s="14" t="str">
        <f>IF(B90="","",IFERROR(VLOOKUP(B90,EmpTable,2,FALSE),""))</f>
        <v/>
      </c>
      <c r="H90" s="14" t="str">
        <f>IF(OR(F90="",G90=""),"",F90*G90)</f>
        <v/>
      </c>
      <c r="I90" s="10" t="n"/>
    </row>
    <row r="91">
      <c r="A91" s="9" t="n"/>
      <c r="B91" s="10" t="n"/>
      <c r="C91" s="11" t="n"/>
      <c r="D91" s="11" t="n"/>
      <c r="E91" s="12" t="n"/>
      <c r="F91" s="13" t="str">
        <f>IF(OR(C91="",D91=""),"",ROUND(MOD(D91-C91,1)*24-N(E91)/60,2))</f>
        <v/>
      </c>
      <c r="G91" s="14" t="str">
        <f>IF(B91="","",IFERROR(VLOOKUP(B91,EmpTable,2,FALSE),""))</f>
        <v/>
      </c>
      <c r="H91" s="14" t="str">
        <f>IF(OR(F91="",G91=""),"",F91*G91)</f>
        <v/>
      </c>
      <c r="I91" s="10" t="n"/>
    </row>
    <row r="92">
      <c r="A92" s="9" t="n"/>
      <c r="B92" s="10" t="n"/>
      <c r="C92" s="11" t="n"/>
      <c r="D92" s="11" t="n"/>
      <c r="E92" s="12" t="n"/>
      <c r="F92" s="13" t="str">
        <f>IF(OR(C92="",D92=""),"",ROUND(MOD(D92-C92,1)*24-N(E92)/60,2))</f>
        <v/>
      </c>
      <c r="G92" s="14" t="str">
        <f>IF(B92="","",IFERROR(VLOOKUP(B92,EmpTable,2,FALSE),""))</f>
        <v/>
      </c>
      <c r="H92" s="14" t="str">
        <f>IF(OR(F92="",G92=""),"",F92*G92)</f>
        <v/>
      </c>
      <c r="I92" s="10" t="n"/>
    </row>
    <row r="93">
      <c r="A93" s="9" t="n"/>
      <c r="B93" s="10" t="n"/>
      <c r="C93" s="11" t="n"/>
      <c r="D93" s="11" t="n"/>
      <c r="E93" s="12" t="n"/>
      <c r="F93" s="13" t="str">
        <f>IF(OR(C93="",D93=""),"",ROUND(MOD(D93-C93,1)*24-N(E93)/60,2))</f>
        <v/>
      </c>
      <c r="G93" s="14" t="str">
        <f>IF(B93="","",IFERROR(VLOOKUP(B93,EmpTable,2,FALSE),""))</f>
        <v/>
      </c>
      <c r="H93" s="14" t="str">
        <f>IF(OR(F93="",G93=""),"",F93*G93)</f>
        <v/>
      </c>
      <c r="I93" s="10" t="n"/>
    </row>
    <row r="94">
      <c r="A94" s="9" t="n"/>
      <c r="B94" s="10" t="n"/>
      <c r="C94" s="11" t="n"/>
      <c r="D94" s="11" t="n"/>
      <c r="E94" s="12" t="n"/>
      <c r="F94" s="13" t="str">
        <f>IF(OR(C94="",D94=""),"",ROUND(MOD(D94-C94,1)*24-N(E94)/60,2))</f>
        <v/>
      </c>
      <c r="G94" s="14" t="str">
        <f>IF(B94="","",IFERROR(VLOOKUP(B94,EmpTable,2,FALSE),""))</f>
        <v/>
      </c>
      <c r="H94" s="14" t="str">
        <f>IF(OR(F94="",G94=""),"",F94*G94)</f>
        <v/>
      </c>
      <c r="I94" s="10" t="n"/>
    </row>
    <row r="95">
      <c r="A95" s="9" t="n"/>
      <c r="B95" s="10" t="n"/>
      <c r="C95" s="11" t="n"/>
      <c r="D95" s="11" t="n"/>
      <c r="E95" s="12" t="n"/>
      <c r="F95" s="13" t="str">
        <f>IF(OR(C95="",D95=""),"",ROUND(MOD(D95-C95,1)*24-N(E95)/60,2))</f>
        <v/>
      </c>
      <c r="G95" s="14" t="str">
        <f>IF(B95="","",IFERROR(VLOOKUP(B95,EmpTable,2,FALSE),""))</f>
        <v/>
      </c>
      <c r="H95" s="14" t="str">
        <f>IF(OR(F95="",G95=""),"",F95*G95)</f>
        <v/>
      </c>
      <c r="I95" s="10" t="n"/>
    </row>
    <row r="96">
      <c r="A96" s="9" t="n"/>
      <c r="B96" s="10" t="n"/>
      <c r="C96" s="11" t="n"/>
      <c r="D96" s="11" t="n"/>
      <c r="E96" s="12" t="n"/>
      <c r="F96" s="13" t="str">
        <f>IF(OR(C96="",D96=""),"",ROUND(MOD(D96-C96,1)*24-N(E96)/60,2))</f>
        <v/>
      </c>
      <c r="G96" s="14" t="str">
        <f>IF(B96="","",IFERROR(VLOOKUP(B96,EmpTable,2,FALSE),""))</f>
        <v/>
      </c>
      <c r="H96" s="14" t="str">
        <f>IF(OR(F96="",G96=""),"",F96*G96)</f>
        <v/>
      </c>
      <c r="I96" s="10" t="n"/>
    </row>
    <row r="97">
      <c r="A97" s="9" t="n"/>
      <c r="B97" s="10" t="n"/>
      <c r="C97" s="11" t="n"/>
      <c r="D97" s="11" t="n"/>
      <c r="E97" s="12" t="n"/>
      <c r="F97" s="13" t="str">
        <f>IF(OR(C97="",D97=""),"",ROUND(MOD(D97-C97,1)*24-N(E97)/60,2))</f>
        <v/>
      </c>
      <c r="G97" s="14" t="str">
        <f>IF(B97="","",IFERROR(VLOOKUP(B97,EmpTable,2,FALSE),""))</f>
        <v/>
      </c>
      <c r="H97" s="14" t="str">
        <f>IF(OR(F97="",G97=""),"",F97*G97)</f>
        <v/>
      </c>
      <c r="I97" s="10" t="n"/>
    </row>
    <row r="98">
      <c r="A98" s="9" t="n"/>
      <c r="B98" s="10" t="n"/>
      <c r="C98" s="11" t="n"/>
      <c r="D98" s="11" t="n"/>
      <c r="E98" s="12" t="n"/>
      <c r="F98" s="13" t="str">
        <f>IF(OR(C98="",D98=""),"",ROUND(MOD(D98-C98,1)*24-N(E98)/60,2))</f>
        <v/>
      </c>
      <c r="G98" s="14" t="str">
        <f>IF(B98="","",IFERROR(VLOOKUP(B98,EmpTable,2,FALSE),""))</f>
        <v/>
      </c>
      <c r="H98" s="14" t="str">
        <f>IF(OR(F98="",G98=""),"",F98*G98)</f>
        <v/>
      </c>
      <c r="I98" s="10" t="n"/>
    </row>
    <row r="99">
      <c r="A99" s="9" t="n"/>
      <c r="B99" s="10" t="n"/>
      <c r="C99" s="11" t="n"/>
      <c r="D99" s="11" t="n"/>
      <c r="E99" s="12" t="n"/>
      <c r="F99" s="13" t="str">
        <f>IF(OR(C99="",D99=""),"",ROUND(MOD(D99-C99,1)*24-N(E99)/60,2))</f>
        <v/>
      </c>
      <c r="G99" s="14" t="str">
        <f>IF(B99="","",IFERROR(VLOOKUP(B99,EmpTable,2,FALSE),""))</f>
        <v/>
      </c>
      <c r="H99" s="14" t="str">
        <f>IF(OR(F99="",G99=""),"",F99*G99)</f>
        <v/>
      </c>
      <c r="I99" s="10" t="n"/>
    </row>
    <row r="100">
      <c r="A100" s="9" t="n"/>
      <c r="B100" s="10" t="n"/>
      <c r="C100" s="11" t="n"/>
      <c r="D100" s="11" t="n"/>
      <c r="E100" s="12" t="n"/>
      <c r="F100" s="13" t="str">
        <f>IF(OR(C100="",D100=""),"",ROUND(MOD(D100-C100,1)*24-N(E100)/60,2))</f>
        <v/>
      </c>
      <c r="G100" s="14" t="str">
        <f>IF(B100="","",IFERROR(VLOOKUP(B100,EmpTable,2,FALSE),""))</f>
        <v/>
      </c>
      <c r="H100" s="14" t="str">
        <f>IF(OR(F100="",G100=""),"",F100*G100)</f>
        <v/>
      </c>
      <c r="I100" s="10" t="n"/>
    </row>
    <row r="101">
      <c r="A101" s="9" t="n"/>
      <c r="B101" s="10" t="n"/>
      <c r="C101" s="11" t="n"/>
      <c r="D101" s="11" t="n"/>
      <c r="E101" s="12" t="n"/>
      <c r="F101" s="13" t="str">
        <f>IF(OR(C101="",D101=""),"",ROUND(MOD(D101-C101,1)*24-N(E101)/60,2))</f>
        <v/>
      </c>
      <c r="G101" s="14" t="str">
        <f>IF(B101="","",IFERROR(VLOOKUP(B101,EmpTable,2,FALSE),""))</f>
        <v/>
      </c>
      <c r="H101" s="14" t="str">
        <f>IF(OR(F101="",G101=""),"",F101*G101)</f>
        <v/>
      </c>
      <c r="I101" s="10" t="n"/>
    </row>
    <row r="102">
      <c r="A102" s="9" t="n"/>
      <c r="B102" s="10" t="n"/>
      <c r="C102" s="11" t="n"/>
      <c r="D102" s="11" t="n"/>
      <c r="E102" s="12" t="n"/>
      <c r="F102" s="13" t="str">
        <f>IF(OR(C102="",D102=""),"",ROUND(MOD(D102-C102,1)*24-N(E102)/60,2))</f>
        <v/>
      </c>
      <c r="G102" s="14" t="str">
        <f>IF(B102="","",IFERROR(VLOOKUP(B102,EmpTable,2,FALSE),""))</f>
        <v/>
      </c>
      <c r="H102" s="14" t="str">
        <f>IF(OR(F102="",G102=""),"",F102*G102)</f>
        <v/>
      </c>
      <c r="I102" s="10" t="n"/>
    </row>
    <row r="103">
      <c r="A103" s="9" t="n"/>
      <c r="B103" s="10" t="n"/>
      <c r="C103" s="11" t="n"/>
      <c r="D103" s="11" t="n"/>
      <c r="E103" s="12" t="n"/>
      <c r="F103" s="13" t="str">
        <f>IF(OR(C103="",D103=""),"",ROUND(MOD(D103-C103,1)*24-N(E103)/60,2))</f>
        <v/>
      </c>
      <c r="G103" s="14" t="str">
        <f>IF(B103="","",IFERROR(VLOOKUP(B103,EmpTable,2,FALSE),""))</f>
        <v/>
      </c>
      <c r="H103" s="14" t="str">
        <f>IF(OR(F103="",G103=""),"",F103*G103)</f>
        <v/>
      </c>
      <c r="I103" s="10" t="n"/>
    </row>
    <row r="104">
      <c r="A104" s="9" t="n"/>
      <c r="B104" s="10" t="n"/>
      <c r="C104" s="11" t="n"/>
      <c r="D104" s="11" t="n"/>
      <c r="E104" s="12" t="n"/>
      <c r="F104" s="13" t="str">
        <f>IF(OR(C104="",D104=""),"",ROUND(MOD(D104-C104,1)*24-N(E104)/60,2))</f>
        <v/>
      </c>
      <c r="G104" s="14" t="str">
        <f>IF(B104="","",IFERROR(VLOOKUP(B104,EmpTable,2,FALSE),""))</f>
        <v/>
      </c>
      <c r="H104" s="14" t="str">
        <f>IF(OR(F104="",G104=""),"",F104*G104)</f>
        <v/>
      </c>
      <c r="I104" s="10" t="n"/>
    </row>
    <row r="105">
      <c r="A105" s="9" t="n"/>
      <c r="B105" s="10" t="n"/>
      <c r="C105" s="11" t="n"/>
      <c r="D105" s="11" t="n"/>
      <c r="E105" s="12" t="n"/>
      <c r="F105" s="13" t="str">
        <f>IF(OR(C105="",D105=""),"",ROUND(MOD(D105-C105,1)*24-N(E105)/60,2))</f>
        <v/>
      </c>
      <c r="G105" s="14" t="str">
        <f>IF(B105="","",IFERROR(VLOOKUP(B105,EmpTable,2,FALSE),""))</f>
        <v/>
      </c>
      <c r="H105" s="14" t="str">
        <f>IF(OR(F105="",G105=""),"",F105*G105)</f>
        <v/>
      </c>
      <c r="I105" s="10" t="n"/>
    </row>
    <row r="106">
      <c r="A106" s="9" t="n"/>
      <c r="B106" s="10" t="n"/>
      <c r="C106" s="11" t="n"/>
      <c r="D106" s="11" t="n"/>
      <c r="E106" s="12" t="n"/>
      <c r="F106" s="13" t="str">
        <f>IF(OR(C106="",D106=""),"",ROUND(MOD(D106-C106,1)*24-N(E106)/60,2))</f>
        <v/>
      </c>
      <c r="G106" s="14" t="str">
        <f>IF(B106="","",IFERROR(VLOOKUP(B106,EmpTable,2,FALSE),""))</f>
        <v/>
      </c>
      <c r="H106" s="14" t="str">
        <f>IF(OR(F106="",G106=""),"",F106*G106)</f>
        <v/>
      </c>
      <c r="I106" s="10" t="n"/>
    </row>
    <row r="107">
      <c r="A107" s="9" t="n"/>
      <c r="B107" s="10" t="n"/>
      <c r="C107" s="11" t="n"/>
      <c r="D107" s="11" t="n"/>
      <c r="E107" s="12" t="n"/>
      <c r="F107" s="13" t="str">
        <f>IF(OR(C107="",D107=""),"",ROUND(MOD(D107-C107,1)*24-N(E107)/60,2))</f>
        <v/>
      </c>
      <c r="G107" s="14" t="str">
        <f>IF(B107="","",IFERROR(VLOOKUP(B107,EmpTable,2,FALSE),""))</f>
        <v/>
      </c>
      <c r="H107" s="14" t="str">
        <f>IF(OR(F107="",G107=""),"",F107*G107)</f>
        <v/>
      </c>
      <c r="I107" s="10" t="n"/>
    </row>
    <row r="108">
      <c r="A108" s="9" t="n"/>
      <c r="B108" s="10" t="n"/>
      <c r="C108" s="11" t="n"/>
      <c r="D108" s="11" t="n"/>
      <c r="E108" s="12" t="n"/>
      <c r="F108" s="13" t="str">
        <f>IF(OR(C108="",D108=""),"",ROUND(MOD(D108-C108,1)*24-N(E108)/60,2))</f>
        <v/>
      </c>
      <c r="G108" s="14" t="str">
        <f>IF(B108="","",IFERROR(VLOOKUP(B108,EmpTable,2,FALSE),""))</f>
        <v/>
      </c>
      <c r="H108" s="14" t="str">
        <f>IF(OR(F108="",G108=""),"",F108*G108)</f>
        <v/>
      </c>
      <c r="I108" s="10" t="n"/>
    </row>
    <row r="109">
      <c r="A109" s="9" t="n"/>
      <c r="B109" s="10" t="n"/>
      <c r="C109" s="11" t="n"/>
      <c r="D109" s="11" t="n"/>
      <c r="E109" s="12" t="n"/>
      <c r="F109" s="13" t="str">
        <f>IF(OR(C109="",D109=""),"",ROUND(MOD(D109-C109,1)*24-N(E109)/60,2))</f>
        <v/>
      </c>
      <c r="G109" s="14" t="str">
        <f>IF(B109="","",IFERROR(VLOOKUP(B109,EmpTable,2,FALSE),""))</f>
        <v/>
      </c>
      <c r="H109" s="14" t="str">
        <f>IF(OR(F109="",G109=""),"",F109*G109)</f>
        <v/>
      </c>
      <c r="I109" s="10" t="n"/>
    </row>
    <row r="110">
      <c r="A110" s="9" t="n"/>
      <c r="B110" s="10" t="n"/>
      <c r="C110" s="11" t="n"/>
      <c r="D110" s="11" t="n"/>
      <c r="E110" s="12" t="n"/>
      <c r="F110" s="13" t="str">
        <f>IF(OR(C110="",D110=""),"",ROUND(MOD(D110-C110,1)*24-N(E110)/60,2))</f>
        <v/>
      </c>
      <c r="G110" s="14" t="str">
        <f>IF(B110="","",IFERROR(VLOOKUP(B110,EmpTable,2,FALSE),""))</f>
        <v/>
      </c>
      <c r="H110" s="14" t="str">
        <f>IF(OR(F110="",G110=""),"",F110*G110)</f>
        <v/>
      </c>
      <c r="I110" s="10" t="n"/>
    </row>
    <row r="111">
      <c r="A111" s="9" t="n"/>
      <c r="B111" s="10" t="n"/>
      <c r="C111" s="11" t="n"/>
      <c r="D111" s="11" t="n"/>
      <c r="E111" s="12" t="n"/>
      <c r="F111" s="13" t="str">
        <f>IF(OR(C111="",D111=""),"",ROUND(MOD(D111-C111,1)*24-N(E111)/60,2))</f>
        <v/>
      </c>
      <c r="G111" s="14" t="str">
        <f>IF(B111="","",IFERROR(VLOOKUP(B111,EmpTable,2,FALSE),""))</f>
        <v/>
      </c>
      <c r="H111" s="14" t="str">
        <f>IF(OR(F111="",G111=""),"",F111*G111)</f>
        <v/>
      </c>
      <c r="I111" s="10" t="n"/>
    </row>
    <row r="112">
      <c r="A112" s="9" t="n"/>
      <c r="B112" s="10" t="n"/>
      <c r="C112" s="11" t="n"/>
      <c r="D112" s="11" t="n"/>
      <c r="E112" s="12" t="n"/>
      <c r="F112" s="13" t="str">
        <f>IF(OR(C112="",D112=""),"",ROUND(MOD(D112-C112,1)*24-N(E112)/60,2))</f>
        <v/>
      </c>
      <c r="G112" s="14" t="str">
        <f>IF(B112="","",IFERROR(VLOOKUP(B112,EmpTable,2,FALSE),""))</f>
        <v/>
      </c>
      <c r="H112" s="14" t="str">
        <f>IF(OR(F112="",G112=""),"",F112*G112)</f>
        <v/>
      </c>
      <c r="I112" s="10" t="n"/>
    </row>
    <row r="113">
      <c r="A113" s="9" t="n"/>
      <c r="B113" s="10" t="n"/>
      <c r="C113" s="11" t="n"/>
      <c r="D113" s="11" t="n"/>
      <c r="E113" s="12" t="n"/>
      <c r="F113" s="13" t="str">
        <f>IF(OR(C113="",D113=""),"",ROUND(MOD(D113-C113,1)*24-N(E113)/60,2))</f>
        <v/>
      </c>
      <c r="G113" s="14" t="str">
        <f>IF(B113="","",IFERROR(VLOOKUP(B113,EmpTable,2,FALSE),""))</f>
        <v/>
      </c>
      <c r="H113" s="14" t="str">
        <f>IF(OR(F113="",G113=""),"",F113*G113)</f>
        <v/>
      </c>
      <c r="I113" s="10" t="n"/>
    </row>
    <row r="114">
      <c r="A114" s="9" t="n"/>
      <c r="B114" s="10" t="n"/>
      <c r="C114" s="11" t="n"/>
      <c r="D114" s="11" t="n"/>
      <c r="E114" s="12" t="n"/>
      <c r="F114" s="13" t="str">
        <f>IF(OR(C114="",D114=""),"",ROUND(MOD(D114-C114,1)*24-N(E114)/60,2))</f>
        <v/>
      </c>
      <c r="G114" s="14" t="str">
        <f>IF(B114="","",IFERROR(VLOOKUP(B114,EmpTable,2,FALSE),""))</f>
        <v/>
      </c>
      <c r="H114" s="14" t="str">
        <f>IF(OR(F114="",G114=""),"",F114*G114)</f>
        <v/>
      </c>
      <c r="I114" s="10" t="n"/>
    </row>
    <row r="115">
      <c r="A115" s="9" t="n"/>
      <c r="B115" s="10" t="n"/>
      <c r="C115" s="11" t="n"/>
      <c r="D115" s="11" t="n"/>
      <c r="E115" s="12" t="n"/>
      <c r="F115" s="13" t="str">
        <f>IF(OR(C115="",D115=""),"",ROUND(MOD(D115-C115,1)*24-N(E115)/60,2))</f>
        <v/>
      </c>
      <c r="G115" s="14" t="str">
        <f>IF(B115="","",IFERROR(VLOOKUP(B115,EmpTable,2,FALSE),""))</f>
        <v/>
      </c>
      <c r="H115" s="14" t="str">
        <f>IF(OR(F115="",G115=""),"",F115*G115)</f>
        <v/>
      </c>
      <c r="I115" s="10" t="n"/>
    </row>
    <row r="116">
      <c r="A116" s="9" t="n"/>
      <c r="B116" s="10" t="n"/>
      <c r="C116" s="11" t="n"/>
      <c r="D116" s="11" t="n"/>
      <c r="E116" s="12" t="n"/>
      <c r="F116" s="13" t="str">
        <f>IF(OR(C116="",D116=""),"",ROUND(MOD(D116-C116,1)*24-N(E116)/60,2))</f>
        <v/>
      </c>
      <c r="G116" s="14" t="str">
        <f>IF(B116="","",IFERROR(VLOOKUP(B116,EmpTable,2,FALSE),""))</f>
        <v/>
      </c>
      <c r="H116" s="14" t="str">
        <f>IF(OR(F116="",G116=""),"",F116*G116)</f>
        <v/>
      </c>
      <c r="I116" s="10" t="n"/>
    </row>
    <row r="117">
      <c r="A117" s="9" t="n"/>
      <c r="B117" s="10" t="n"/>
      <c r="C117" s="11" t="n"/>
      <c r="D117" s="11" t="n"/>
      <c r="E117" s="12" t="n"/>
      <c r="F117" s="13" t="str">
        <f>IF(OR(C117="",D117=""),"",ROUND(MOD(D117-C117,1)*24-N(E117)/60,2))</f>
        <v/>
      </c>
      <c r="G117" s="14" t="str">
        <f>IF(B117="","",IFERROR(VLOOKUP(B117,EmpTable,2,FALSE),""))</f>
        <v/>
      </c>
      <c r="H117" s="14" t="str">
        <f>IF(OR(F117="",G117=""),"",F117*G117)</f>
        <v/>
      </c>
      <c r="I117" s="10" t="n"/>
    </row>
    <row r="118">
      <c r="A118" s="9" t="n"/>
      <c r="B118" s="10" t="n"/>
      <c r="C118" s="11" t="n"/>
      <c r="D118" s="11" t="n"/>
      <c r="E118" s="12" t="n"/>
      <c r="F118" s="13" t="str">
        <f>IF(OR(C118="",D118=""),"",ROUND(MOD(D118-C118,1)*24-N(E118)/60,2))</f>
        <v/>
      </c>
      <c r="G118" s="14" t="str">
        <f>IF(B118="","",IFERROR(VLOOKUP(B118,EmpTable,2,FALSE),""))</f>
        <v/>
      </c>
      <c r="H118" s="14" t="str">
        <f>IF(OR(F118="",G118=""),"",F118*G118)</f>
        <v/>
      </c>
      <c r="I118" s="10" t="n"/>
    </row>
    <row r="119">
      <c r="A119" s="9" t="n"/>
      <c r="B119" s="10" t="n"/>
      <c r="C119" s="11" t="n"/>
      <c r="D119" s="11" t="n"/>
      <c r="E119" s="12" t="n"/>
      <c r="F119" s="13" t="str">
        <f>IF(OR(C119="",D119=""),"",ROUND(MOD(D119-C119,1)*24-N(E119)/60,2))</f>
        <v/>
      </c>
      <c r="G119" s="14" t="str">
        <f>IF(B119="","",IFERROR(VLOOKUP(B119,EmpTable,2,FALSE),""))</f>
        <v/>
      </c>
      <c r="H119" s="14" t="str">
        <f>IF(OR(F119="",G119=""),"",F119*G119)</f>
        <v/>
      </c>
      <c r="I119" s="10" t="n"/>
    </row>
    <row r="120">
      <c r="A120" s="9" t="n"/>
      <c r="B120" s="10" t="n"/>
      <c r="C120" s="11" t="n"/>
      <c r="D120" s="11" t="n"/>
      <c r="E120" s="12" t="n"/>
      <c r="F120" s="13" t="str">
        <f>IF(OR(C120="",D120=""),"",ROUND(MOD(D120-C120,1)*24-N(E120)/60,2))</f>
        <v/>
      </c>
      <c r="G120" s="14" t="str">
        <f>IF(B120="","",IFERROR(VLOOKUP(B120,EmpTable,2,FALSE),""))</f>
        <v/>
      </c>
      <c r="H120" s="14" t="str">
        <f>IF(OR(F120="",G120=""),"",F120*G120)</f>
        <v/>
      </c>
      <c r="I120" s="10" t="n"/>
    </row>
    <row r="121">
      <c r="A121" s="9" t="n"/>
      <c r="B121" s="10" t="n"/>
      <c r="C121" s="11" t="n"/>
      <c r="D121" s="11" t="n"/>
      <c r="E121" s="12" t="n"/>
      <c r="F121" s="13" t="str">
        <f>IF(OR(C121="",D121=""),"",ROUND(MOD(D121-C121,1)*24-N(E121)/60,2))</f>
        <v/>
      </c>
      <c r="G121" s="14" t="str">
        <f>IF(B121="","",IFERROR(VLOOKUP(B121,EmpTable,2,FALSE),""))</f>
        <v/>
      </c>
      <c r="H121" s="14" t="str">
        <f>IF(OR(F121="",G121=""),"",F121*G121)</f>
        <v/>
      </c>
      <c r="I121" s="10" t="n"/>
    </row>
    <row r="122">
      <c r="A122" s="9" t="n"/>
      <c r="B122" s="10" t="n"/>
      <c r="C122" s="11" t="n"/>
      <c r="D122" s="11" t="n"/>
      <c r="E122" s="12" t="n"/>
      <c r="F122" s="13" t="str">
        <f>IF(OR(C122="",D122=""),"",ROUND(MOD(D122-C122,1)*24-N(E122)/60,2))</f>
        <v/>
      </c>
      <c r="G122" s="14" t="str">
        <f>IF(B122="","",IFERROR(VLOOKUP(B122,EmpTable,2,FALSE),""))</f>
        <v/>
      </c>
      <c r="H122" s="14" t="str">
        <f>IF(OR(F122="",G122=""),"",F122*G122)</f>
        <v/>
      </c>
      <c r="I122" s="10" t="n"/>
    </row>
    <row r="123">
      <c r="A123" s="9" t="n"/>
      <c r="B123" s="10" t="n"/>
      <c r="C123" s="11" t="n"/>
      <c r="D123" s="11" t="n"/>
      <c r="E123" s="12" t="n"/>
      <c r="F123" s="13" t="str">
        <f>IF(OR(C123="",D123=""),"",ROUND(MOD(D123-C123,1)*24-N(E123)/60,2))</f>
        <v/>
      </c>
      <c r="G123" s="14" t="str">
        <f>IF(B123="","",IFERROR(VLOOKUP(B123,EmpTable,2,FALSE),""))</f>
        <v/>
      </c>
      <c r="H123" s="14" t="str">
        <f>IF(OR(F123="",G123=""),"",F123*G123)</f>
        <v/>
      </c>
      <c r="I123" s="10" t="n"/>
    </row>
    <row r="124">
      <c r="A124" s="9" t="n"/>
      <c r="B124" s="10" t="n"/>
      <c r="C124" s="11" t="n"/>
      <c r="D124" s="11" t="n"/>
      <c r="E124" s="12" t="n"/>
      <c r="F124" s="13" t="str">
        <f>IF(OR(C124="",D124=""),"",ROUND(MOD(D124-C124,1)*24-N(E124)/60,2))</f>
        <v/>
      </c>
      <c r="G124" s="14" t="str">
        <f>IF(B124="","",IFERROR(VLOOKUP(B124,EmpTable,2,FALSE),""))</f>
        <v/>
      </c>
      <c r="H124" s="14" t="str">
        <f>IF(OR(F124="",G124=""),"",F124*G124)</f>
        <v/>
      </c>
      <c r="I124" s="10" t="n"/>
    </row>
    <row r="125">
      <c r="A125" s="9" t="n"/>
      <c r="B125" s="10" t="n"/>
      <c r="C125" s="11" t="n"/>
      <c r="D125" s="11" t="n"/>
      <c r="E125" s="12" t="n"/>
      <c r="F125" s="13" t="str">
        <f>IF(OR(C125="",D125=""),"",ROUND(MOD(D125-C125,1)*24-N(E125)/60,2))</f>
        <v/>
      </c>
      <c r="G125" s="14" t="str">
        <f>IF(B125="","",IFERROR(VLOOKUP(B125,EmpTable,2,FALSE),""))</f>
        <v/>
      </c>
      <c r="H125" s="14" t="str">
        <f>IF(OR(F125="",G125=""),"",F125*G125)</f>
        <v/>
      </c>
      <c r="I125" s="10" t="n"/>
    </row>
    <row r="126">
      <c r="A126" s="9" t="n"/>
      <c r="B126" s="10" t="n"/>
      <c r="C126" s="11" t="n"/>
      <c r="D126" s="11" t="n"/>
      <c r="E126" s="12" t="n"/>
      <c r="F126" s="13" t="str">
        <f>IF(OR(C126="",D126=""),"",ROUND(MOD(D126-C126,1)*24-N(E126)/60,2))</f>
        <v/>
      </c>
      <c r="G126" s="14" t="str">
        <f>IF(B126="","",IFERROR(VLOOKUP(B126,EmpTable,2,FALSE),""))</f>
        <v/>
      </c>
      <c r="H126" s="14" t="str">
        <f>IF(OR(F126="",G126=""),"",F126*G126)</f>
        <v/>
      </c>
      <c r="I126" s="10" t="n"/>
    </row>
    <row r="127">
      <c r="A127" s="9" t="n"/>
      <c r="B127" s="10" t="n"/>
      <c r="C127" s="11" t="n"/>
      <c r="D127" s="11" t="n"/>
      <c r="E127" s="12" t="n"/>
      <c r="F127" s="13" t="str">
        <f>IF(OR(C127="",D127=""),"",ROUND(MOD(D127-C127,1)*24-N(E127)/60,2))</f>
        <v/>
      </c>
      <c r="G127" s="14" t="str">
        <f>IF(B127="","",IFERROR(VLOOKUP(B127,EmpTable,2,FALSE),""))</f>
        <v/>
      </c>
      <c r="H127" s="14" t="str">
        <f>IF(OR(F127="",G127=""),"",F127*G127)</f>
        <v/>
      </c>
      <c r="I127" s="10" t="n"/>
    </row>
    <row r="128">
      <c r="A128" s="9" t="n"/>
      <c r="B128" s="10" t="n"/>
      <c r="C128" s="11" t="n"/>
      <c r="D128" s="11" t="n"/>
      <c r="E128" s="12" t="n"/>
      <c r="F128" s="13" t="str">
        <f>IF(OR(C128="",D128=""),"",ROUND(MOD(D128-C128,1)*24-N(E128)/60,2))</f>
        <v/>
      </c>
      <c r="G128" s="14" t="str">
        <f>IF(B128="","",IFERROR(VLOOKUP(B128,EmpTable,2,FALSE),""))</f>
        <v/>
      </c>
      <c r="H128" s="14" t="str">
        <f>IF(OR(F128="",G128=""),"",F128*G128)</f>
        <v/>
      </c>
      <c r="I128" s="10" t="n"/>
    </row>
    <row r="129">
      <c r="A129" s="9" t="n"/>
      <c r="B129" s="10" t="n"/>
      <c r="C129" s="11" t="n"/>
      <c r="D129" s="11" t="n"/>
      <c r="E129" s="12" t="n"/>
      <c r="F129" s="13" t="str">
        <f>IF(OR(C129="",D129=""),"",ROUND(MOD(D129-C129,1)*24-N(E129)/60,2))</f>
        <v/>
      </c>
      <c r="G129" s="14" t="str">
        <f>IF(B129="","",IFERROR(VLOOKUP(B129,EmpTable,2,FALSE),""))</f>
        <v/>
      </c>
      <c r="H129" s="14" t="str">
        <f>IF(OR(F129="",G129=""),"",F129*G129)</f>
        <v/>
      </c>
      <c r="I129" s="10" t="n"/>
    </row>
    <row r="130">
      <c r="A130" s="9" t="n"/>
      <c r="B130" s="10" t="n"/>
      <c r="C130" s="11" t="n"/>
      <c r="D130" s="11" t="n"/>
      <c r="E130" s="12" t="n"/>
      <c r="F130" s="13" t="str">
        <f>IF(OR(C130="",D130=""),"",ROUND(MOD(D130-C130,1)*24-N(E130)/60,2))</f>
        <v/>
      </c>
      <c r="G130" s="14" t="str">
        <f>IF(B130="","",IFERROR(VLOOKUP(B130,EmpTable,2,FALSE),""))</f>
        <v/>
      </c>
      <c r="H130" s="14" t="str">
        <f>IF(OR(F130="",G130=""),"",F130*G130)</f>
        <v/>
      </c>
      <c r="I130" s="10" t="n"/>
    </row>
    <row r="131">
      <c r="A131" s="9" t="n"/>
      <c r="B131" s="10" t="n"/>
      <c r="C131" s="11" t="n"/>
      <c r="D131" s="11" t="n"/>
      <c r="E131" s="12" t="n"/>
      <c r="F131" s="13" t="str">
        <f>IF(OR(C131="",D131=""),"",ROUND(MOD(D131-C131,1)*24-N(E131)/60,2))</f>
        <v/>
      </c>
      <c r="G131" s="14" t="str">
        <f>IF(B131="","",IFERROR(VLOOKUP(B131,EmpTable,2,FALSE),""))</f>
        <v/>
      </c>
      <c r="H131" s="14" t="str">
        <f>IF(OR(F131="",G131=""),"",F131*G131)</f>
        <v/>
      </c>
      <c r="I131" s="10" t="n"/>
    </row>
    <row r="132">
      <c r="A132" s="9" t="n"/>
      <c r="B132" s="10" t="n"/>
      <c r="C132" s="11" t="n"/>
      <c r="D132" s="11" t="n"/>
      <c r="E132" s="12" t="n"/>
      <c r="F132" s="13" t="str">
        <f>IF(OR(C132="",D132=""),"",ROUND(MOD(D132-C132,1)*24-N(E132)/60,2))</f>
        <v/>
      </c>
      <c r="G132" s="14" t="str">
        <f>IF(B132="","",IFERROR(VLOOKUP(B132,EmpTable,2,FALSE),""))</f>
        <v/>
      </c>
      <c r="H132" s="14" t="str">
        <f>IF(OR(F132="",G132=""),"",F132*G132)</f>
        <v/>
      </c>
      <c r="I132" s="10" t="n"/>
    </row>
    <row r="133">
      <c r="A133" s="9" t="n"/>
      <c r="B133" s="10" t="n"/>
      <c r="C133" s="11" t="n"/>
      <c r="D133" s="11" t="n"/>
      <c r="E133" s="12" t="n"/>
      <c r="F133" s="13" t="str">
        <f>IF(OR(C133="",D133=""),"",ROUND(MOD(D133-C133,1)*24-N(E133)/60,2))</f>
        <v/>
      </c>
      <c r="G133" s="14" t="str">
        <f>IF(B133="","",IFERROR(VLOOKUP(B133,EmpTable,2,FALSE),""))</f>
        <v/>
      </c>
      <c r="H133" s="14" t="str">
        <f>IF(OR(F133="",G133=""),"",F133*G133)</f>
        <v/>
      </c>
      <c r="I133" s="10" t="n"/>
    </row>
    <row r="134">
      <c r="A134" s="9" t="n"/>
      <c r="B134" s="10" t="n"/>
      <c r="C134" s="11" t="n"/>
      <c r="D134" s="11" t="n"/>
      <c r="E134" s="12" t="n"/>
      <c r="F134" s="13" t="str">
        <f>IF(OR(C134="",D134=""),"",ROUND(MOD(D134-C134,1)*24-N(E134)/60,2))</f>
        <v/>
      </c>
      <c r="G134" s="14" t="str">
        <f>IF(B134="","",IFERROR(VLOOKUP(B134,EmpTable,2,FALSE),""))</f>
        <v/>
      </c>
      <c r="H134" s="14" t="str">
        <f>IF(OR(F134="",G134=""),"",F134*G134)</f>
        <v/>
      </c>
      <c r="I134" s="10" t="n"/>
    </row>
    <row r="135">
      <c r="A135" s="9" t="n"/>
      <c r="B135" s="10" t="n"/>
      <c r="C135" s="11" t="n"/>
      <c r="D135" s="11" t="n"/>
      <c r="E135" s="12" t="n"/>
      <c r="F135" s="13" t="str">
        <f>IF(OR(C135="",D135=""),"",ROUND(MOD(D135-C135,1)*24-N(E135)/60,2))</f>
        <v/>
      </c>
      <c r="G135" s="14" t="str">
        <f>IF(B135="","",IFERROR(VLOOKUP(B135,EmpTable,2,FALSE),""))</f>
        <v/>
      </c>
      <c r="H135" s="14" t="str">
        <f>IF(OR(F135="",G135=""),"",F135*G135)</f>
        <v/>
      </c>
      <c r="I135" s="10" t="n"/>
    </row>
    <row r="136">
      <c r="A136" s="9" t="n"/>
      <c r="B136" s="10" t="n"/>
      <c r="C136" s="11" t="n"/>
      <c r="D136" s="11" t="n"/>
      <c r="E136" s="12" t="n"/>
      <c r="F136" s="13" t="str">
        <f>IF(OR(C136="",D136=""),"",ROUND(MOD(D136-C136,1)*24-N(E136)/60,2))</f>
        <v/>
      </c>
      <c r="G136" s="14" t="str">
        <f>IF(B136="","",IFERROR(VLOOKUP(B136,EmpTable,2,FALSE),""))</f>
        <v/>
      </c>
      <c r="H136" s="14" t="str">
        <f>IF(OR(F136="",G136=""),"",F136*G136)</f>
        <v/>
      </c>
      <c r="I136" s="10" t="n"/>
    </row>
    <row r="137">
      <c r="A137" s="9" t="n"/>
      <c r="B137" s="10" t="n"/>
      <c r="C137" s="11" t="n"/>
      <c r="D137" s="11" t="n"/>
      <c r="E137" s="12" t="n"/>
      <c r="F137" s="13" t="str">
        <f>IF(OR(C137="",D137=""),"",ROUND(MOD(D137-C137,1)*24-N(E137)/60,2))</f>
        <v/>
      </c>
      <c r="G137" s="14" t="str">
        <f>IF(B137="","",IFERROR(VLOOKUP(B137,EmpTable,2,FALSE),""))</f>
        <v/>
      </c>
      <c r="H137" s="14" t="str">
        <f>IF(OR(F137="",G137=""),"",F137*G137)</f>
        <v/>
      </c>
      <c r="I137" s="10" t="n"/>
    </row>
    <row r="138">
      <c r="A138" s="9" t="n"/>
      <c r="B138" s="10" t="n"/>
      <c r="C138" s="11" t="n"/>
      <c r="D138" s="11" t="n"/>
      <c r="E138" s="12" t="n"/>
      <c r="F138" s="13" t="str">
        <f>IF(OR(C138="",D138=""),"",ROUND(MOD(D138-C138,1)*24-N(E138)/60,2))</f>
        <v/>
      </c>
      <c r="G138" s="14" t="str">
        <f>IF(B138="","",IFERROR(VLOOKUP(B138,EmpTable,2,FALSE),""))</f>
        <v/>
      </c>
      <c r="H138" s="14" t="str">
        <f>IF(OR(F138="",G138=""),"",F138*G138)</f>
        <v/>
      </c>
      <c r="I138" s="10" t="n"/>
    </row>
    <row r="139">
      <c r="A139" s="9" t="n"/>
      <c r="B139" s="10" t="n"/>
      <c r="C139" s="11" t="n"/>
      <c r="D139" s="11" t="n"/>
      <c r="E139" s="12" t="n"/>
      <c r="F139" s="13" t="str">
        <f>IF(OR(C139="",D139=""),"",ROUND(MOD(D139-C139,1)*24-N(E139)/60,2))</f>
        <v/>
      </c>
      <c r="G139" s="14" t="str">
        <f>IF(B139="","",IFERROR(VLOOKUP(B139,EmpTable,2,FALSE),""))</f>
        <v/>
      </c>
      <c r="H139" s="14" t="str">
        <f>IF(OR(F139="",G139=""),"",F139*G139)</f>
        <v/>
      </c>
      <c r="I139" s="10" t="n"/>
    </row>
    <row r="140">
      <c r="A140" s="9" t="n"/>
      <c r="B140" s="10" t="n"/>
      <c r="C140" s="11" t="n"/>
      <c r="D140" s="11" t="n"/>
      <c r="E140" s="12" t="n"/>
      <c r="F140" s="13" t="str">
        <f>IF(OR(C140="",D140=""),"",ROUND(MOD(D140-C140,1)*24-N(E140)/60,2))</f>
        <v/>
      </c>
      <c r="G140" s="14" t="str">
        <f>IF(B140="","",IFERROR(VLOOKUP(B140,EmpTable,2,FALSE),""))</f>
        <v/>
      </c>
      <c r="H140" s="14" t="str">
        <f>IF(OR(F140="",G140=""),"",F140*G140)</f>
        <v/>
      </c>
      <c r="I140" s="10" t="n"/>
    </row>
    <row r="141">
      <c r="A141" s="9" t="n"/>
      <c r="B141" s="10" t="n"/>
      <c r="C141" s="11" t="n"/>
      <c r="D141" s="11" t="n"/>
      <c r="E141" s="12" t="n"/>
      <c r="F141" s="13" t="str">
        <f>IF(OR(C141="",D141=""),"",ROUND(MOD(D141-C141,1)*24-N(E141)/60,2))</f>
        <v/>
      </c>
      <c r="G141" s="14" t="str">
        <f>IF(B141="","",IFERROR(VLOOKUP(B141,EmpTable,2,FALSE),""))</f>
        <v/>
      </c>
      <c r="H141" s="14" t="str">
        <f>IF(OR(F141="",G141=""),"",F141*G141)</f>
        <v/>
      </c>
      <c r="I141" s="10" t="n"/>
    </row>
    <row r="142">
      <c r="A142" s="9" t="n"/>
      <c r="B142" s="10" t="n"/>
      <c r="C142" s="11" t="n"/>
      <c r="D142" s="11" t="n"/>
      <c r="E142" s="12" t="n"/>
      <c r="F142" s="13" t="str">
        <f>IF(OR(C142="",D142=""),"",ROUND(MOD(D142-C142,1)*24-N(E142)/60,2))</f>
        <v/>
      </c>
      <c r="G142" s="14" t="str">
        <f>IF(B142="","",IFERROR(VLOOKUP(B142,EmpTable,2,FALSE),""))</f>
        <v/>
      </c>
      <c r="H142" s="14" t="str">
        <f>IF(OR(F142="",G142=""),"",F142*G142)</f>
        <v/>
      </c>
      <c r="I142" s="10" t="n"/>
    </row>
    <row r="143">
      <c r="A143" s="9" t="n"/>
      <c r="B143" s="10" t="n"/>
      <c r="C143" s="11" t="n"/>
      <c r="D143" s="11" t="n"/>
      <c r="E143" s="12" t="n"/>
      <c r="F143" s="13" t="str">
        <f>IF(OR(C143="",D143=""),"",ROUND(MOD(D143-C143,1)*24-N(E143)/60,2))</f>
        <v/>
      </c>
      <c r="G143" s="14" t="str">
        <f>IF(B143="","",IFERROR(VLOOKUP(B143,EmpTable,2,FALSE),""))</f>
        <v/>
      </c>
      <c r="H143" s="14" t="str">
        <f>IF(OR(F143="",G143=""),"",F143*G143)</f>
        <v/>
      </c>
      <c r="I143" s="10" t="n"/>
    </row>
    <row r="144">
      <c r="A144" s="9" t="n"/>
      <c r="B144" s="10" t="n"/>
      <c r="C144" s="11" t="n"/>
      <c r="D144" s="11" t="n"/>
      <c r="E144" s="12" t="n"/>
      <c r="F144" s="13" t="str">
        <f>IF(OR(C144="",D144=""),"",ROUND(MOD(D144-C144,1)*24-N(E144)/60,2))</f>
        <v/>
      </c>
      <c r="G144" s="14" t="str">
        <f>IF(B144="","",IFERROR(VLOOKUP(B144,EmpTable,2,FALSE),""))</f>
        <v/>
      </c>
      <c r="H144" s="14" t="str">
        <f>IF(OR(F144="",G144=""),"",F144*G144)</f>
        <v/>
      </c>
      <c r="I144" s="10" t="n"/>
    </row>
    <row r="145">
      <c r="A145" s="9" t="n"/>
      <c r="B145" s="10" t="n"/>
      <c r="C145" s="11" t="n"/>
      <c r="D145" s="11" t="n"/>
      <c r="E145" s="12" t="n"/>
      <c r="F145" s="13" t="str">
        <f>IF(OR(C145="",D145=""),"",ROUND(MOD(D145-C145,1)*24-N(E145)/60,2))</f>
        <v/>
      </c>
      <c r="G145" s="14" t="str">
        <f>IF(B145="","",IFERROR(VLOOKUP(B145,EmpTable,2,FALSE),""))</f>
        <v/>
      </c>
      <c r="H145" s="14" t="str">
        <f>IF(OR(F145="",G145=""),"",F145*G145)</f>
        <v/>
      </c>
      <c r="I145" s="10" t="n"/>
    </row>
    <row r="146">
      <c r="A146" s="9" t="n"/>
      <c r="B146" s="10" t="n"/>
      <c r="C146" s="11" t="n"/>
      <c r="D146" s="11" t="n"/>
      <c r="E146" s="12" t="n"/>
      <c r="F146" s="13" t="str">
        <f>IF(OR(C146="",D146=""),"",ROUND(MOD(D146-C146,1)*24-N(E146)/60,2))</f>
        <v/>
      </c>
      <c r="G146" s="14" t="str">
        <f>IF(B146="","",IFERROR(VLOOKUP(B146,EmpTable,2,FALSE),""))</f>
        <v/>
      </c>
      <c r="H146" s="14" t="str">
        <f>IF(OR(F146="",G146=""),"",F146*G146)</f>
        <v/>
      </c>
      <c r="I146" s="10" t="n"/>
    </row>
    <row r="147">
      <c r="A147" s="9" t="n"/>
      <c r="B147" s="10" t="n"/>
      <c r="C147" s="11" t="n"/>
      <c r="D147" s="11" t="n"/>
      <c r="E147" s="12" t="n"/>
      <c r="F147" s="13" t="str">
        <f>IF(OR(C147="",D147=""),"",ROUND(MOD(D147-C147,1)*24-N(E147)/60,2))</f>
        <v/>
      </c>
      <c r="G147" s="14" t="str">
        <f>IF(B147="","",IFERROR(VLOOKUP(B147,EmpTable,2,FALSE),""))</f>
        <v/>
      </c>
      <c r="H147" s="14" t="str">
        <f>IF(OR(F147="",G147=""),"",F147*G147)</f>
        <v/>
      </c>
      <c r="I147" s="10" t="n"/>
    </row>
    <row r="148">
      <c r="A148" s="9" t="n"/>
      <c r="B148" s="10" t="n"/>
      <c r="C148" s="11" t="n"/>
      <c r="D148" s="11" t="n"/>
      <c r="E148" s="12" t="n"/>
      <c r="F148" s="13" t="str">
        <f>IF(OR(C148="",D148=""),"",ROUND(MOD(D148-C148,1)*24-N(E148)/60,2))</f>
        <v/>
      </c>
      <c r="G148" s="14" t="str">
        <f>IF(B148="","",IFERROR(VLOOKUP(B148,EmpTable,2,FALSE),""))</f>
        <v/>
      </c>
      <c r="H148" s="14" t="str">
        <f>IF(OR(F148="",G148=""),"",F148*G148)</f>
        <v/>
      </c>
      <c r="I148" s="10" t="n"/>
    </row>
    <row r="149">
      <c r="A149" s="9" t="n"/>
      <c r="B149" s="10" t="n"/>
      <c r="C149" s="11" t="n"/>
      <c r="D149" s="11" t="n"/>
      <c r="E149" s="12" t="n"/>
      <c r="F149" s="13" t="str">
        <f>IF(OR(C149="",D149=""),"",ROUND(MOD(D149-C149,1)*24-N(E149)/60,2))</f>
        <v/>
      </c>
      <c r="G149" s="14" t="str">
        <f>IF(B149="","",IFERROR(VLOOKUP(B149,EmpTable,2,FALSE),""))</f>
        <v/>
      </c>
      <c r="H149" s="14" t="str">
        <f>IF(OR(F149="",G149=""),"",F149*G149)</f>
        <v/>
      </c>
      <c r="I149" s="10" t="n"/>
    </row>
    <row r="150">
      <c r="A150" s="9" t="n"/>
      <c r="B150" s="10" t="n"/>
      <c r="C150" s="11" t="n"/>
      <c r="D150" s="11" t="n"/>
      <c r="E150" s="12" t="n"/>
      <c r="F150" s="13" t="str">
        <f>IF(OR(C150="",D150=""),"",ROUND(MOD(D150-C150,1)*24-N(E150)/60,2))</f>
        <v/>
      </c>
      <c r="G150" s="14" t="str">
        <f>IF(B150="","",IFERROR(VLOOKUP(B150,EmpTable,2,FALSE),""))</f>
        <v/>
      </c>
      <c r="H150" s="14" t="str">
        <f>IF(OR(F150="",G150=""),"",F150*G150)</f>
        <v/>
      </c>
      <c r="I150" s="10" t="n"/>
    </row>
    <row r="151">
      <c r="A151" s="9" t="n"/>
      <c r="B151" s="10" t="n"/>
      <c r="C151" s="11" t="n"/>
      <c r="D151" s="11" t="n"/>
      <c r="E151" s="12" t="n"/>
      <c r="F151" s="13" t="str">
        <f>IF(OR(C151="",D151=""),"",ROUND(MOD(D151-C151,1)*24-N(E151)/60,2))</f>
        <v/>
      </c>
      <c r="G151" s="14" t="str">
        <f>IF(B151="","",IFERROR(VLOOKUP(B151,EmpTable,2,FALSE),""))</f>
        <v/>
      </c>
      <c r="H151" s="14" t="str">
        <f>IF(OR(F151="",G151=""),"",F151*G151)</f>
        <v/>
      </c>
      <c r="I151" s="10" t="n"/>
    </row>
    <row r="152">
      <c r="A152" s="9" t="n"/>
      <c r="B152" s="10" t="n"/>
      <c r="C152" s="11" t="n"/>
      <c r="D152" s="11" t="n"/>
      <c r="E152" s="12" t="n"/>
      <c r="F152" s="13" t="str">
        <f>IF(OR(C152="",D152=""),"",ROUND(MOD(D152-C152,1)*24-N(E152)/60,2))</f>
        <v/>
      </c>
      <c r="G152" s="14" t="str">
        <f>IF(B152="","",IFERROR(VLOOKUP(B152,EmpTable,2,FALSE),""))</f>
        <v/>
      </c>
      <c r="H152" s="14" t="str">
        <f>IF(OR(F152="",G152=""),"",F152*G152)</f>
        <v/>
      </c>
      <c r="I152" s="10" t="n"/>
    </row>
    <row r="153">
      <c r="A153" s="9" t="n"/>
      <c r="B153" s="10" t="n"/>
      <c r="C153" s="11" t="n"/>
      <c r="D153" s="11" t="n"/>
      <c r="E153" s="12" t="n"/>
      <c r="F153" s="13" t="str">
        <f>IF(OR(C153="",D153=""),"",ROUND(MOD(D153-C153,1)*24-N(E153)/60,2))</f>
        <v/>
      </c>
      <c r="G153" s="14" t="str">
        <f>IF(B153="","",IFERROR(VLOOKUP(B153,EmpTable,2,FALSE),""))</f>
        <v/>
      </c>
      <c r="H153" s="14" t="str">
        <f>IF(OR(F153="",G153=""),"",F153*G153)</f>
        <v/>
      </c>
      <c r="I153" s="10" t="n"/>
    </row>
    <row r="154">
      <c r="A154" s="9" t="n"/>
      <c r="B154" s="10" t="n"/>
      <c r="C154" s="11" t="n"/>
      <c r="D154" s="11" t="n"/>
      <c r="E154" s="12" t="n"/>
      <c r="F154" s="13" t="str">
        <f>IF(OR(C154="",D154=""),"",ROUND(MOD(D154-C154,1)*24-N(E154)/60,2))</f>
        <v/>
      </c>
      <c r="G154" s="14" t="str">
        <f>IF(B154="","",IFERROR(VLOOKUP(B154,EmpTable,2,FALSE),""))</f>
        <v/>
      </c>
      <c r="H154" s="14" t="str">
        <f>IF(OR(F154="",G154=""),"",F154*G154)</f>
        <v/>
      </c>
      <c r="I154" s="10" t="n"/>
    </row>
    <row r="155">
      <c r="A155" s="9" t="n"/>
      <c r="B155" s="10" t="n"/>
      <c r="C155" s="11" t="n"/>
      <c r="D155" s="11" t="n"/>
      <c r="E155" s="12" t="n"/>
      <c r="F155" s="13" t="str">
        <f>IF(OR(C155="",D155=""),"",ROUND(MOD(D155-C155,1)*24-N(E155)/60,2))</f>
        <v/>
      </c>
      <c r="G155" s="14" t="str">
        <f>IF(B155="","",IFERROR(VLOOKUP(B155,EmpTable,2,FALSE),""))</f>
        <v/>
      </c>
      <c r="H155" s="14" t="str">
        <f>IF(OR(F155="",G155=""),"",F155*G155)</f>
        <v/>
      </c>
      <c r="I155" s="10" t="n"/>
    </row>
    <row r="156">
      <c r="A156" s="9" t="n"/>
      <c r="B156" s="10" t="n"/>
      <c r="C156" s="11" t="n"/>
      <c r="D156" s="11" t="n"/>
      <c r="E156" s="12" t="n"/>
      <c r="F156" s="13" t="str">
        <f>IF(OR(C156="",D156=""),"",ROUND(MOD(D156-C156,1)*24-N(E156)/60,2))</f>
        <v/>
      </c>
      <c r="G156" s="14" t="str">
        <f>IF(B156="","",IFERROR(VLOOKUP(B156,EmpTable,2,FALSE),""))</f>
        <v/>
      </c>
      <c r="H156" s="14" t="str">
        <f>IF(OR(F156="",G156=""),"",F156*G156)</f>
        <v/>
      </c>
      <c r="I156" s="10" t="n"/>
    </row>
    <row r="157">
      <c r="A157" s="9" t="n"/>
      <c r="B157" s="10" t="n"/>
      <c r="C157" s="11" t="n"/>
      <c r="D157" s="11" t="n"/>
      <c r="E157" s="12" t="n"/>
      <c r="F157" s="13" t="str">
        <f>IF(OR(C157="",D157=""),"",ROUND(MOD(D157-C157,1)*24-N(E157)/60,2))</f>
        <v/>
      </c>
      <c r="G157" s="14" t="str">
        <f>IF(B157="","",IFERROR(VLOOKUP(B157,EmpTable,2,FALSE),""))</f>
        <v/>
      </c>
      <c r="H157" s="14" t="str">
        <f>IF(OR(F157="",G157=""),"",F157*G157)</f>
        <v/>
      </c>
      <c r="I157" s="10" t="n"/>
    </row>
    <row r="158">
      <c r="A158" s="9" t="n"/>
      <c r="B158" s="10" t="n"/>
      <c r="C158" s="11" t="n"/>
      <c r="D158" s="11" t="n"/>
      <c r="E158" s="12" t="n"/>
      <c r="F158" s="13" t="str">
        <f>IF(OR(C158="",D158=""),"",ROUND(MOD(D158-C158,1)*24-N(E158)/60,2))</f>
        <v/>
      </c>
      <c r="G158" s="14" t="str">
        <f>IF(B158="","",IFERROR(VLOOKUP(B158,EmpTable,2,FALSE),""))</f>
        <v/>
      </c>
      <c r="H158" s="14" t="str">
        <f>IF(OR(F158="",G158=""),"",F158*G158)</f>
        <v/>
      </c>
      <c r="I158" s="10" t="n"/>
    </row>
    <row r="159">
      <c r="A159" s="9" t="n"/>
      <c r="B159" s="10" t="n"/>
      <c r="C159" s="11" t="n"/>
      <c r="D159" s="11" t="n"/>
      <c r="E159" s="12" t="n"/>
      <c r="F159" s="13" t="str">
        <f>IF(OR(C159="",D159=""),"",ROUND(MOD(D159-C159,1)*24-N(E159)/60,2))</f>
        <v/>
      </c>
      <c r="G159" s="14" t="str">
        <f>IF(B159="","",IFERROR(VLOOKUP(B159,EmpTable,2,FALSE),""))</f>
        <v/>
      </c>
      <c r="H159" s="14" t="str">
        <f>IF(OR(F159="",G159=""),"",F159*G159)</f>
        <v/>
      </c>
      <c r="I159" s="10" t="n"/>
    </row>
    <row r="160">
      <c r="A160" s="9" t="n"/>
      <c r="B160" s="10" t="n"/>
      <c r="C160" s="11" t="n"/>
      <c r="D160" s="11" t="n"/>
      <c r="E160" s="12" t="n"/>
      <c r="F160" s="13" t="str">
        <f>IF(OR(C160="",D160=""),"",ROUND(MOD(D160-C160,1)*24-N(E160)/60,2))</f>
        <v/>
      </c>
      <c r="G160" s="14" t="str">
        <f>IF(B160="","",IFERROR(VLOOKUP(B160,EmpTable,2,FALSE),""))</f>
        <v/>
      </c>
      <c r="H160" s="14" t="str">
        <f>IF(OR(F160="",G160=""),"",F160*G160)</f>
        <v/>
      </c>
      <c r="I160" s="10" t="n"/>
    </row>
    <row r="161">
      <c r="A161" s="9" t="n"/>
      <c r="B161" s="10" t="n"/>
      <c r="C161" s="11" t="n"/>
      <c r="D161" s="11" t="n"/>
      <c r="E161" s="12" t="n"/>
      <c r="F161" s="13" t="str">
        <f>IF(OR(C161="",D161=""),"",ROUND(MOD(D161-C161,1)*24-N(E161)/60,2))</f>
        <v/>
      </c>
      <c r="G161" s="14" t="str">
        <f>IF(B161="","",IFERROR(VLOOKUP(B161,EmpTable,2,FALSE),""))</f>
        <v/>
      </c>
      <c r="H161" s="14" t="str">
        <f>IF(OR(F161="",G161=""),"",F161*G161)</f>
        <v/>
      </c>
      <c r="I161" s="10" t="n"/>
    </row>
    <row r="162">
      <c r="A162" s="9" t="n"/>
      <c r="B162" s="10" t="n"/>
      <c r="C162" s="11" t="n"/>
      <c r="D162" s="11" t="n"/>
      <c r="E162" s="12" t="n"/>
      <c r="F162" s="13" t="str">
        <f>IF(OR(C162="",D162=""),"",ROUND(MOD(D162-C162,1)*24-N(E162)/60,2))</f>
        <v/>
      </c>
      <c r="G162" s="14" t="str">
        <f>IF(B162="","",IFERROR(VLOOKUP(B162,EmpTable,2,FALSE),""))</f>
        <v/>
      </c>
      <c r="H162" s="14" t="str">
        <f>IF(OR(F162="",G162=""),"",F162*G162)</f>
        <v/>
      </c>
      <c r="I162" s="10" t="n"/>
    </row>
    <row r="163">
      <c r="A163" s="9" t="n"/>
      <c r="B163" s="10" t="n"/>
      <c r="C163" s="11" t="n"/>
      <c r="D163" s="11" t="n"/>
      <c r="E163" s="12" t="n"/>
      <c r="F163" s="13" t="str">
        <f>IF(OR(C163="",D163=""),"",ROUND(MOD(D163-C163,1)*24-N(E163)/60,2))</f>
        <v/>
      </c>
      <c r="G163" s="14" t="str">
        <f>IF(B163="","",IFERROR(VLOOKUP(B163,EmpTable,2,FALSE),""))</f>
        <v/>
      </c>
      <c r="H163" s="14" t="str">
        <f>IF(OR(F163="",G163=""),"",F163*G163)</f>
        <v/>
      </c>
      <c r="I163" s="10" t="n"/>
    </row>
    <row r="164">
      <c r="A164" s="9" t="n"/>
      <c r="B164" s="10" t="n"/>
      <c r="C164" s="11" t="n"/>
      <c r="D164" s="11" t="n"/>
      <c r="E164" s="12" t="n"/>
      <c r="F164" s="13" t="str">
        <f>IF(OR(C164="",D164=""),"",ROUND(MOD(D164-C164,1)*24-N(E164)/60,2))</f>
        <v/>
      </c>
      <c r="G164" s="14" t="str">
        <f>IF(B164="","",IFERROR(VLOOKUP(B164,EmpTable,2,FALSE),""))</f>
        <v/>
      </c>
      <c r="H164" s="14" t="str">
        <f>IF(OR(F164="",G164=""),"",F164*G164)</f>
        <v/>
      </c>
      <c r="I164" s="10" t="n"/>
    </row>
    <row r="165">
      <c r="A165" s="9" t="n"/>
      <c r="B165" s="10" t="n"/>
      <c r="C165" s="11" t="n"/>
      <c r="D165" s="11" t="n"/>
      <c r="E165" s="12" t="n"/>
      <c r="F165" s="13" t="str">
        <f>IF(OR(C165="",D165=""),"",ROUND(MOD(D165-C165,1)*24-N(E165)/60,2))</f>
        <v/>
      </c>
      <c r="G165" s="14" t="str">
        <f>IF(B165="","",IFERROR(VLOOKUP(B165,EmpTable,2,FALSE),""))</f>
        <v/>
      </c>
      <c r="H165" s="14" t="str">
        <f>IF(OR(F165="",G165=""),"",F165*G165)</f>
        <v/>
      </c>
      <c r="I165" s="10" t="n"/>
    </row>
    <row r="166">
      <c r="A166" s="9" t="n"/>
      <c r="B166" s="10" t="n"/>
      <c r="C166" s="11" t="n"/>
      <c r="D166" s="11" t="n"/>
      <c r="E166" s="12" t="n"/>
      <c r="F166" s="13" t="str">
        <f>IF(OR(C166="",D166=""),"",ROUND(MOD(D166-C166,1)*24-N(E166)/60,2))</f>
        <v/>
      </c>
      <c r="G166" s="14" t="str">
        <f>IF(B166="","",IFERROR(VLOOKUP(B166,EmpTable,2,FALSE),""))</f>
        <v/>
      </c>
      <c r="H166" s="14" t="str">
        <f>IF(OR(F166="",G166=""),"",F166*G166)</f>
        <v/>
      </c>
      <c r="I166" s="10" t="n"/>
    </row>
    <row r="167">
      <c r="A167" s="9" t="n"/>
      <c r="B167" s="10" t="n"/>
      <c r="C167" s="11" t="n"/>
      <c r="D167" s="11" t="n"/>
      <c r="E167" s="12" t="n"/>
      <c r="F167" s="13" t="str">
        <f>IF(OR(C167="",D167=""),"",ROUND(MOD(D167-C167,1)*24-N(E167)/60,2))</f>
        <v/>
      </c>
      <c r="G167" s="14" t="str">
        <f>IF(B167="","",IFERROR(VLOOKUP(B167,EmpTable,2,FALSE),""))</f>
        <v/>
      </c>
      <c r="H167" s="14" t="str">
        <f>IF(OR(F167="",G167=""),"",F167*G167)</f>
        <v/>
      </c>
      <c r="I167" s="10" t="n"/>
    </row>
    <row r="168">
      <c r="A168" s="9" t="n"/>
      <c r="B168" s="10" t="n"/>
      <c r="C168" s="11" t="n"/>
      <c r="D168" s="11" t="n"/>
      <c r="E168" s="12" t="n"/>
      <c r="F168" s="13" t="str">
        <f>IF(OR(C168="",D168=""),"",ROUND(MOD(D168-C168,1)*24-N(E168)/60,2))</f>
        <v/>
      </c>
      <c r="G168" s="14" t="str">
        <f>IF(B168="","",IFERROR(VLOOKUP(B168,EmpTable,2,FALSE),""))</f>
        <v/>
      </c>
      <c r="H168" s="14" t="str">
        <f>IF(OR(F168="",G168=""),"",F168*G168)</f>
        <v/>
      </c>
      <c r="I168" s="10" t="n"/>
    </row>
    <row r="169">
      <c r="A169" s="9" t="n"/>
      <c r="B169" s="10" t="n"/>
      <c r="C169" s="11" t="n"/>
      <c r="D169" s="11" t="n"/>
      <c r="E169" s="12" t="n"/>
      <c r="F169" s="13" t="str">
        <f>IF(OR(C169="",D169=""),"",ROUND(MOD(D169-C169,1)*24-N(E169)/60,2))</f>
        <v/>
      </c>
      <c r="G169" s="14" t="str">
        <f>IF(B169="","",IFERROR(VLOOKUP(B169,EmpTable,2,FALSE),""))</f>
        <v/>
      </c>
      <c r="H169" s="14" t="str">
        <f>IF(OR(F169="",G169=""),"",F169*G169)</f>
        <v/>
      </c>
      <c r="I169" s="10" t="n"/>
    </row>
    <row r="170">
      <c r="A170" s="9" t="n"/>
      <c r="B170" s="10" t="n"/>
      <c r="C170" s="11" t="n"/>
      <c r="D170" s="11" t="n"/>
      <c r="E170" s="12" t="n"/>
      <c r="F170" s="13" t="str">
        <f>IF(OR(C170="",D170=""),"",ROUND(MOD(D170-C170,1)*24-N(E170)/60,2))</f>
        <v/>
      </c>
      <c r="G170" s="14" t="str">
        <f>IF(B170="","",IFERROR(VLOOKUP(B170,EmpTable,2,FALSE),""))</f>
        <v/>
      </c>
      <c r="H170" s="14" t="str">
        <f>IF(OR(F170="",G170=""),"",F170*G170)</f>
        <v/>
      </c>
      <c r="I170" s="10" t="n"/>
    </row>
    <row r="171">
      <c r="A171" s="9" t="n"/>
      <c r="B171" s="10" t="n"/>
      <c r="C171" s="11" t="n"/>
      <c r="D171" s="11" t="n"/>
      <c r="E171" s="12" t="n"/>
      <c r="F171" s="13" t="str">
        <f>IF(OR(C171="",D171=""),"",ROUND(MOD(D171-C171,1)*24-N(E171)/60,2))</f>
        <v/>
      </c>
      <c r="G171" s="14" t="str">
        <f>IF(B171="","",IFERROR(VLOOKUP(B171,EmpTable,2,FALSE),""))</f>
        <v/>
      </c>
      <c r="H171" s="14" t="str">
        <f>IF(OR(F171="",G171=""),"",F171*G171)</f>
        <v/>
      </c>
      <c r="I171" s="10" t="n"/>
    </row>
    <row r="172">
      <c r="A172" s="9" t="n"/>
      <c r="B172" s="10" t="n"/>
      <c r="C172" s="11" t="n"/>
      <c r="D172" s="11" t="n"/>
      <c r="E172" s="12" t="n"/>
      <c r="F172" s="13" t="str">
        <f>IF(OR(C172="",D172=""),"",ROUND(MOD(D172-C172,1)*24-N(E172)/60,2))</f>
        <v/>
      </c>
      <c r="G172" s="14" t="str">
        <f>IF(B172="","",IFERROR(VLOOKUP(B172,EmpTable,2,FALSE),""))</f>
        <v/>
      </c>
      <c r="H172" s="14" t="str">
        <f>IF(OR(F172="",G172=""),"",F172*G172)</f>
        <v/>
      </c>
      <c r="I172" s="10" t="n"/>
    </row>
    <row r="173">
      <c r="A173" s="9" t="n"/>
      <c r="B173" s="10" t="n"/>
      <c r="C173" s="11" t="n"/>
      <c r="D173" s="11" t="n"/>
      <c r="E173" s="12" t="n"/>
      <c r="F173" s="13" t="str">
        <f>IF(OR(C173="",D173=""),"",ROUND(MOD(D173-C173,1)*24-N(E173)/60,2))</f>
        <v/>
      </c>
      <c r="G173" s="14" t="str">
        <f>IF(B173="","",IFERROR(VLOOKUP(B173,EmpTable,2,FALSE),""))</f>
        <v/>
      </c>
      <c r="H173" s="14" t="str">
        <f>IF(OR(F173="",G173=""),"",F173*G173)</f>
        <v/>
      </c>
      <c r="I173" s="10" t="n"/>
    </row>
    <row r="174">
      <c r="A174" s="9" t="n"/>
      <c r="B174" s="10" t="n"/>
      <c r="C174" s="11" t="n"/>
      <c r="D174" s="11" t="n"/>
      <c r="E174" s="12" t="n"/>
      <c r="F174" s="13" t="str">
        <f>IF(OR(C174="",D174=""),"",ROUND(MOD(D174-C174,1)*24-N(E174)/60,2))</f>
        <v/>
      </c>
      <c r="G174" s="14" t="str">
        <f>IF(B174="","",IFERROR(VLOOKUP(B174,EmpTable,2,FALSE),""))</f>
        <v/>
      </c>
      <c r="H174" s="14" t="str">
        <f>IF(OR(F174="",G174=""),"",F174*G174)</f>
        <v/>
      </c>
      <c r="I174" s="10" t="n"/>
    </row>
    <row r="175">
      <c r="A175" s="9" t="n"/>
      <c r="B175" s="10" t="n"/>
      <c r="C175" s="11" t="n"/>
      <c r="D175" s="11" t="n"/>
      <c r="E175" s="12" t="n"/>
      <c r="F175" s="13" t="str">
        <f>IF(OR(C175="",D175=""),"",ROUND(MOD(D175-C175,1)*24-N(E175)/60,2))</f>
        <v/>
      </c>
      <c r="G175" s="14" t="str">
        <f>IF(B175="","",IFERROR(VLOOKUP(B175,EmpTable,2,FALSE),""))</f>
        <v/>
      </c>
      <c r="H175" s="14" t="str">
        <f>IF(OR(F175="",G175=""),"",F175*G175)</f>
        <v/>
      </c>
      <c r="I175" s="10" t="n"/>
    </row>
    <row r="176">
      <c r="A176" s="9" t="n"/>
      <c r="B176" s="10" t="n"/>
      <c r="C176" s="11" t="n"/>
      <c r="D176" s="11" t="n"/>
      <c r="E176" s="12" t="n"/>
      <c r="F176" s="13" t="str">
        <f>IF(OR(C176="",D176=""),"",ROUND(MOD(D176-C176,1)*24-N(E176)/60,2))</f>
        <v/>
      </c>
      <c r="G176" s="14" t="str">
        <f>IF(B176="","",IFERROR(VLOOKUP(B176,EmpTable,2,FALSE),""))</f>
        <v/>
      </c>
      <c r="H176" s="14" t="str">
        <f>IF(OR(F176="",G176=""),"",F176*G176)</f>
        <v/>
      </c>
      <c r="I176" s="10" t="n"/>
    </row>
    <row r="177">
      <c r="A177" s="9" t="n"/>
      <c r="B177" s="10" t="n"/>
      <c r="C177" s="11" t="n"/>
      <c r="D177" s="11" t="n"/>
      <c r="E177" s="12" t="n"/>
      <c r="F177" s="13" t="str">
        <f>IF(OR(C177="",D177=""),"",ROUND(MOD(D177-C177,1)*24-N(E177)/60,2))</f>
        <v/>
      </c>
      <c r="G177" s="14" t="str">
        <f>IF(B177="","",IFERROR(VLOOKUP(B177,EmpTable,2,FALSE),""))</f>
        <v/>
      </c>
      <c r="H177" s="14" t="str">
        <f>IF(OR(F177="",G177=""),"",F177*G177)</f>
        <v/>
      </c>
      <c r="I177" s="10" t="n"/>
    </row>
    <row r="178">
      <c r="A178" s="9" t="n"/>
      <c r="B178" s="10" t="n"/>
      <c r="C178" s="11" t="n"/>
      <c r="D178" s="11" t="n"/>
      <c r="E178" s="12" t="n"/>
      <c r="F178" s="13" t="str">
        <f>IF(OR(C178="",D178=""),"",ROUND(MOD(D178-C178,1)*24-N(E178)/60,2))</f>
        <v/>
      </c>
      <c r="G178" s="14" t="str">
        <f>IF(B178="","",IFERROR(VLOOKUP(B178,EmpTable,2,FALSE),""))</f>
        <v/>
      </c>
      <c r="H178" s="14" t="str">
        <f>IF(OR(F178="",G178=""),"",F178*G178)</f>
        <v/>
      </c>
      <c r="I178" s="10" t="n"/>
    </row>
    <row r="179">
      <c r="A179" s="9" t="n"/>
      <c r="B179" s="10" t="n"/>
      <c r="C179" s="11" t="n"/>
      <c r="D179" s="11" t="n"/>
      <c r="E179" s="12" t="n"/>
      <c r="F179" s="13" t="str">
        <f>IF(OR(C179="",D179=""),"",ROUND(MOD(D179-C179,1)*24-N(E179)/60,2))</f>
        <v/>
      </c>
      <c r="G179" s="14" t="str">
        <f>IF(B179="","",IFERROR(VLOOKUP(B179,EmpTable,2,FALSE),""))</f>
        <v/>
      </c>
      <c r="H179" s="14" t="str">
        <f>IF(OR(F179="",G179=""),"",F179*G179)</f>
        <v/>
      </c>
      <c r="I179" s="10" t="n"/>
    </row>
    <row r="180">
      <c r="A180" s="9" t="n"/>
      <c r="B180" s="10" t="n"/>
      <c r="C180" s="11" t="n"/>
      <c r="D180" s="11" t="n"/>
      <c r="E180" s="12" t="n"/>
      <c r="F180" s="13" t="str">
        <f>IF(OR(C180="",D180=""),"",ROUND(MOD(D180-C180,1)*24-N(E180)/60,2))</f>
        <v/>
      </c>
      <c r="G180" s="14" t="str">
        <f>IF(B180="","",IFERROR(VLOOKUP(B180,EmpTable,2,FALSE),""))</f>
        <v/>
      </c>
      <c r="H180" s="14" t="str">
        <f>IF(OR(F180="",G180=""),"",F180*G180)</f>
        <v/>
      </c>
      <c r="I180" s="10" t="n"/>
    </row>
    <row r="181">
      <c r="A181" s="9" t="n"/>
      <c r="B181" s="10" t="n"/>
      <c r="C181" s="11" t="n"/>
      <c r="D181" s="11" t="n"/>
      <c r="E181" s="12" t="n"/>
      <c r="F181" s="13" t="str">
        <f>IF(OR(C181="",D181=""),"",ROUND(MOD(D181-C181,1)*24-N(E181)/60,2))</f>
        <v/>
      </c>
      <c r="G181" s="14" t="str">
        <f>IF(B181="","",IFERROR(VLOOKUP(B181,EmpTable,2,FALSE),""))</f>
        <v/>
      </c>
      <c r="H181" s="14" t="str">
        <f>IF(OR(F181="",G181=""),"",F181*G181)</f>
        <v/>
      </c>
      <c r="I181" s="10" t="n"/>
    </row>
    <row r="182">
      <c r="A182" s="9" t="n"/>
      <c r="B182" s="10" t="n"/>
      <c r="C182" s="11" t="n"/>
      <c r="D182" s="11" t="n"/>
      <c r="E182" s="12" t="n"/>
      <c r="F182" s="13" t="str">
        <f>IF(OR(C182="",D182=""),"",ROUND(MOD(D182-C182,1)*24-N(E182)/60,2))</f>
        <v/>
      </c>
      <c r="G182" s="14" t="str">
        <f>IF(B182="","",IFERROR(VLOOKUP(B182,EmpTable,2,FALSE),""))</f>
        <v/>
      </c>
      <c r="H182" s="14" t="str">
        <f>IF(OR(F182="",G182=""),"",F182*G182)</f>
        <v/>
      </c>
      <c r="I182" s="10" t="n"/>
    </row>
    <row r="183">
      <c r="A183" s="9" t="n"/>
      <c r="B183" s="10" t="n"/>
      <c r="C183" s="11" t="n"/>
      <c r="D183" s="11" t="n"/>
      <c r="E183" s="12" t="n"/>
      <c r="F183" s="13" t="str">
        <f>IF(OR(C183="",D183=""),"",ROUND(MOD(D183-C183,1)*24-N(E183)/60,2))</f>
        <v/>
      </c>
      <c r="G183" s="14" t="str">
        <f>IF(B183="","",IFERROR(VLOOKUP(B183,EmpTable,2,FALSE),""))</f>
        <v/>
      </c>
      <c r="H183" s="14" t="str">
        <f>IF(OR(F183="",G183=""),"",F183*G183)</f>
        <v/>
      </c>
      <c r="I183" s="10" t="n"/>
    </row>
    <row r="184">
      <c r="A184" s="9" t="n"/>
      <c r="B184" s="10" t="n"/>
      <c r="C184" s="11" t="n"/>
      <c r="D184" s="11" t="n"/>
      <c r="E184" s="12" t="n"/>
      <c r="F184" s="13" t="str">
        <f>IF(OR(C184="",D184=""),"",ROUND(MOD(D184-C184,1)*24-N(E184)/60,2))</f>
        <v/>
      </c>
      <c r="G184" s="14" t="str">
        <f>IF(B184="","",IFERROR(VLOOKUP(B184,EmpTable,2,FALSE),""))</f>
        <v/>
      </c>
      <c r="H184" s="14" t="str">
        <f>IF(OR(F184="",G184=""),"",F184*G184)</f>
        <v/>
      </c>
      <c r="I184" s="10" t="n"/>
    </row>
    <row r="185">
      <c r="A185" s="9" t="n"/>
      <c r="B185" s="10" t="n"/>
      <c r="C185" s="11" t="n"/>
      <c r="D185" s="11" t="n"/>
      <c r="E185" s="12" t="n"/>
      <c r="F185" s="13" t="str">
        <f>IF(OR(C185="",D185=""),"",ROUND(MOD(D185-C185,1)*24-N(E185)/60,2))</f>
        <v/>
      </c>
      <c r="G185" s="14" t="str">
        <f>IF(B185="","",IFERROR(VLOOKUP(B185,EmpTable,2,FALSE),""))</f>
        <v/>
      </c>
      <c r="H185" s="14" t="str">
        <f>IF(OR(F185="",G185=""),"",F185*G185)</f>
        <v/>
      </c>
      <c r="I185" s="10" t="n"/>
    </row>
    <row r="186">
      <c r="A186" s="9" t="n"/>
      <c r="B186" s="10" t="n"/>
      <c r="C186" s="11" t="n"/>
      <c r="D186" s="11" t="n"/>
      <c r="E186" s="12" t="n"/>
      <c r="F186" s="13" t="str">
        <f>IF(OR(C186="",D186=""),"",ROUND(MOD(D186-C186,1)*24-N(E186)/60,2))</f>
        <v/>
      </c>
      <c r="G186" s="14" t="str">
        <f>IF(B186="","",IFERROR(VLOOKUP(B186,EmpTable,2,FALSE),""))</f>
        <v/>
      </c>
      <c r="H186" s="14" t="str">
        <f>IF(OR(F186="",G186=""),"",F186*G186)</f>
        <v/>
      </c>
      <c r="I186" s="10" t="n"/>
    </row>
    <row r="187">
      <c r="A187" s="9" t="n"/>
      <c r="B187" s="10" t="n"/>
      <c r="C187" s="11" t="n"/>
      <c r="D187" s="11" t="n"/>
      <c r="E187" s="12" t="n"/>
      <c r="F187" s="13" t="str">
        <f>IF(OR(C187="",D187=""),"",ROUND(MOD(D187-C187,1)*24-N(E187)/60,2))</f>
        <v/>
      </c>
      <c r="G187" s="14" t="str">
        <f>IF(B187="","",IFERROR(VLOOKUP(B187,EmpTable,2,FALSE),""))</f>
        <v/>
      </c>
      <c r="H187" s="14" t="str">
        <f>IF(OR(F187="",G187=""),"",F187*G187)</f>
        <v/>
      </c>
      <c r="I187" s="10" t="n"/>
    </row>
    <row r="188">
      <c r="A188" s="9" t="n"/>
      <c r="B188" s="10" t="n"/>
      <c r="C188" s="11" t="n"/>
      <c r="D188" s="11" t="n"/>
      <c r="E188" s="12" t="n"/>
      <c r="F188" s="13" t="str">
        <f>IF(OR(C188="",D188=""),"",ROUND(MOD(D188-C188,1)*24-N(E188)/60,2))</f>
        <v/>
      </c>
      <c r="G188" s="14" t="str">
        <f>IF(B188="","",IFERROR(VLOOKUP(B188,EmpTable,2,FALSE),""))</f>
        <v/>
      </c>
      <c r="H188" s="14" t="str">
        <f>IF(OR(F188="",G188=""),"",F188*G188)</f>
        <v/>
      </c>
      <c r="I188" s="10" t="n"/>
    </row>
    <row r="189">
      <c r="A189" s="9" t="n"/>
      <c r="B189" s="10" t="n"/>
      <c r="C189" s="11" t="n"/>
      <c r="D189" s="11" t="n"/>
      <c r="E189" s="12" t="n"/>
      <c r="F189" s="13" t="str">
        <f>IF(OR(C189="",D189=""),"",ROUND(MOD(D189-C189,1)*24-N(E189)/60,2))</f>
        <v/>
      </c>
      <c r="G189" s="14" t="str">
        <f>IF(B189="","",IFERROR(VLOOKUP(B189,EmpTable,2,FALSE),""))</f>
        <v/>
      </c>
      <c r="H189" s="14" t="str">
        <f>IF(OR(F189="",G189=""),"",F189*G189)</f>
        <v/>
      </c>
      <c r="I189" s="10" t="n"/>
    </row>
    <row r="190">
      <c r="A190" s="9" t="n"/>
      <c r="B190" s="10" t="n"/>
      <c r="C190" s="11" t="n"/>
      <c r="D190" s="11" t="n"/>
      <c r="E190" s="12" t="n"/>
      <c r="F190" s="13" t="str">
        <f>IF(OR(C190="",D190=""),"",ROUND(MOD(D190-C190,1)*24-N(E190)/60,2))</f>
        <v/>
      </c>
      <c r="G190" s="14" t="str">
        <f>IF(B190="","",IFERROR(VLOOKUP(B190,EmpTable,2,FALSE),""))</f>
        <v/>
      </c>
      <c r="H190" s="14" t="str">
        <f>IF(OR(F190="",G190=""),"",F190*G190)</f>
        <v/>
      </c>
      <c r="I190" s="10" t="n"/>
    </row>
    <row r="191">
      <c r="A191" s="9" t="n"/>
      <c r="B191" s="10" t="n"/>
      <c r="C191" s="11" t="n"/>
      <c r="D191" s="11" t="n"/>
      <c r="E191" s="12" t="n"/>
      <c r="F191" s="13" t="str">
        <f>IF(OR(C191="",D191=""),"",ROUND(MOD(D191-C191,1)*24-N(E191)/60,2))</f>
        <v/>
      </c>
      <c r="G191" s="14" t="str">
        <f>IF(B191="","",IFERROR(VLOOKUP(B191,EmpTable,2,FALSE),""))</f>
        <v/>
      </c>
      <c r="H191" s="14" t="str">
        <f>IF(OR(F191="",G191=""),"",F191*G191)</f>
        <v/>
      </c>
      <c r="I191" s="10" t="n"/>
    </row>
    <row r="192">
      <c r="A192" s="9" t="n"/>
      <c r="B192" s="10" t="n"/>
      <c r="C192" s="11" t="n"/>
      <c r="D192" s="11" t="n"/>
      <c r="E192" s="12" t="n"/>
      <c r="F192" s="13" t="str">
        <f>IF(OR(C192="",D192=""),"",ROUND(MOD(D192-C192,1)*24-N(E192)/60,2))</f>
        <v/>
      </c>
      <c r="G192" s="14" t="str">
        <f>IF(B192="","",IFERROR(VLOOKUP(B192,EmpTable,2,FALSE),""))</f>
        <v/>
      </c>
      <c r="H192" s="14" t="str">
        <f>IF(OR(F192="",G192=""),"",F192*G192)</f>
        <v/>
      </c>
      <c r="I192" s="10" t="n"/>
    </row>
    <row r="193">
      <c r="A193" s="9" t="n"/>
      <c r="B193" s="10" t="n"/>
      <c r="C193" s="11" t="n"/>
      <c r="D193" s="11" t="n"/>
      <c r="E193" s="12" t="n"/>
      <c r="F193" s="13" t="str">
        <f>IF(OR(C193="",D193=""),"",ROUND(MOD(D193-C193,1)*24-N(E193)/60,2))</f>
        <v/>
      </c>
      <c r="G193" s="14" t="str">
        <f>IF(B193="","",IFERROR(VLOOKUP(B193,EmpTable,2,FALSE),""))</f>
        <v/>
      </c>
      <c r="H193" s="14" t="str">
        <f>IF(OR(F193="",G193=""),"",F193*G193)</f>
        <v/>
      </c>
      <c r="I193" s="10" t="n"/>
    </row>
    <row r="194">
      <c r="A194" s="9" t="n"/>
      <c r="B194" s="10" t="n"/>
      <c r="C194" s="11" t="n"/>
      <c r="D194" s="11" t="n"/>
      <c r="E194" s="12" t="n"/>
      <c r="F194" s="13" t="str">
        <f>IF(OR(C194="",D194=""),"",ROUND(MOD(D194-C194,1)*24-N(E194)/60,2))</f>
        <v/>
      </c>
      <c r="G194" s="14" t="str">
        <f>IF(B194="","",IFERROR(VLOOKUP(B194,EmpTable,2,FALSE),""))</f>
        <v/>
      </c>
      <c r="H194" s="14" t="str">
        <f>IF(OR(F194="",G194=""),"",F194*G194)</f>
        <v/>
      </c>
      <c r="I194" s="10" t="n"/>
    </row>
    <row r="195">
      <c r="A195" s="9" t="n"/>
      <c r="B195" s="10" t="n"/>
      <c r="C195" s="11" t="n"/>
      <c r="D195" s="11" t="n"/>
      <c r="E195" s="12" t="n"/>
      <c r="F195" s="13" t="str">
        <f>IF(OR(C195="",D195=""),"",ROUND(MOD(D195-C195,1)*24-N(E195)/60,2))</f>
        <v/>
      </c>
      <c r="G195" s="14" t="str">
        <f>IF(B195="","",IFERROR(VLOOKUP(B195,EmpTable,2,FALSE),""))</f>
        <v/>
      </c>
      <c r="H195" s="14" t="str">
        <f>IF(OR(F195="",G195=""),"",F195*G195)</f>
        <v/>
      </c>
      <c r="I195" s="10" t="n"/>
    </row>
    <row r="196">
      <c r="A196" s="9" t="n"/>
      <c r="B196" s="10" t="n"/>
      <c r="C196" s="11" t="n"/>
      <c r="D196" s="11" t="n"/>
      <c r="E196" s="12" t="n"/>
      <c r="F196" s="13" t="str">
        <f>IF(OR(C196="",D196=""),"",ROUND(MOD(D196-C196,1)*24-N(E196)/60,2))</f>
        <v/>
      </c>
      <c r="G196" s="14" t="str">
        <f>IF(B196="","",IFERROR(VLOOKUP(B196,EmpTable,2,FALSE),""))</f>
        <v/>
      </c>
      <c r="H196" s="14" t="str">
        <f>IF(OR(F196="",G196=""),"",F196*G196)</f>
        <v/>
      </c>
      <c r="I196" s="10" t="n"/>
    </row>
    <row r="197">
      <c r="A197" s="9" t="n"/>
      <c r="B197" s="10" t="n"/>
      <c r="C197" s="11" t="n"/>
      <c r="D197" s="11" t="n"/>
      <c r="E197" s="12" t="n"/>
      <c r="F197" s="13" t="str">
        <f>IF(OR(C197="",D197=""),"",ROUND(MOD(D197-C197,1)*24-N(E197)/60,2))</f>
        <v/>
      </c>
      <c r="G197" s="14" t="str">
        <f>IF(B197="","",IFERROR(VLOOKUP(B197,EmpTable,2,FALSE),""))</f>
        <v/>
      </c>
      <c r="H197" s="14" t="str">
        <f>IF(OR(F197="",G197=""),"",F197*G197)</f>
        <v/>
      </c>
      <c r="I197" s="10" t="n"/>
    </row>
    <row r="198">
      <c r="A198" s="9" t="n"/>
      <c r="B198" s="10" t="n"/>
      <c r="C198" s="11" t="n"/>
      <c r="D198" s="11" t="n"/>
      <c r="E198" s="12" t="n"/>
      <c r="F198" s="13" t="str">
        <f>IF(OR(C198="",D198=""),"",ROUND(MOD(D198-C198,1)*24-N(E198)/60,2))</f>
        <v/>
      </c>
      <c r="G198" s="14" t="str">
        <f>IF(B198="","",IFERROR(VLOOKUP(B198,EmpTable,2,FALSE),""))</f>
        <v/>
      </c>
      <c r="H198" s="14" t="str">
        <f>IF(OR(F198="",G198=""),"",F198*G198)</f>
        <v/>
      </c>
      <c r="I198" s="10" t="n"/>
    </row>
    <row r="199">
      <c r="A199" s="9" t="n"/>
      <c r="B199" s="10" t="n"/>
      <c r="C199" s="11" t="n"/>
      <c r="D199" s="11" t="n"/>
      <c r="E199" s="12" t="n"/>
      <c r="F199" s="13" t="str">
        <f>IF(OR(C199="",D199=""),"",ROUND(MOD(D199-C199,1)*24-N(E199)/60,2))</f>
        <v/>
      </c>
      <c r="G199" s="14" t="str">
        <f>IF(B199="","",IFERROR(VLOOKUP(B199,EmpTable,2,FALSE),""))</f>
        <v/>
      </c>
      <c r="H199" s="14" t="str">
        <f>IF(OR(F199="",G199=""),"",F199*G199)</f>
        <v/>
      </c>
      <c r="I199" s="10" t="n"/>
    </row>
    <row r="200">
      <c r="A200" s="9" t="n"/>
      <c r="B200" s="10" t="n"/>
      <c r="C200" s="11" t="n"/>
      <c r="D200" s="11" t="n"/>
      <c r="E200" s="12" t="n"/>
      <c r="F200" s="13" t="str">
        <f>IF(OR(C200="",D200=""),"",ROUND(MOD(D200-C200,1)*24-N(E200)/60,2))</f>
        <v/>
      </c>
      <c r="G200" s="14" t="str">
        <f>IF(B200="","",IFERROR(VLOOKUP(B200,EmpTable,2,FALSE),""))</f>
        <v/>
      </c>
      <c r="H200" s="14" t="str">
        <f>IF(OR(F200="",G200=""),"",F200*G200)</f>
        <v/>
      </c>
      <c r="I200" s="10" t="n"/>
    </row>
    <row r="201">
      <c r="A201" s="9" t="n"/>
      <c r="B201" s="10" t="n"/>
      <c r="C201" s="11" t="n"/>
      <c r="D201" s="11" t="n"/>
      <c r="E201" s="12" t="n"/>
      <c r="F201" s="13" t="str">
        <f>IF(OR(C201="",D201=""),"",ROUND(MOD(D201-C201,1)*24-N(E201)/60,2))</f>
        <v/>
      </c>
      <c r="G201" s="14" t="str">
        <f>IF(B201="","",IFERROR(VLOOKUP(B201,EmpTable,2,FALSE),""))</f>
        <v/>
      </c>
      <c r="H201" s="14" t="str">
        <f>IF(OR(F201="",G201=""),"",F201*G201)</f>
        <v/>
      </c>
      <c r="I201" s="10" t="n"/>
    </row>
    <row r="202">
      <c r="A202" s="9" t="n"/>
      <c r="B202" s="10" t="n"/>
      <c r="C202" s="11" t="n"/>
      <c r="D202" s="11" t="n"/>
      <c r="E202" s="12" t="n"/>
      <c r="F202" s="13" t="str">
        <f>IF(OR(C202="",D202=""),"",ROUND(MOD(D202-C202,1)*24-N(E202)/60,2))</f>
        <v/>
      </c>
      <c r="G202" s="14" t="str">
        <f>IF(B202="","",IFERROR(VLOOKUP(B202,EmpTable,2,FALSE),""))</f>
        <v/>
      </c>
      <c r="H202" s="14" t="str">
        <f>IF(OR(F202="",G202=""),"",F202*G202)</f>
        <v/>
      </c>
      <c r="I202" s="10" t="n"/>
    </row>
    <row r="203">
      <c r="A203" s="9" t="n"/>
      <c r="B203" s="10" t="n"/>
      <c r="C203" s="11" t="n"/>
      <c r="D203" s="11" t="n"/>
      <c r="E203" s="12" t="n"/>
      <c r="F203" s="13" t="str">
        <f>IF(OR(C203="",D203=""),"",ROUND(MOD(D203-C203,1)*24-N(E203)/60,2))</f>
        <v/>
      </c>
      <c r="G203" s="14" t="str">
        <f>IF(B203="","",IFERROR(VLOOKUP(B203,EmpTable,2,FALSE),""))</f>
        <v/>
      </c>
      <c r="H203" s="14" t="str">
        <f>IF(OR(F203="",G203=""),"",F203*G203)</f>
        <v/>
      </c>
      <c r="I203" s="10" t="n"/>
    </row>
    <row r="204">
      <c r="A204" s="9" t="n"/>
      <c r="B204" s="10" t="n"/>
      <c r="C204" s="11" t="n"/>
      <c r="D204" s="11" t="n"/>
      <c r="E204" s="12" t="n"/>
      <c r="F204" s="13" t="str">
        <f>IF(OR(C204="",D204=""),"",ROUND(MOD(D204-C204,1)*24-N(E204)/60,2))</f>
        <v/>
      </c>
      <c r="G204" s="14" t="str">
        <f>IF(B204="","",IFERROR(VLOOKUP(B204,EmpTable,2,FALSE),""))</f>
        <v/>
      </c>
      <c r="H204" s="14" t="str">
        <f>IF(OR(F204="",G204=""),"",F204*G204)</f>
        <v/>
      </c>
      <c r="I204" s="10" t="n"/>
    </row>
    <row r="205">
      <c r="A205" s="9" t="n"/>
      <c r="B205" s="10" t="n"/>
      <c r="C205" s="11" t="n"/>
      <c r="D205" s="11" t="n"/>
      <c r="E205" s="12" t="n"/>
      <c r="F205" s="13" t="str">
        <f>IF(OR(C205="",D205=""),"",ROUND(MOD(D205-C205,1)*24-N(E205)/60,2))</f>
        <v/>
      </c>
      <c r="G205" s="14" t="str">
        <f>IF(B205="","",IFERROR(VLOOKUP(B205,EmpTable,2,FALSE),""))</f>
        <v/>
      </c>
      <c r="H205" s="14" t="str">
        <f>IF(OR(F205="",G205=""),"",F205*G205)</f>
        <v/>
      </c>
      <c r="I205" s="10" t="n"/>
    </row>
    <row r="206">
      <c r="A206" s="9" t="n"/>
      <c r="B206" s="10" t="n"/>
      <c r="C206" s="11" t="n"/>
      <c r="D206" s="11" t="n"/>
      <c r="E206" s="12" t="n"/>
      <c r="F206" s="13" t="str">
        <f>IF(OR(C206="",D206=""),"",ROUND(MOD(D206-C206,1)*24-N(E206)/60,2))</f>
        <v/>
      </c>
      <c r="G206" s="14" t="str">
        <f>IF(B206="","",IFERROR(VLOOKUP(B206,EmpTable,2,FALSE),""))</f>
        <v/>
      </c>
      <c r="H206" s="14" t="str">
        <f>IF(OR(F206="",G206=""),"",F206*G206)</f>
        <v/>
      </c>
      <c r="I206" s="10" t="n"/>
    </row>
    <row r="207">
      <c r="A207" s="9" t="n"/>
      <c r="B207" s="10" t="n"/>
      <c r="C207" s="11" t="n"/>
      <c r="D207" s="11" t="n"/>
      <c r="E207" s="12" t="n"/>
      <c r="F207" s="13" t="str">
        <f>IF(OR(C207="",D207=""),"",ROUND(MOD(D207-C207,1)*24-N(E207)/60,2))</f>
        <v/>
      </c>
      <c r="G207" s="14" t="str">
        <f>IF(B207="","",IFERROR(VLOOKUP(B207,EmpTable,2,FALSE),""))</f>
        <v/>
      </c>
      <c r="H207" s="14" t="str">
        <f>IF(OR(F207="",G207=""),"",F207*G207)</f>
        <v/>
      </c>
      <c r="I207" s="10" t="n"/>
    </row>
    <row r="208">
      <c r="A208" s="9" t="n"/>
      <c r="B208" s="10" t="n"/>
      <c r="C208" s="11" t="n"/>
      <c r="D208" s="11" t="n"/>
      <c r="E208" s="12" t="n"/>
      <c r="F208" s="13" t="str">
        <f>IF(OR(C208="",D208=""),"",ROUND(MOD(D208-C208,1)*24-N(E208)/60,2))</f>
        <v/>
      </c>
      <c r="G208" s="14" t="str">
        <f>IF(B208="","",IFERROR(VLOOKUP(B208,EmpTable,2,FALSE),""))</f>
        <v/>
      </c>
      <c r="H208" s="14" t="str">
        <f>IF(OR(F208="",G208=""),"",F208*G208)</f>
        <v/>
      </c>
      <c r="I208" s="10" t="n"/>
    </row>
    <row r="209">
      <c r="A209" s="9" t="n"/>
      <c r="B209" s="10" t="n"/>
      <c r="C209" s="11" t="n"/>
      <c r="D209" s="11" t="n"/>
      <c r="E209" s="12" t="n"/>
      <c r="F209" s="13" t="str">
        <f>IF(OR(C209="",D209=""),"",ROUND(MOD(D209-C209,1)*24-N(E209)/60,2))</f>
        <v/>
      </c>
      <c r="G209" s="14" t="str">
        <f>IF(B209="","",IFERROR(VLOOKUP(B209,EmpTable,2,FALSE),""))</f>
        <v/>
      </c>
      <c r="H209" s="14" t="str">
        <f>IF(OR(F209="",G209=""),"",F209*G209)</f>
        <v/>
      </c>
      <c r="I209" s="10" t="n"/>
    </row>
    <row r="210">
      <c r="A210" s="9" t="n"/>
      <c r="B210" s="10" t="n"/>
      <c r="C210" s="11" t="n"/>
      <c r="D210" s="11" t="n"/>
      <c r="E210" s="12" t="n"/>
      <c r="F210" s="13" t="str">
        <f>IF(OR(C210="",D210=""),"",ROUND(MOD(D210-C210,1)*24-N(E210)/60,2))</f>
        <v/>
      </c>
      <c r="G210" s="14" t="str">
        <f>IF(B210="","",IFERROR(VLOOKUP(B210,EmpTable,2,FALSE),""))</f>
        <v/>
      </c>
      <c r="H210" s="14" t="str">
        <f>IF(OR(F210="",G210=""),"",F210*G210)</f>
        <v/>
      </c>
      <c r="I210" s="10" t="n"/>
    </row>
    <row r="211">
      <c r="A211" s="9" t="n"/>
      <c r="B211" s="10" t="n"/>
      <c r="C211" s="11" t="n"/>
      <c r="D211" s="11" t="n"/>
      <c r="E211" s="12" t="n"/>
      <c r="F211" s="13" t="str">
        <f>IF(OR(C211="",D211=""),"",ROUND(MOD(D211-C211,1)*24-N(E211)/60,2))</f>
        <v/>
      </c>
      <c r="G211" s="14" t="str">
        <f>IF(B211="","",IFERROR(VLOOKUP(B211,EmpTable,2,FALSE),""))</f>
        <v/>
      </c>
      <c r="H211" s="14" t="str">
        <f>IF(OR(F211="",G211=""),"",F211*G211)</f>
        <v/>
      </c>
      <c r="I211" s="10" t="n"/>
    </row>
    <row r="212">
      <c r="A212" s="9" t="n"/>
      <c r="B212" s="10" t="n"/>
      <c r="C212" s="11" t="n"/>
      <c r="D212" s="11" t="n"/>
      <c r="E212" s="12" t="n"/>
      <c r="F212" s="13" t="str">
        <f>IF(OR(C212="",D212=""),"",ROUND(MOD(D212-C212,1)*24-N(E212)/60,2))</f>
        <v/>
      </c>
      <c r="G212" s="14" t="str">
        <f>IF(B212="","",IFERROR(VLOOKUP(B212,EmpTable,2,FALSE),""))</f>
        <v/>
      </c>
      <c r="H212" s="14" t="str">
        <f>IF(OR(F212="",G212=""),"",F212*G212)</f>
        <v/>
      </c>
      <c r="I212" s="10" t="n"/>
    </row>
    <row r="213">
      <c r="A213" s="9" t="n"/>
      <c r="B213" s="10" t="n"/>
      <c r="C213" s="11" t="n"/>
      <c r="D213" s="11" t="n"/>
      <c r="E213" s="12" t="n"/>
      <c r="F213" s="13" t="str">
        <f>IF(OR(C213="",D213=""),"",ROUND(MOD(D213-C213,1)*24-N(E213)/60,2))</f>
        <v/>
      </c>
      <c r="G213" s="14" t="str">
        <f>IF(B213="","",IFERROR(VLOOKUP(B213,EmpTable,2,FALSE),""))</f>
        <v/>
      </c>
      <c r="H213" s="14" t="str">
        <f>IF(OR(F213="",G213=""),"",F213*G213)</f>
        <v/>
      </c>
      <c r="I213" s="10" t="n"/>
    </row>
    <row r="214">
      <c r="A214" s="9" t="n"/>
      <c r="B214" s="10" t="n"/>
      <c r="C214" s="11" t="n"/>
      <c r="D214" s="11" t="n"/>
      <c r="E214" s="12" t="n"/>
      <c r="F214" s="13" t="str">
        <f>IF(OR(C214="",D214=""),"",ROUND(MOD(D214-C214,1)*24-N(E214)/60,2))</f>
        <v/>
      </c>
      <c r="G214" s="14" t="str">
        <f>IF(B214="","",IFERROR(VLOOKUP(B214,EmpTable,2,FALSE),""))</f>
        <v/>
      </c>
      <c r="H214" s="14" t="str">
        <f>IF(OR(F214="",G214=""),"",F214*G214)</f>
        <v/>
      </c>
      <c r="I214" s="10" t="n"/>
    </row>
    <row r="215">
      <c r="A215" s="9" t="n"/>
      <c r="B215" s="10" t="n"/>
      <c r="C215" s="11" t="n"/>
      <c r="D215" s="11" t="n"/>
      <c r="E215" s="12" t="n"/>
      <c r="F215" s="13" t="str">
        <f>IF(OR(C215="",D215=""),"",ROUND(MOD(D215-C215,1)*24-N(E215)/60,2))</f>
        <v/>
      </c>
      <c r="G215" s="14" t="str">
        <f>IF(B215="","",IFERROR(VLOOKUP(B215,EmpTable,2,FALSE),""))</f>
        <v/>
      </c>
      <c r="H215" s="14" t="str">
        <f>IF(OR(F215="",G215=""),"",F215*G215)</f>
        <v/>
      </c>
      <c r="I215" s="10" t="n"/>
    </row>
    <row r="216">
      <c r="A216" s="9" t="n"/>
      <c r="B216" s="10" t="n"/>
      <c r="C216" s="11" t="n"/>
      <c r="D216" s="11" t="n"/>
      <c r="E216" s="12" t="n"/>
      <c r="F216" s="13" t="str">
        <f>IF(OR(C216="",D216=""),"",ROUND(MOD(D216-C216,1)*24-N(E216)/60,2))</f>
        <v/>
      </c>
      <c r="G216" s="14" t="str">
        <f>IF(B216="","",IFERROR(VLOOKUP(B216,EmpTable,2,FALSE),""))</f>
        <v/>
      </c>
      <c r="H216" s="14" t="str">
        <f>IF(OR(F216="",G216=""),"",F216*G216)</f>
        <v/>
      </c>
      <c r="I216" s="10" t="n"/>
    </row>
    <row r="217">
      <c r="A217" s="9" t="n"/>
      <c r="B217" s="10" t="n"/>
      <c r="C217" s="11" t="n"/>
      <c r="D217" s="11" t="n"/>
      <c r="E217" s="12" t="n"/>
      <c r="F217" s="13" t="str">
        <f>IF(OR(C217="",D217=""),"",ROUND(MOD(D217-C217,1)*24-N(E217)/60,2))</f>
        <v/>
      </c>
      <c r="G217" s="14" t="str">
        <f>IF(B217="","",IFERROR(VLOOKUP(B217,EmpTable,2,FALSE),""))</f>
        <v/>
      </c>
      <c r="H217" s="14" t="str">
        <f>IF(OR(F217="",G217=""),"",F217*G217)</f>
        <v/>
      </c>
      <c r="I217" s="10" t="n"/>
    </row>
    <row r="218">
      <c r="A218" s="9" t="n"/>
      <c r="B218" s="10" t="n"/>
      <c r="C218" s="11" t="n"/>
      <c r="D218" s="11" t="n"/>
      <c r="E218" s="12" t="n"/>
      <c r="F218" s="13" t="str">
        <f>IF(OR(C218="",D218=""),"",ROUND(MOD(D218-C218,1)*24-N(E218)/60,2))</f>
        <v/>
      </c>
      <c r="G218" s="14" t="str">
        <f>IF(B218="","",IFERROR(VLOOKUP(B218,EmpTable,2,FALSE),""))</f>
        <v/>
      </c>
      <c r="H218" s="14" t="str">
        <f>IF(OR(F218="",G218=""),"",F218*G218)</f>
        <v/>
      </c>
      <c r="I218" s="10" t="n"/>
    </row>
    <row r="219">
      <c r="A219" s="9" t="n"/>
      <c r="B219" s="10" t="n"/>
      <c r="C219" s="11" t="n"/>
      <c r="D219" s="11" t="n"/>
      <c r="E219" s="12" t="n"/>
      <c r="F219" s="13" t="str">
        <f>IF(OR(C219="",D219=""),"",ROUND(MOD(D219-C219,1)*24-N(E219)/60,2))</f>
        <v/>
      </c>
      <c r="G219" s="14" t="str">
        <f>IF(B219="","",IFERROR(VLOOKUP(B219,EmpTable,2,FALSE),""))</f>
        <v/>
      </c>
      <c r="H219" s="14" t="str">
        <f>IF(OR(F219="",G219=""),"",F219*G219)</f>
        <v/>
      </c>
      <c r="I219" s="10" t="n"/>
    </row>
    <row r="220">
      <c r="A220" s="9" t="n"/>
      <c r="B220" s="10" t="n"/>
      <c r="C220" s="11" t="n"/>
      <c r="D220" s="11" t="n"/>
      <c r="E220" s="12" t="n"/>
      <c r="F220" s="13" t="str">
        <f>IF(OR(C220="",D220=""),"",ROUND(MOD(D220-C220,1)*24-N(E220)/60,2))</f>
        <v/>
      </c>
      <c r="G220" s="14" t="str">
        <f>IF(B220="","",IFERROR(VLOOKUP(B220,EmpTable,2,FALSE),""))</f>
        <v/>
      </c>
      <c r="H220" s="14" t="str">
        <f>IF(OR(F220="",G220=""),"",F220*G220)</f>
        <v/>
      </c>
      <c r="I220" s="10" t="n"/>
    </row>
    <row r="221">
      <c r="A221" s="9" t="n"/>
      <c r="B221" s="10" t="n"/>
      <c r="C221" s="11" t="n"/>
      <c r="D221" s="11" t="n"/>
      <c r="E221" s="12" t="n"/>
      <c r="F221" s="13" t="str">
        <f>IF(OR(C221="",D221=""),"",ROUND(MOD(D221-C221,1)*24-N(E221)/60,2))</f>
        <v/>
      </c>
      <c r="G221" s="14" t="str">
        <f>IF(B221="","",IFERROR(VLOOKUP(B221,EmpTable,2,FALSE),""))</f>
        <v/>
      </c>
      <c r="H221" s="14" t="str">
        <f>IF(OR(F221="",G221=""),"",F221*G221)</f>
        <v/>
      </c>
      <c r="I221" s="10" t="n"/>
    </row>
    <row r="222">
      <c r="A222" s="9" t="n"/>
      <c r="B222" s="10" t="n"/>
      <c r="C222" s="11" t="n"/>
      <c r="D222" s="11" t="n"/>
      <c r="E222" s="12" t="n"/>
      <c r="F222" s="13" t="str">
        <f>IF(OR(C222="",D222=""),"",ROUND(MOD(D222-C222,1)*24-N(E222)/60,2))</f>
        <v/>
      </c>
      <c r="G222" s="14" t="str">
        <f>IF(B222="","",IFERROR(VLOOKUP(B222,EmpTable,2,FALSE),""))</f>
        <v/>
      </c>
      <c r="H222" s="14" t="str">
        <f>IF(OR(F222="",G222=""),"",F222*G222)</f>
        <v/>
      </c>
      <c r="I222" s="10" t="n"/>
    </row>
    <row r="223">
      <c r="A223" s="9" t="n"/>
      <c r="B223" s="10" t="n"/>
      <c r="C223" s="11" t="n"/>
      <c r="D223" s="11" t="n"/>
      <c r="E223" s="12" t="n"/>
      <c r="F223" s="13" t="str">
        <f>IF(OR(C223="",D223=""),"",ROUND(MOD(D223-C223,1)*24-N(E223)/60,2))</f>
        <v/>
      </c>
      <c r="G223" s="14" t="str">
        <f>IF(B223="","",IFERROR(VLOOKUP(B223,EmpTable,2,FALSE),""))</f>
        <v/>
      </c>
      <c r="H223" s="14" t="str">
        <f>IF(OR(F223="",G223=""),"",F223*G223)</f>
        <v/>
      </c>
      <c r="I223" s="10" t="n"/>
    </row>
    <row r="224">
      <c r="A224" s="9" t="n"/>
      <c r="B224" s="10" t="n"/>
      <c r="C224" s="11" t="n"/>
      <c r="D224" s="11" t="n"/>
      <c r="E224" s="12" t="n"/>
      <c r="F224" s="13" t="str">
        <f>IF(OR(C224="",D224=""),"",ROUND(MOD(D224-C224,1)*24-N(E224)/60,2))</f>
        <v/>
      </c>
      <c r="G224" s="14" t="str">
        <f>IF(B224="","",IFERROR(VLOOKUP(B224,EmpTable,2,FALSE),""))</f>
        <v/>
      </c>
      <c r="H224" s="14" t="str">
        <f>IF(OR(F224="",G224=""),"",F224*G224)</f>
        <v/>
      </c>
      <c r="I224" s="10" t="n"/>
    </row>
    <row r="225">
      <c r="A225" s="9" t="n"/>
      <c r="B225" s="10" t="n"/>
      <c r="C225" s="11" t="n"/>
      <c r="D225" s="11" t="n"/>
      <c r="E225" s="12" t="n"/>
      <c r="F225" s="13" t="str">
        <f>IF(OR(C225="",D225=""),"",ROUND(MOD(D225-C225,1)*24-N(E225)/60,2))</f>
        <v/>
      </c>
      <c r="G225" s="14" t="str">
        <f>IF(B225="","",IFERROR(VLOOKUP(B225,EmpTable,2,FALSE),""))</f>
        <v/>
      </c>
      <c r="H225" s="14" t="str">
        <f>IF(OR(F225="",G225=""),"",F225*G225)</f>
        <v/>
      </c>
      <c r="I225" s="10" t="n"/>
    </row>
    <row r="226">
      <c r="A226" s="9" t="n"/>
      <c r="B226" s="10" t="n"/>
      <c r="C226" s="11" t="n"/>
      <c r="D226" s="11" t="n"/>
      <c r="E226" s="12" t="n"/>
      <c r="F226" s="13" t="str">
        <f>IF(OR(C226="",D226=""),"",ROUND(MOD(D226-C226,1)*24-N(E226)/60,2))</f>
        <v/>
      </c>
      <c r="G226" s="14" t="str">
        <f>IF(B226="","",IFERROR(VLOOKUP(B226,EmpTable,2,FALSE),""))</f>
        <v/>
      </c>
      <c r="H226" s="14" t="str">
        <f>IF(OR(F226="",G226=""),"",F226*G226)</f>
        <v/>
      </c>
      <c r="I226" s="10" t="n"/>
    </row>
    <row r="227">
      <c r="A227" s="9" t="n"/>
      <c r="B227" s="10" t="n"/>
      <c r="C227" s="11" t="n"/>
      <c r="D227" s="11" t="n"/>
      <c r="E227" s="12" t="n"/>
      <c r="F227" s="13" t="str">
        <f>IF(OR(C227="",D227=""),"",ROUND(MOD(D227-C227,1)*24-N(E227)/60,2))</f>
        <v/>
      </c>
      <c r="G227" s="14" t="str">
        <f>IF(B227="","",IFERROR(VLOOKUP(B227,EmpTable,2,FALSE),""))</f>
        <v/>
      </c>
      <c r="H227" s="14" t="str">
        <f>IF(OR(F227="",G227=""),"",F227*G227)</f>
        <v/>
      </c>
      <c r="I227" s="10" t="n"/>
    </row>
    <row r="228">
      <c r="A228" s="9" t="n"/>
      <c r="B228" s="10" t="n"/>
      <c r="C228" s="11" t="n"/>
      <c r="D228" s="11" t="n"/>
      <c r="E228" s="12" t="n"/>
      <c r="F228" s="13" t="str">
        <f>IF(OR(C228="",D228=""),"",ROUND(MOD(D228-C228,1)*24-N(E228)/60,2))</f>
        <v/>
      </c>
      <c r="G228" s="14" t="str">
        <f>IF(B228="","",IFERROR(VLOOKUP(B228,EmpTable,2,FALSE),""))</f>
        <v/>
      </c>
      <c r="H228" s="14" t="str">
        <f>IF(OR(F228="",G228=""),"",F228*G228)</f>
        <v/>
      </c>
      <c r="I228" s="10" t="n"/>
    </row>
    <row r="229">
      <c r="A229" s="9" t="n"/>
      <c r="B229" s="10" t="n"/>
      <c r="C229" s="11" t="n"/>
      <c r="D229" s="11" t="n"/>
      <c r="E229" s="12" t="n"/>
      <c r="F229" s="13" t="str">
        <f>IF(OR(C229="",D229=""),"",ROUND(MOD(D229-C229,1)*24-N(E229)/60,2))</f>
        <v/>
      </c>
      <c r="G229" s="14" t="str">
        <f>IF(B229="","",IFERROR(VLOOKUP(B229,EmpTable,2,FALSE),""))</f>
        <v/>
      </c>
      <c r="H229" s="14" t="str">
        <f>IF(OR(F229="",G229=""),"",F229*G229)</f>
        <v/>
      </c>
      <c r="I229" s="10" t="n"/>
    </row>
    <row r="230">
      <c r="A230" s="9" t="n"/>
      <c r="B230" s="10" t="n"/>
      <c r="C230" s="11" t="n"/>
      <c r="D230" s="11" t="n"/>
      <c r="E230" s="12" t="n"/>
      <c r="F230" s="13" t="str">
        <f>IF(OR(C230="",D230=""),"",ROUND(MOD(D230-C230,1)*24-N(E230)/60,2))</f>
        <v/>
      </c>
      <c r="G230" s="14" t="str">
        <f>IF(B230="","",IFERROR(VLOOKUP(B230,EmpTable,2,FALSE),""))</f>
        <v/>
      </c>
      <c r="H230" s="14" t="str">
        <f>IF(OR(F230="",G230=""),"",F230*G230)</f>
        <v/>
      </c>
      <c r="I230" s="10" t="n"/>
    </row>
    <row r="231">
      <c r="A231" s="9" t="n"/>
      <c r="B231" s="10" t="n"/>
      <c r="C231" s="11" t="n"/>
      <c r="D231" s="11" t="n"/>
      <c r="E231" s="12" t="n"/>
      <c r="F231" s="13" t="str">
        <f>IF(OR(C231="",D231=""),"",ROUND(MOD(D231-C231,1)*24-N(E231)/60,2))</f>
        <v/>
      </c>
      <c r="G231" s="14" t="str">
        <f>IF(B231="","",IFERROR(VLOOKUP(B231,EmpTable,2,FALSE),""))</f>
        <v/>
      </c>
      <c r="H231" s="14" t="str">
        <f>IF(OR(F231="",G231=""),"",F231*G231)</f>
        <v/>
      </c>
      <c r="I231" s="10" t="n"/>
    </row>
    <row r="232">
      <c r="A232" s="9" t="n"/>
      <c r="B232" s="10" t="n"/>
      <c r="C232" s="11" t="n"/>
      <c r="D232" s="11" t="n"/>
      <c r="E232" s="12" t="n"/>
      <c r="F232" s="13" t="str">
        <f>IF(OR(C232="",D232=""),"",ROUND(MOD(D232-C232,1)*24-N(E232)/60,2))</f>
        <v/>
      </c>
      <c r="G232" s="14" t="str">
        <f>IF(B232="","",IFERROR(VLOOKUP(B232,EmpTable,2,FALSE),""))</f>
        <v/>
      </c>
      <c r="H232" s="14" t="str">
        <f>IF(OR(F232="",G232=""),"",F232*G232)</f>
        <v/>
      </c>
      <c r="I232" s="10" t="n"/>
    </row>
    <row r="233">
      <c r="A233" s="9" t="n"/>
      <c r="B233" s="10" t="n"/>
      <c r="C233" s="11" t="n"/>
      <c r="D233" s="11" t="n"/>
      <c r="E233" s="12" t="n"/>
      <c r="F233" s="13" t="str">
        <f>IF(OR(C233="",D233=""),"",ROUND(MOD(D233-C233,1)*24-N(E233)/60,2))</f>
        <v/>
      </c>
      <c r="G233" s="14" t="str">
        <f>IF(B233="","",IFERROR(VLOOKUP(B233,EmpTable,2,FALSE),""))</f>
        <v/>
      </c>
      <c r="H233" s="14" t="str">
        <f>IF(OR(F233="",G233=""),"",F233*G233)</f>
        <v/>
      </c>
      <c r="I233" s="10" t="n"/>
    </row>
    <row r="234">
      <c r="A234" s="9" t="n"/>
      <c r="B234" s="10" t="n"/>
      <c r="C234" s="11" t="n"/>
      <c r="D234" s="11" t="n"/>
      <c r="E234" s="12" t="n"/>
      <c r="F234" s="13" t="str">
        <f>IF(OR(C234="",D234=""),"",ROUND(MOD(D234-C234,1)*24-N(E234)/60,2))</f>
        <v/>
      </c>
      <c r="G234" s="14" t="str">
        <f>IF(B234="","",IFERROR(VLOOKUP(B234,EmpTable,2,FALSE),""))</f>
        <v/>
      </c>
      <c r="H234" s="14" t="str">
        <f>IF(OR(F234="",G234=""),"",F234*G234)</f>
        <v/>
      </c>
      <c r="I234" s="10" t="n"/>
    </row>
    <row r="235">
      <c r="A235" s="9" t="n"/>
      <c r="B235" s="10" t="n"/>
      <c r="C235" s="11" t="n"/>
      <c r="D235" s="11" t="n"/>
      <c r="E235" s="12" t="n"/>
      <c r="F235" s="13" t="str">
        <f>IF(OR(C235="",D235=""),"",ROUND(MOD(D235-C235,1)*24-N(E235)/60,2))</f>
        <v/>
      </c>
      <c r="G235" s="14" t="str">
        <f>IF(B235="","",IFERROR(VLOOKUP(B235,EmpTable,2,FALSE),""))</f>
        <v/>
      </c>
      <c r="H235" s="14" t="str">
        <f>IF(OR(F235="",G235=""),"",F235*G235)</f>
        <v/>
      </c>
      <c r="I235" s="10" t="n"/>
    </row>
    <row r="236">
      <c r="A236" s="9" t="n"/>
      <c r="B236" s="10" t="n"/>
      <c r="C236" s="11" t="n"/>
      <c r="D236" s="11" t="n"/>
      <c r="E236" s="12" t="n"/>
      <c r="F236" s="13" t="str">
        <f>IF(OR(C236="",D236=""),"",ROUND(MOD(D236-C236,1)*24-N(E236)/60,2))</f>
        <v/>
      </c>
      <c r="G236" s="14" t="str">
        <f>IF(B236="","",IFERROR(VLOOKUP(B236,EmpTable,2,FALSE),""))</f>
        <v/>
      </c>
      <c r="H236" s="14" t="str">
        <f>IF(OR(F236="",G236=""),"",F236*G236)</f>
        <v/>
      </c>
      <c r="I236" s="10" t="n"/>
    </row>
    <row r="237">
      <c r="A237" s="9" t="n"/>
      <c r="B237" s="10" t="n"/>
      <c r="C237" s="11" t="n"/>
      <c r="D237" s="11" t="n"/>
      <c r="E237" s="12" t="n"/>
      <c r="F237" s="13" t="str">
        <f>IF(OR(C237="",D237=""),"",ROUND(MOD(D237-C237,1)*24-N(E237)/60,2))</f>
        <v/>
      </c>
      <c r="G237" s="14" t="str">
        <f>IF(B237="","",IFERROR(VLOOKUP(B237,EmpTable,2,FALSE),""))</f>
        <v/>
      </c>
      <c r="H237" s="14" t="str">
        <f>IF(OR(F237="",G237=""),"",F237*G237)</f>
        <v/>
      </c>
      <c r="I237" s="10" t="n"/>
    </row>
    <row r="238">
      <c r="A238" s="9" t="n"/>
      <c r="B238" s="10" t="n"/>
      <c r="C238" s="11" t="n"/>
      <c r="D238" s="11" t="n"/>
      <c r="E238" s="12" t="n"/>
      <c r="F238" s="13" t="str">
        <f>IF(OR(C238="",D238=""),"",ROUND(MOD(D238-C238,1)*24-N(E238)/60,2))</f>
        <v/>
      </c>
      <c r="G238" s="14" t="str">
        <f>IF(B238="","",IFERROR(VLOOKUP(B238,EmpTable,2,FALSE),""))</f>
        <v/>
      </c>
      <c r="H238" s="14" t="str">
        <f>IF(OR(F238="",G238=""),"",F238*G238)</f>
        <v/>
      </c>
      <c r="I238" s="10" t="n"/>
    </row>
    <row r="239">
      <c r="A239" s="9" t="n"/>
      <c r="B239" s="10" t="n"/>
      <c r="C239" s="11" t="n"/>
      <c r="D239" s="11" t="n"/>
      <c r="E239" s="12" t="n"/>
      <c r="F239" s="13" t="str">
        <f>IF(OR(C239="",D239=""),"",ROUND(MOD(D239-C239,1)*24-N(E239)/60,2))</f>
        <v/>
      </c>
      <c r="G239" s="14" t="str">
        <f>IF(B239="","",IFERROR(VLOOKUP(B239,EmpTable,2,FALSE),""))</f>
        <v/>
      </c>
      <c r="H239" s="14" t="str">
        <f>IF(OR(F239="",G239=""),"",F239*G239)</f>
        <v/>
      </c>
      <c r="I239" s="10" t="n"/>
    </row>
    <row r="240">
      <c r="A240" s="9" t="n"/>
      <c r="B240" s="10" t="n"/>
      <c r="C240" s="11" t="n"/>
      <c r="D240" s="11" t="n"/>
      <c r="E240" s="12" t="n"/>
      <c r="F240" s="13" t="str">
        <f>IF(OR(C240="",D240=""),"",ROUND(MOD(D240-C240,1)*24-N(E240)/60,2))</f>
        <v/>
      </c>
      <c r="G240" s="14" t="str">
        <f>IF(B240="","",IFERROR(VLOOKUP(B240,EmpTable,2,FALSE),""))</f>
        <v/>
      </c>
      <c r="H240" s="14" t="str">
        <f>IF(OR(F240="",G240=""),"",F240*G240)</f>
        <v/>
      </c>
      <c r="I240" s="10" t="n"/>
    </row>
    <row r="241">
      <c r="A241" s="9" t="n"/>
      <c r="B241" s="10" t="n"/>
      <c r="C241" s="11" t="n"/>
      <c r="D241" s="11" t="n"/>
      <c r="E241" s="12" t="n"/>
      <c r="F241" s="13" t="str">
        <f>IF(OR(C241="",D241=""),"",ROUND(MOD(D241-C241,1)*24-N(E241)/60,2))</f>
        <v/>
      </c>
      <c r="G241" s="14" t="str">
        <f>IF(B241="","",IFERROR(VLOOKUP(B241,EmpTable,2,FALSE),""))</f>
        <v/>
      </c>
      <c r="H241" s="14" t="str">
        <f>IF(OR(F241="",G241=""),"",F241*G241)</f>
        <v/>
      </c>
      <c r="I241" s="10" t="n"/>
    </row>
    <row r="242">
      <c r="A242" s="9" t="n"/>
      <c r="B242" s="10" t="n"/>
      <c r="C242" s="11" t="n"/>
      <c r="D242" s="11" t="n"/>
      <c r="E242" s="12" t="n"/>
      <c r="F242" s="13" t="str">
        <f>IF(OR(C242="",D242=""),"",ROUND(MOD(D242-C242,1)*24-N(E242)/60,2))</f>
        <v/>
      </c>
      <c r="G242" s="14" t="str">
        <f>IF(B242="","",IFERROR(VLOOKUP(B242,EmpTable,2,FALSE),""))</f>
        <v/>
      </c>
      <c r="H242" s="14" t="str">
        <f>IF(OR(F242="",G242=""),"",F242*G242)</f>
        <v/>
      </c>
      <c r="I242" s="10" t="n"/>
    </row>
    <row r="243">
      <c r="A243" s="9" t="n"/>
      <c r="B243" s="10" t="n"/>
      <c r="C243" s="11" t="n"/>
      <c r="D243" s="11" t="n"/>
      <c r="E243" s="12" t="n"/>
      <c r="F243" s="13" t="str">
        <f>IF(OR(C243="",D243=""),"",ROUND(MOD(D243-C243,1)*24-N(E243)/60,2))</f>
        <v/>
      </c>
      <c r="G243" s="14" t="str">
        <f>IF(B243="","",IFERROR(VLOOKUP(B243,EmpTable,2,FALSE),""))</f>
        <v/>
      </c>
      <c r="H243" s="14" t="str">
        <f>IF(OR(F243="",G243=""),"",F243*G243)</f>
        <v/>
      </c>
      <c r="I243" s="10" t="n"/>
    </row>
    <row r="244">
      <c r="A244" s="9" t="n"/>
      <c r="B244" s="10" t="n"/>
      <c r="C244" s="11" t="n"/>
      <c r="D244" s="11" t="n"/>
      <c r="E244" s="12" t="n"/>
      <c r="F244" s="13" t="str">
        <f>IF(OR(C244="",D244=""),"",ROUND(MOD(D244-C244,1)*24-N(E244)/60,2))</f>
        <v/>
      </c>
      <c r="G244" s="14" t="str">
        <f>IF(B244="","",IFERROR(VLOOKUP(B244,EmpTable,2,FALSE),""))</f>
        <v/>
      </c>
      <c r="H244" s="14" t="str">
        <f>IF(OR(F244="",G244=""),"",F244*G244)</f>
        <v/>
      </c>
      <c r="I244" s="10" t="n"/>
    </row>
    <row r="245">
      <c r="A245" s="9" t="n"/>
      <c r="B245" s="10" t="n"/>
      <c r="C245" s="11" t="n"/>
      <c r="D245" s="11" t="n"/>
      <c r="E245" s="12" t="n"/>
      <c r="F245" s="13" t="str">
        <f>IF(OR(C245="",D245=""),"",ROUND(MOD(D245-C245,1)*24-N(E245)/60,2))</f>
        <v/>
      </c>
      <c r="G245" s="14" t="str">
        <f>IF(B245="","",IFERROR(VLOOKUP(B245,EmpTable,2,FALSE),""))</f>
        <v/>
      </c>
      <c r="H245" s="14" t="str">
        <f>IF(OR(F245="",G245=""),"",F245*G245)</f>
        <v/>
      </c>
      <c r="I245" s="10" t="n"/>
    </row>
    <row r="246">
      <c r="A246" s="9" t="n"/>
      <c r="B246" s="10" t="n"/>
      <c r="C246" s="11" t="n"/>
      <c r="D246" s="11" t="n"/>
      <c r="E246" s="12" t="n"/>
      <c r="F246" s="13" t="str">
        <f>IF(OR(C246="",D246=""),"",ROUND(MOD(D246-C246,1)*24-N(E246)/60,2))</f>
        <v/>
      </c>
      <c r="G246" s="14" t="str">
        <f>IF(B246="","",IFERROR(VLOOKUP(B246,EmpTable,2,FALSE),""))</f>
        <v/>
      </c>
      <c r="H246" s="14" t="str">
        <f>IF(OR(F246="",G246=""),"",F246*G246)</f>
        <v/>
      </c>
      <c r="I246" s="10" t="n"/>
    </row>
    <row r="247">
      <c r="A247" s="9" t="n"/>
      <c r="B247" s="10" t="n"/>
      <c r="C247" s="11" t="n"/>
      <c r="D247" s="11" t="n"/>
      <c r="E247" s="12" t="n"/>
      <c r="F247" s="13" t="str">
        <f>IF(OR(C247="",D247=""),"",ROUND(MOD(D247-C247,1)*24-N(E247)/60,2))</f>
        <v/>
      </c>
      <c r="G247" s="14" t="str">
        <f>IF(B247="","",IFERROR(VLOOKUP(B247,EmpTable,2,FALSE),""))</f>
        <v/>
      </c>
      <c r="H247" s="14" t="str">
        <f>IF(OR(F247="",G247=""),"",F247*G247)</f>
        <v/>
      </c>
      <c r="I247" s="10" t="n"/>
    </row>
    <row r="248">
      <c r="A248" s="9" t="n"/>
      <c r="B248" s="10" t="n"/>
      <c r="C248" s="11" t="n"/>
      <c r="D248" s="11" t="n"/>
      <c r="E248" s="12" t="n"/>
      <c r="F248" s="13" t="str">
        <f>IF(OR(C248="",D248=""),"",ROUND(MOD(D248-C248,1)*24-N(E248)/60,2))</f>
        <v/>
      </c>
      <c r="G248" s="14" t="str">
        <f>IF(B248="","",IFERROR(VLOOKUP(B248,EmpTable,2,FALSE),""))</f>
        <v/>
      </c>
      <c r="H248" s="14" t="str">
        <f>IF(OR(F248="",G248=""),"",F248*G248)</f>
        <v/>
      </c>
      <c r="I248" s="10" t="n"/>
    </row>
    <row r="249">
      <c r="A249" s="9" t="n"/>
      <c r="B249" s="10" t="n"/>
      <c r="C249" s="11" t="n"/>
      <c r="D249" s="11" t="n"/>
      <c r="E249" s="12" t="n"/>
      <c r="F249" s="13" t="str">
        <f>IF(OR(C249="",D249=""),"",ROUND(MOD(D249-C249,1)*24-N(E249)/60,2))</f>
        <v/>
      </c>
      <c r="G249" s="14" t="str">
        <f>IF(B249="","",IFERROR(VLOOKUP(B249,EmpTable,2,FALSE),""))</f>
        <v/>
      </c>
      <c r="H249" s="14" t="str">
        <f>IF(OR(F249="",G249=""),"",F249*G249)</f>
        <v/>
      </c>
      <c r="I249" s="10" t="n"/>
    </row>
    <row r="250">
      <c r="A250" s="9" t="n"/>
      <c r="B250" s="10" t="n"/>
      <c r="C250" s="11" t="n"/>
      <c r="D250" s="11" t="n"/>
      <c r="E250" s="12" t="n"/>
      <c r="F250" s="13" t="str">
        <f>IF(OR(C250="",D250=""),"",ROUND(MOD(D250-C250,1)*24-N(E250)/60,2))</f>
        <v/>
      </c>
      <c r="G250" s="14" t="str">
        <f>IF(B250="","",IFERROR(VLOOKUP(B250,EmpTable,2,FALSE),""))</f>
        <v/>
      </c>
      <c r="H250" s="14" t="str">
        <f>IF(OR(F250="",G250=""),"",F250*G250)</f>
        <v/>
      </c>
      <c r="I250" s="10" t="n"/>
    </row>
    <row r="251">
      <c r="A251" s="9" t="n"/>
      <c r="B251" s="10" t="n"/>
      <c r="C251" s="11" t="n"/>
      <c r="D251" s="11" t="n"/>
      <c r="E251" s="12" t="n"/>
      <c r="F251" s="13" t="str">
        <f>IF(OR(C251="",D251=""),"",ROUND(MOD(D251-C251,1)*24-N(E251)/60,2))</f>
        <v/>
      </c>
      <c r="G251" s="14" t="str">
        <f>IF(B251="","",IFERROR(VLOOKUP(B251,EmpTable,2,FALSE),""))</f>
        <v/>
      </c>
      <c r="H251" s="14" t="str">
        <f>IF(OR(F251="",G251=""),"",F251*G251)</f>
        <v/>
      </c>
      <c r="I251" s="10" t="n"/>
    </row>
    <row r="252">
      <c r="A252" s="9" t="n"/>
      <c r="B252" s="10" t="n"/>
      <c r="C252" s="11" t="n"/>
      <c r="D252" s="11" t="n"/>
      <c r="E252" s="12" t="n"/>
      <c r="F252" s="13" t="str">
        <f>IF(OR(C252="",D252=""),"",ROUND(MOD(D252-C252,1)*24-N(E252)/60,2))</f>
        <v/>
      </c>
      <c r="G252" s="14" t="str">
        <f>IF(B252="","",IFERROR(VLOOKUP(B252,EmpTable,2,FALSE),""))</f>
        <v/>
      </c>
      <c r="H252" s="14" t="str">
        <f>IF(OR(F252="",G252=""),"",F252*G252)</f>
        <v/>
      </c>
      <c r="I252" s="10" t="n"/>
    </row>
    <row r="253">
      <c r="A253" s="9" t="n"/>
      <c r="B253" s="10" t="n"/>
      <c r="C253" s="11" t="n"/>
      <c r="D253" s="11" t="n"/>
      <c r="E253" s="12" t="n"/>
      <c r="F253" s="13" t="str">
        <f>IF(OR(C253="",D253=""),"",ROUND(MOD(D253-C253,1)*24-N(E253)/60,2))</f>
        <v/>
      </c>
      <c r="G253" s="14" t="str">
        <f>IF(B253="","",IFERROR(VLOOKUP(B253,EmpTable,2,FALSE),""))</f>
        <v/>
      </c>
      <c r="H253" s="14" t="str">
        <f>IF(OR(F253="",G253=""),"",F253*G253)</f>
        <v/>
      </c>
      <c r="I253" s="10" t="n"/>
    </row>
    <row r="254">
      <c r="A254" s="9" t="n"/>
      <c r="B254" s="10" t="n"/>
      <c r="C254" s="11" t="n"/>
      <c r="D254" s="11" t="n"/>
      <c r="E254" s="12" t="n"/>
      <c r="F254" s="13" t="str">
        <f>IF(OR(C254="",D254=""),"",ROUND(MOD(D254-C254,1)*24-N(E254)/60,2))</f>
        <v/>
      </c>
      <c r="G254" s="14" t="str">
        <f>IF(B254="","",IFERROR(VLOOKUP(B254,EmpTable,2,FALSE),""))</f>
        <v/>
      </c>
      <c r="H254" s="14" t="str">
        <f>IF(OR(F254="",G254=""),"",F254*G254)</f>
        <v/>
      </c>
      <c r="I254" s="10" t="n"/>
    </row>
    <row r="255">
      <c r="A255" s="9" t="n"/>
      <c r="B255" s="10" t="n"/>
      <c r="C255" s="11" t="n"/>
      <c r="D255" s="11" t="n"/>
      <c r="E255" s="12" t="n"/>
      <c r="F255" s="13" t="str">
        <f>IF(OR(C255="",D255=""),"",ROUND(MOD(D255-C255,1)*24-N(E255)/60,2))</f>
        <v/>
      </c>
      <c r="G255" s="14" t="str">
        <f>IF(B255="","",IFERROR(VLOOKUP(B255,EmpTable,2,FALSE),""))</f>
        <v/>
      </c>
      <c r="H255" s="14" t="str">
        <f>IF(OR(F255="",G255=""),"",F255*G255)</f>
        <v/>
      </c>
      <c r="I255" s="10" t="n"/>
    </row>
    <row r="256">
      <c r="A256" s="9" t="n"/>
      <c r="B256" s="10" t="n"/>
      <c r="C256" s="11" t="n"/>
      <c r="D256" s="11" t="n"/>
      <c r="E256" s="12" t="n"/>
      <c r="F256" s="13" t="str">
        <f>IF(OR(C256="",D256=""),"",ROUND(MOD(D256-C256,1)*24-N(E256)/60,2))</f>
        <v/>
      </c>
      <c r="G256" s="14" t="str">
        <f>IF(B256="","",IFERROR(VLOOKUP(B256,EmpTable,2,FALSE),""))</f>
        <v/>
      </c>
      <c r="H256" s="14" t="str">
        <f>IF(OR(F256="",G256=""),"",F256*G256)</f>
        <v/>
      </c>
      <c r="I256" s="10" t="n"/>
    </row>
    <row r="257">
      <c r="A257" s="9" t="n"/>
      <c r="B257" s="10" t="n"/>
      <c r="C257" s="11" t="n"/>
      <c r="D257" s="11" t="n"/>
      <c r="E257" s="12" t="n"/>
      <c r="F257" s="13" t="str">
        <f>IF(OR(C257="",D257=""),"",ROUND(MOD(D257-C257,1)*24-N(E257)/60,2))</f>
        <v/>
      </c>
      <c r="G257" s="14" t="str">
        <f>IF(B257="","",IFERROR(VLOOKUP(B257,EmpTable,2,FALSE),""))</f>
        <v/>
      </c>
      <c r="H257" s="14" t="str">
        <f>IF(OR(F257="",G257=""),"",F257*G257)</f>
        <v/>
      </c>
      <c r="I257" s="10" t="n"/>
    </row>
    <row r="258">
      <c r="A258" s="9" t="n"/>
      <c r="B258" s="10" t="n"/>
      <c r="C258" s="11" t="n"/>
      <c r="D258" s="11" t="n"/>
      <c r="E258" s="12" t="n"/>
      <c r="F258" s="13" t="str">
        <f>IF(OR(C258="",D258=""),"",ROUND(MOD(D258-C258,1)*24-N(E258)/60,2))</f>
        <v/>
      </c>
      <c r="G258" s="14" t="str">
        <f>IF(B258="","",IFERROR(VLOOKUP(B258,EmpTable,2,FALSE),""))</f>
        <v/>
      </c>
      <c r="H258" s="14" t="str">
        <f>IF(OR(F258="",G258=""),"",F258*G258)</f>
        <v/>
      </c>
      <c r="I258" s="10" t="n"/>
    </row>
    <row r="259">
      <c r="A259" s="9" t="n"/>
      <c r="B259" s="10" t="n"/>
      <c r="C259" s="11" t="n"/>
      <c r="D259" s="11" t="n"/>
      <c r="E259" s="12" t="n"/>
      <c r="F259" s="13" t="str">
        <f>IF(OR(C259="",D259=""),"",ROUND(MOD(D259-C259,1)*24-N(E259)/60,2))</f>
        <v/>
      </c>
      <c r="G259" s="14" t="str">
        <f>IF(B259="","",IFERROR(VLOOKUP(B259,EmpTable,2,FALSE),""))</f>
        <v/>
      </c>
      <c r="H259" s="14" t="str">
        <f>IF(OR(F259="",G259=""),"",F259*G259)</f>
        <v/>
      </c>
      <c r="I259" s="10" t="n"/>
    </row>
    <row r="260">
      <c r="A260" s="9" t="n"/>
      <c r="B260" s="10" t="n"/>
      <c r="C260" s="11" t="n"/>
      <c r="D260" s="11" t="n"/>
      <c r="E260" s="12" t="n"/>
      <c r="F260" s="13" t="str">
        <f>IF(OR(C260="",D260=""),"",ROUND(MOD(D260-C260,1)*24-N(E260)/60,2))</f>
        <v/>
      </c>
      <c r="G260" s="14" t="str">
        <f>IF(B260="","",IFERROR(VLOOKUP(B260,EmpTable,2,FALSE),""))</f>
        <v/>
      </c>
      <c r="H260" s="14" t="str">
        <f>IF(OR(F260="",G260=""),"",F260*G260)</f>
        <v/>
      </c>
      <c r="I260" s="10" t="n"/>
    </row>
    <row r="261">
      <c r="A261" s="9" t="n"/>
      <c r="B261" s="10" t="n"/>
      <c r="C261" s="11" t="n"/>
      <c r="D261" s="11" t="n"/>
      <c r="E261" s="12" t="n"/>
      <c r="F261" s="13" t="str">
        <f>IF(OR(C261="",D261=""),"",ROUND(MOD(D261-C261,1)*24-N(E261)/60,2))</f>
        <v/>
      </c>
      <c r="G261" s="14" t="str">
        <f>IF(B261="","",IFERROR(VLOOKUP(B261,EmpTable,2,FALSE),""))</f>
        <v/>
      </c>
      <c r="H261" s="14" t="str">
        <f>IF(OR(F261="",G261=""),"",F261*G261)</f>
        <v/>
      </c>
      <c r="I261" s="10" t="n"/>
    </row>
    <row r="262">
      <c r="A262" s="9" t="n"/>
      <c r="B262" s="10" t="n"/>
      <c r="C262" s="11" t="n"/>
      <c r="D262" s="11" t="n"/>
      <c r="E262" s="12" t="n"/>
      <c r="F262" s="13" t="str">
        <f>IF(OR(C262="",D262=""),"",ROUND(MOD(D262-C262,1)*24-N(E262)/60,2))</f>
        <v/>
      </c>
      <c r="G262" s="14" t="str">
        <f>IF(B262="","",IFERROR(VLOOKUP(B262,EmpTable,2,FALSE),""))</f>
        <v/>
      </c>
      <c r="H262" s="14" t="str">
        <f>IF(OR(F262="",G262=""),"",F262*G262)</f>
        <v/>
      </c>
      <c r="I262" s="10" t="n"/>
    </row>
    <row r="263">
      <c r="A263" s="9" t="n"/>
      <c r="B263" s="10" t="n"/>
      <c r="C263" s="11" t="n"/>
      <c r="D263" s="11" t="n"/>
      <c r="E263" s="12" t="n"/>
      <c r="F263" s="13" t="str">
        <f>IF(OR(C263="",D263=""),"",ROUND(MOD(D263-C263,1)*24-N(E263)/60,2))</f>
        <v/>
      </c>
      <c r="G263" s="14" t="str">
        <f>IF(B263="","",IFERROR(VLOOKUP(B263,EmpTable,2,FALSE),""))</f>
        <v/>
      </c>
      <c r="H263" s="14" t="str">
        <f>IF(OR(F263="",G263=""),"",F263*G263)</f>
        <v/>
      </c>
      <c r="I263" s="10" t="n"/>
    </row>
    <row r="264">
      <c r="A264" s="9" t="n"/>
      <c r="B264" s="10" t="n"/>
      <c r="C264" s="11" t="n"/>
      <c r="D264" s="11" t="n"/>
      <c r="E264" s="12" t="n"/>
      <c r="F264" s="13" t="str">
        <f>IF(OR(C264="",D264=""),"",ROUND(MOD(D264-C264,1)*24-N(E264)/60,2))</f>
        <v/>
      </c>
      <c r="G264" s="14" t="str">
        <f>IF(B264="","",IFERROR(VLOOKUP(B264,EmpTable,2,FALSE),""))</f>
        <v/>
      </c>
      <c r="H264" s="14" t="str">
        <f>IF(OR(F264="",G264=""),"",F264*G264)</f>
        <v/>
      </c>
      <c r="I264" s="10" t="n"/>
    </row>
    <row r="265">
      <c r="A265" s="9" t="n"/>
      <c r="B265" s="10" t="n"/>
      <c r="C265" s="11" t="n"/>
      <c r="D265" s="11" t="n"/>
      <c r="E265" s="12" t="n"/>
      <c r="F265" s="13" t="str">
        <f>IF(OR(C265="",D265=""),"",ROUND(MOD(D265-C265,1)*24-N(E265)/60,2))</f>
        <v/>
      </c>
      <c r="G265" s="14" t="str">
        <f>IF(B265="","",IFERROR(VLOOKUP(B265,EmpTable,2,FALSE),""))</f>
        <v/>
      </c>
      <c r="H265" s="14" t="str">
        <f>IF(OR(F265="",G265=""),"",F265*G265)</f>
        <v/>
      </c>
      <c r="I265" s="10" t="n"/>
    </row>
    <row r="266">
      <c r="A266" s="9" t="n"/>
      <c r="B266" s="10" t="n"/>
      <c r="C266" s="11" t="n"/>
      <c r="D266" s="11" t="n"/>
      <c r="E266" s="12" t="n"/>
      <c r="F266" s="13" t="str">
        <f>IF(OR(C266="",D266=""),"",ROUND(MOD(D266-C266,1)*24-N(E266)/60,2))</f>
        <v/>
      </c>
      <c r="G266" s="14" t="str">
        <f>IF(B266="","",IFERROR(VLOOKUP(B266,EmpTable,2,FALSE),""))</f>
        <v/>
      </c>
      <c r="H266" s="14" t="str">
        <f>IF(OR(F266="",G266=""),"",F266*G266)</f>
        <v/>
      </c>
      <c r="I266" s="10" t="n"/>
    </row>
    <row r="267">
      <c r="A267" s="9" t="n"/>
      <c r="B267" s="10" t="n"/>
      <c r="C267" s="11" t="n"/>
      <c r="D267" s="11" t="n"/>
      <c r="E267" s="12" t="n"/>
      <c r="F267" s="13" t="str">
        <f>IF(OR(C267="",D267=""),"",ROUND(MOD(D267-C267,1)*24-N(E267)/60,2))</f>
        <v/>
      </c>
      <c r="G267" s="14" t="str">
        <f>IF(B267="","",IFERROR(VLOOKUP(B267,EmpTable,2,FALSE),""))</f>
        <v/>
      </c>
      <c r="H267" s="14" t="str">
        <f>IF(OR(F267="",G267=""),"",F267*G267)</f>
        <v/>
      </c>
      <c r="I267" s="10" t="n"/>
    </row>
    <row r="268">
      <c r="A268" s="9" t="n"/>
      <c r="B268" s="10" t="n"/>
      <c r="C268" s="11" t="n"/>
      <c r="D268" s="11" t="n"/>
      <c r="E268" s="12" t="n"/>
      <c r="F268" s="13" t="str">
        <f>IF(OR(C268="",D268=""),"",ROUND(MOD(D268-C268,1)*24-N(E268)/60,2))</f>
        <v/>
      </c>
      <c r="G268" s="14" t="str">
        <f>IF(B268="","",IFERROR(VLOOKUP(B268,EmpTable,2,FALSE),""))</f>
        <v/>
      </c>
      <c r="H268" s="14" t="str">
        <f>IF(OR(F268="",G268=""),"",F268*G268)</f>
        <v/>
      </c>
      <c r="I268" s="10" t="n"/>
    </row>
    <row r="269">
      <c r="A269" s="9" t="n"/>
      <c r="B269" s="10" t="n"/>
      <c r="C269" s="11" t="n"/>
      <c r="D269" s="11" t="n"/>
      <c r="E269" s="12" t="n"/>
      <c r="F269" s="13" t="str">
        <f>IF(OR(C269="",D269=""),"",ROUND(MOD(D269-C269,1)*24-N(E269)/60,2))</f>
        <v/>
      </c>
      <c r="G269" s="14" t="str">
        <f>IF(B269="","",IFERROR(VLOOKUP(B269,EmpTable,2,FALSE),""))</f>
        <v/>
      </c>
      <c r="H269" s="14" t="str">
        <f>IF(OR(F269="",G269=""),"",F269*G269)</f>
        <v/>
      </c>
      <c r="I269" s="10" t="n"/>
    </row>
    <row r="270">
      <c r="A270" s="9" t="n"/>
      <c r="B270" s="10" t="n"/>
      <c r="C270" s="11" t="n"/>
      <c r="D270" s="11" t="n"/>
      <c r="E270" s="12" t="n"/>
      <c r="F270" s="13" t="str">
        <f>IF(OR(C270="",D270=""),"",ROUND(MOD(D270-C270,1)*24-N(E270)/60,2))</f>
        <v/>
      </c>
      <c r="G270" s="14" t="str">
        <f>IF(B270="","",IFERROR(VLOOKUP(B270,EmpTable,2,FALSE),""))</f>
        <v/>
      </c>
      <c r="H270" s="14" t="str">
        <f>IF(OR(F270="",G270=""),"",F270*G270)</f>
        <v/>
      </c>
      <c r="I270" s="10" t="n"/>
    </row>
    <row r="271">
      <c r="A271" s="9" t="n"/>
      <c r="B271" s="10" t="n"/>
      <c r="C271" s="11" t="n"/>
      <c r="D271" s="11" t="n"/>
      <c r="E271" s="12" t="n"/>
      <c r="F271" s="13" t="str">
        <f>IF(OR(C271="",D271=""),"",ROUND(MOD(D271-C271,1)*24-N(E271)/60,2))</f>
        <v/>
      </c>
      <c r="G271" s="14" t="str">
        <f>IF(B271="","",IFERROR(VLOOKUP(B271,EmpTable,2,FALSE),""))</f>
        <v/>
      </c>
      <c r="H271" s="14" t="str">
        <f>IF(OR(F271="",G271=""),"",F271*G271)</f>
        <v/>
      </c>
      <c r="I271" s="10" t="n"/>
    </row>
    <row r="272">
      <c r="A272" s="9" t="n"/>
      <c r="B272" s="10" t="n"/>
      <c r="C272" s="11" t="n"/>
      <c r="D272" s="11" t="n"/>
      <c r="E272" s="12" t="n"/>
      <c r="F272" s="13" t="str">
        <f>IF(OR(C272="",D272=""),"",ROUND(MOD(D272-C272,1)*24-N(E272)/60,2))</f>
        <v/>
      </c>
      <c r="G272" s="14" t="str">
        <f>IF(B272="","",IFERROR(VLOOKUP(B272,EmpTable,2,FALSE),""))</f>
        <v/>
      </c>
      <c r="H272" s="14" t="str">
        <f>IF(OR(F272="",G272=""),"",F272*G272)</f>
        <v/>
      </c>
      <c r="I272" s="10" t="n"/>
    </row>
    <row r="273">
      <c r="A273" s="9" t="n"/>
      <c r="B273" s="10" t="n"/>
      <c r="C273" s="11" t="n"/>
      <c r="D273" s="11" t="n"/>
      <c r="E273" s="12" t="n"/>
      <c r="F273" s="13" t="str">
        <f>IF(OR(C273="",D273=""),"",ROUND(MOD(D273-C273,1)*24-N(E273)/60,2))</f>
        <v/>
      </c>
      <c r="G273" s="14" t="str">
        <f>IF(B273="","",IFERROR(VLOOKUP(B273,EmpTable,2,FALSE),""))</f>
        <v/>
      </c>
      <c r="H273" s="14" t="str">
        <f>IF(OR(F273="",G273=""),"",F273*G273)</f>
        <v/>
      </c>
      <c r="I273" s="10" t="n"/>
    </row>
    <row r="274">
      <c r="A274" s="9" t="n"/>
      <c r="B274" s="10" t="n"/>
      <c r="C274" s="11" t="n"/>
      <c r="D274" s="11" t="n"/>
      <c r="E274" s="12" t="n"/>
      <c r="F274" s="13" t="str">
        <f>IF(OR(C274="",D274=""),"",ROUND(MOD(D274-C274,1)*24-N(E274)/60,2))</f>
        <v/>
      </c>
      <c r="G274" s="14" t="str">
        <f>IF(B274="","",IFERROR(VLOOKUP(B274,EmpTable,2,FALSE),""))</f>
        <v/>
      </c>
      <c r="H274" s="14" t="str">
        <f>IF(OR(F274="",G274=""),"",F274*G274)</f>
        <v/>
      </c>
      <c r="I274" s="10" t="n"/>
    </row>
    <row r="275">
      <c r="A275" s="9" t="n"/>
      <c r="B275" s="10" t="n"/>
      <c r="C275" s="11" t="n"/>
      <c r="D275" s="11" t="n"/>
      <c r="E275" s="12" t="n"/>
      <c r="F275" s="13" t="str">
        <f>IF(OR(C275="",D275=""),"",ROUND(MOD(D275-C275,1)*24-N(E275)/60,2))</f>
        <v/>
      </c>
      <c r="G275" s="14" t="str">
        <f>IF(B275="","",IFERROR(VLOOKUP(B275,EmpTable,2,FALSE),""))</f>
        <v/>
      </c>
      <c r="H275" s="14" t="str">
        <f>IF(OR(F275="",G275=""),"",F275*G275)</f>
        <v/>
      </c>
      <c r="I275" s="10" t="n"/>
    </row>
    <row r="276">
      <c r="A276" s="9" t="n"/>
      <c r="B276" s="10" t="n"/>
      <c r="C276" s="11" t="n"/>
      <c r="D276" s="11" t="n"/>
      <c r="E276" s="12" t="n"/>
      <c r="F276" s="13" t="str">
        <f>IF(OR(C276="",D276=""),"",ROUND(MOD(D276-C276,1)*24-N(E276)/60,2))</f>
        <v/>
      </c>
      <c r="G276" s="14" t="str">
        <f>IF(B276="","",IFERROR(VLOOKUP(B276,EmpTable,2,FALSE),""))</f>
        <v/>
      </c>
      <c r="H276" s="14" t="str">
        <f>IF(OR(F276="",G276=""),"",F276*G276)</f>
        <v/>
      </c>
      <c r="I276" s="10" t="n"/>
    </row>
    <row r="277">
      <c r="A277" s="9" t="n"/>
      <c r="B277" s="10" t="n"/>
      <c r="C277" s="11" t="n"/>
      <c r="D277" s="11" t="n"/>
      <c r="E277" s="12" t="n"/>
      <c r="F277" s="13" t="str">
        <f>IF(OR(C277="",D277=""),"",ROUND(MOD(D277-C277,1)*24-N(E277)/60,2))</f>
        <v/>
      </c>
      <c r="G277" s="14" t="str">
        <f>IF(B277="","",IFERROR(VLOOKUP(B277,EmpTable,2,FALSE),""))</f>
        <v/>
      </c>
      <c r="H277" s="14" t="str">
        <f>IF(OR(F277="",G277=""),"",F277*G277)</f>
        <v/>
      </c>
      <c r="I277" s="10" t="n"/>
    </row>
    <row r="278">
      <c r="A278" s="9" t="n"/>
      <c r="B278" s="10" t="n"/>
      <c r="C278" s="11" t="n"/>
      <c r="D278" s="11" t="n"/>
      <c r="E278" s="12" t="n"/>
      <c r="F278" s="13" t="str">
        <f>IF(OR(C278="",D278=""),"",ROUND(MOD(D278-C278,1)*24-N(E278)/60,2))</f>
        <v/>
      </c>
      <c r="G278" s="14" t="str">
        <f>IF(B278="","",IFERROR(VLOOKUP(B278,EmpTable,2,FALSE),""))</f>
        <v/>
      </c>
      <c r="H278" s="14" t="str">
        <f>IF(OR(F278="",G278=""),"",F278*G278)</f>
        <v/>
      </c>
      <c r="I278" s="10" t="n"/>
    </row>
    <row r="279">
      <c r="A279" s="9" t="n"/>
      <c r="B279" s="10" t="n"/>
      <c r="C279" s="11" t="n"/>
      <c r="D279" s="11" t="n"/>
      <c r="E279" s="12" t="n"/>
      <c r="F279" s="13" t="str">
        <f>IF(OR(C279="",D279=""),"",ROUND(MOD(D279-C279,1)*24-N(E279)/60,2))</f>
        <v/>
      </c>
      <c r="G279" s="14" t="str">
        <f>IF(B279="","",IFERROR(VLOOKUP(B279,EmpTable,2,FALSE),""))</f>
        <v/>
      </c>
      <c r="H279" s="14" t="str">
        <f>IF(OR(F279="",G279=""),"",F279*G279)</f>
        <v/>
      </c>
      <c r="I279" s="10" t="n"/>
    </row>
    <row r="280">
      <c r="A280" s="9" t="n"/>
      <c r="B280" s="10" t="n"/>
      <c r="C280" s="11" t="n"/>
      <c r="D280" s="11" t="n"/>
      <c r="E280" s="12" t="n"/>
      <c r="F280" s="13" t="str">
        <f>IF(OR(C280="",D280=""),"",ROUND(MOD(D280-C280,1)*24-N(E280)/60,2))</f>
        <v/>
      </c>
      <c r="G280" s="14" t="str">
        <f>IF(B280="","",IFERROR(VLOOKUP(B280,EmpTable,2,FALSE),""))</f>
        <v/>
      </c>
      <c r="H280" s="14" t="str">
        <f>IF(OR(F280="",G280=""),"",F280*G280)</f>
        <v/>
      </c>
      <c r="I280" s="10" t="n"/>
    </row>
    <row r="281">
      <c r="A281" s="9" t="n"/>
      <c r="B281" s="10" t="n"/>
      <c r="C281" s="11" t="n"/>
      <c r="D281" s="11" t="n"/>
      <c r="E281" s="12" t="n"/>
      <c r="F281" s="13" t="str">
        <f>IF(OR(C281="",D281=""),"",ROUND(MOD(D281-C281,1)*24-N(E281)/60,2))</f>
        <v/>
      </c>
      <c r="G281" s="14" t="str">
        <f>IF(B281="","",IFERROR(VLOOKUP(B281,EmpTable,2,FALSE),""))</f>
        <v/>
      </c>
      <c r="H281" s="14" t="str">
        <f>IF(OR(F281="",G281=""),"",F281*G281)</f>
        <v/>
      </c>
      <c r="I281" s="10" t="n"/>
    </row>
    <row r="282">
      <c r="A282" s="9" t="n"/>
      <c r="B282" s="10" t="n"/>
      <c r="C282" s="11" t="n"/>
      <c r="D282" s="11" t="n"/>
      <c r="E282" s="12" t="n"/>
      <c r="F282" s="13" t="str">
        <f>IF(OR(C282="",D282=""),"",ROUND(MOD(D282-C282,1)*24-N(E282)/60,2))</f>
        <v/>
      </c>
      <c r="G282" s="14" t="str">
        <f>IF(B282="","",IFERROR(VLOOKUP(B282,EmpTable,2,FALSE),""))</f>
        <v/>
      </c>
      <c r="H282" s="14" t="str">
        <f>IF(OR(F282="",G282=""),"",F282*G282)</f>
        <v/>
      </c>
      <c r="I282" s="10" t="n"/>
    </row>
    <row r="283">
      <c r="A283" s="9" t="n"/>
      <c r="B283" s="10" t="n"/>
      <c r="C283" s="11" t="n"/>
      <c r="D283" s="11" t="n"/>
      <c r="E283" s="12" t="n"/>
      <c r="F283" s="13" t="str">
        <f>IF(OR(C283="",D283=""),"",ROUND(MOD(D283-C283,1)*24-N(E283)/60,2))</f>
        <v/>
      </c>
      <c r="G283" s="14" t="str">
        <f>IF(B283="","",IFERROR(VLOOKUP(B283,EmpTable,2,FALSE),""))</f>
        <v/>
      </c>
      <c r="H283" s="14" t="str">
        <f>IF(OR(F283="",G283=""),"",F283*G283)</f>
        <v/>
      </c>
      <c r="I283" s="10" t="n"/>
    </row>
    <row r="284">
      <c r="A284" s="9" t="n"/>
      <c r="B284" s="10" t="n"/>
      <c r="C284" s="11" t="n"/>
      <c r="D284" s="11" t="n"/>
      <c r="E284" s="12" t="n"/>
      <c r="F284" s="13" t="str">
        <f>IF(OR(C284="",D284=""),"",ROUND(MOD(D284-C284,1)*24-N(E284)/60,2))</f>
        <v/>
      </c>
      <c r="G284" s="14" t="str">
        <f>IF(B284="","",IFERROR(VLOOKUP(B284,EmpTable,2,FALSE),""))</f>
        <v/>
      </c>
      <c r="H284" s="14" t="str">
        <f>IF(OR(F284="",G284=""),"",F284*G284)</f>
        <v/>
      </c>
      <c r="I284" s="10" t="n"/>
    </row>
    <row r="285">
      <c r="A285" s="9" t="n"/>
      <c r="B285" s="10" t="n"/>
      <c r="C285" s="11" t="n"/>
      <c r="D285" s="11" t="n"/>
      <c r="E285" s="12" t="n"/>
      <c r="F285" s="13" t="str">
        <f>IF(OR(C285="",D285=""),"",ROUND(MOD(D285-C285,1)*24-N(E285)/60,2))</f>
        <v/>
      </c>
      <c r="G285" s="14" t="str">
        <f>IF(B285="","",IFERROR(VLOOKUP(B285,EmpTable,2,FALSE),""))</f>
        <v/>
      </c>
      <c r="H285" s="14" t="str">
        <f>IF(OR(F285="",G285=""),"",F285*G285)</f>
        <v/>
      </c>
      <c r="I285" s="10" t="n"/>
    </row>
    <row r="286">
      <c r="A286" s="9" t="n"/>
      <c r="B286" s="10" t="n"/>
      <c r="C286" s="11" t="n"/>
      <c r="D286" s="11" t="n"/>
      <c r="E286" s="12" t="n"/>
      <c r="F286" s="13" t="str">
        <f>IF(OR(C286="",D286=""),"",ROUND(MOD(D286-C286,1)*24-N(E286)/60,2))</f>
        <v/>
      </c>
      <c r="G286" s="14" t="str">
        <f>IF(B286="","",IFERROR(VLOOKUP(B286,EmpTable,2,FALSE),""))</f>
        <v/>
      </c>
      <c r="H286" s="14" t="str">
        <f>IF(OR(F286="",G286=""),"",F286*G286)</f>
        <v/>
      </c>
      <c r="I286" s="10" t="n"/>
    </row>
    <row r="287">
      <c r="A287" s="9" t="n"/>
      <c r="B287" s="10" t="n"/>
      <c r="C287" s="11" t="n"/>
      <c r="D287" s="11" t="n"/>
      <c r="E287" s="12" t="n"/>
      <c r="F287" s="13" t="str">
        <f>IF(OR(C287="",D287=""),"",ROUND(MOD(D287-C287,1)*24-N(E287)/60,2))</f>
        <v/>
      </c>
      <c r="G287" s="14" t="str">
        <f>IF(B287="","",IFERROR(VLOOKUP(B287,EmpTable,2,FALSE),""))</f>
        <v/>
      </c>
      <c r="H287" s="14" t="str">
        <f>IF(OR(F287="",G287=""),"",F287*G287)</f>
        <v/>
      </c>
      <c r="I287" s="10" t="n"/>
    </row>
    <row r="288">
      <c r="A288" s="9" t="n"/>
      <c r="B288" s="10" t="n"/>
      <c r="C288" s="11" t="n"/>
      <c r="D288" s="11" t="n"/>
      <c r="E288" s="12" t="n"/>
      <c r="F288" s="13" t="str">
        <f>IF(OR(C288="",D288=""),"",ROUND(MOD(D288-C288,1)*24-N(E288)/60,2))</f>
        <v/>
      </c>
      <c r="G288" s="14" t="str">
        <f>IF(B288="","",IFERROR(VLOOKUP(B288,EmpTable,2,FALSE),""))</f>
        <v/>
      </c>
      <c r="H288" s="14" t="str">
        <f>IF(OR(F288="",G288=""),"",F288*G288)</f>
        <v/>
      </c>
      <c r="I288" s="10" t="n"/>
    </row>
    <row r="289">
      <c r="A289" s="9" t="n"/>
      <c r="B289" s="10" t="n"/>
      <c r="C289" s="11" t="n"/>
      <c r="D289" s="11" t="n"/>
      <c r="E289" s="12" t="n"/>
      <c r="F289" s="13" t="str">
        <f>IF(OR(C289="",D289=""),"",ROUND(MOD(D289-C289,1)*24-N(E289)/60,2))</f>
        <v/>
      </c>
      <c r="G289" s="14" t="str">
        <f>IF(B289="","",IFERROR(VLOOKUP(B289,EmpTable,2,FALSE),""))</f>
        <v/>
      </c>
      <c r="H289" s="14" t="str">
        <f>IF(OR(F289="",G289=""),"",F289*G289)</f>
        <v/>
      </c>
      <c r="I289" s="10" t="n"/>
    </row>
    <row r="290">
      <c r="A290" s="9" t="n"/>
      <c r="B290" s="10" t="n"/>
      <c r="C290" s="11" t="n"/>
      <c r="D290" s="11" t="n"/>
      <c r="E290" s="12" t="n"/>
      <c r="F290" s="13" t="str">
        <f>IF(OR(C290="",D290=""),"",ROUND(MOD(D290-C290,1)*24-N(E290)/60,2))</f>
        <v/>
      </c>
      <c r="G290" s="14" t="str">
        <f>IF(B290="","",IFERROR(VLOOKUP(B290,EmpTable,2,FALSE),""))</f>
        <v/>
      </c>
      <c r="H290" s="14" t="str">
        <f>IF(OR(F290="",G290=""),"",F290*G290)</f>
        <v/>
      </c>
      <c r="I290" s="10" t="n"/>
    </row>
    <row r="291">
      <c r="A291" s="9" t="n"/>
      <c r="B291" s="10" t="n"/>
      <c r="C291" s="11" t="n"/>
      <c r="D291" s="11" t="n"/>
      <c r="E291" s="12" t="n"/>
      <c r="F291" s="13" t="str">
        <f>IF(OR(C291="",D291=""),"",ROUND(MOD(D291-C291,1)*24-N(E291)/60,2))</f>
        <v/>
      </c>
      <c r="G291" s="14" t="str">
        <f>IF(B291="","",IFERROR(VLOOKUP(B291,EmpTable,2,FALSE),""))</f>
        <v/>
      </c>
      <c r="H291" s="14" t="str">
        <f>IF(OR(F291="",G291=""),"",F291*G291)</f>
        <v/>
      </c>
      <c r="I291" s="10" t="n"/>
    </row>
    <row r="292">
      <c r="A292" s="9" t="n"/>
      <c r="B292" s="10" t="n"/>
      <c r="C292" s="11" t="n"/>
      <c r="D292" s="11" t="n"/>
      <c r="E292" s="12" t="n"/>
      <c r="F292" s="13" t="str">
        <f>IF(OR(C292="",D292=""),"",ROUND(MOD(D292-C292,1)*24-N(E292)/60,2))</f>
        <v/>
      </c>
      <c r="G292" s="14" t="str">
        <f>IF(B292="","",IFERROR(VLOOKUP(B292,EmpTable,2,FALSE),""))</f>
        <v/>
      </c>
      <c r="H292" s="14" t="str">
        <f>IF(OR(F292="",G292=""),"",F292*G292)</f>
        <v/>
      </c>
      <c r="I292" s="10" t="n"/>
    </row>
    <row r="293">
      <c r="A293" s="9" t="n"/>
      <c r="B293" s="10" t="n"/>
      <c r="C293" s="11" t="n"/>
      <c r="D293" s="11" t="n"/>
      <c r="E293" s="12" t="n"/>
      <c r="F293" s="13" t="str">
        <f>IF(OR(C293="",D293=""),"",ROUND(MOD(D293-C293,1)*24-N(E293)/60,2))</f>
        <v/>
      </c>
      <c r="G293" s="14" t="str">
        <f>IF(B293="","",IFERROR(VLOOKUP(B293,EmpTable,2,FALSE),""))</f>
        <v/>
      </c>
      <c r="H293" s="14" t="str">
        <f>IF(OR(F293="",G293=""),"",F293*G293)</f>
        <v/>
      </c>
      <c r="I293" s="10" t="n"/>
    </row>
    <row r="294">
      <c r="A294" s="9" t="n"/>
      <c r="B294" s="10" t="n"/>
      <c r="C294" s="11" t="n"/>
      <c r="D294" s="11" t="n"/>
      <c r="E294" s="12" t="n"/>
      <c r="F294" s="13" t="str">
        <f>IF(OR(C294="",D294=""),"",ROUND(MOD(D294-C294,1)*24-N(E294)/60,2))</f>
        <v/>
      </c>
      <c r="G294" s="14" t="str">
        <f>IF(B294="","",IFERROR(VLOOKUP(B294,EmpTable,2,FALSE),""))</f>
        <v/>
      </c>
      <c r="H294" s="14" t="str">
        <f>IF(OR(F294="",G294=""),"",F294*G294)</f>
        <v/>
      </c>
      <c r="I294" s="10" t="n"/>
    </row>
    <row r="295">
      <c r="A295" s="9" t="n"/>
      <c r="B295" s="10" t="n"/>
      <c r="C295" s="11" t="n"/>
      <c r="D295" s="11" t="n"/>
      <c r="E295" s="12" t="n"/>
      <c r="F295" s="13" t="str">
        <f>IF(OR(C295="",D295=""),"",ROUND(MOD(D295-C295,1)*24-N(E295)/60,2))</f>
        <v/>
      </c>
      <c r="G295" s="14" t="str">
        <f>IF(B295="","",IFERROR(VLOOKUP(B295,EmpTable,2,FALSE),""))</f>
        <v/>
      </c>
      <c r="H295" s="14" t="str">
        <f>IF(OR(F295="",G295=""),"",F295*G295)</f>
        <v/>
      </c>
      <c r="I295" s="10" t="n"/>
    </row>
    <row r="296">
      <c r="A296" s="9" t="n"/>
      <c r="B296" s="10" t="n"/>
      <c r="C296" s="11" t="n"/>
      <c r="D296" s="11" t="n"/>
      <c r="E296" s="12" t="n"/>
      <c r="F296" s="13" t="str">
        <f>IF(OR(C296="",D296=""),"",ROUND(MOD(D296-C296,1)*24-N(E296)/60,2))</f>
        <v/>
      </c>
      <c r="G296" s="14" t="str">
        <f>IF(B296="","",IFERROR(VLOOKUP(B296,EmpTable,2,FALSE),""))</f>
        <v/>
      </c>
      <c r="H296" s="14" t="str">
        <f>IF(OR(F296="",G296=""),"",F296*G296)</f>
        <v/>
      </c>
      <c r="I296" s="10" t="n"/>
    </row>
    <row r="297">
      <c r="A297" s="9" t="n"/>
      <c r="B297" s="10" t="n"/>
      <c r="C297" s="11" t="n"/>
      <c r="D297" s="11" t="n"/>
      <c r="E297" s="12" t="n"/>
      <c r="F297" s="13" t="str">
        <f>IF(OR(C297="",D297=""),"",ROUND(MOD(D297-C297,1)*24-N(E297)/60,2))</f>
        <v/>
      </c>
      <c r="G297" s="14" t="str">
        <f>IF(B297="","",IFERROR(VLOOKUP(B297,EmpTable,2,FALSE),""))</f>
        <v/>
      </c>
      <c r="H297" s="14" t="str">
        <f>IF(OR(F297="",G297=""),"",F297*G297)</f>
        <v/>
      </c>
      <c r="I297" s="10" t="n"/>
    </row>
    <row r="298">
      <c r="A298" s="9" t="n"/>
      <c r="B298" s="10" t="n"/>
      <c r="C298" s="11" t="n"/>
      <c r="D298" s="11" t="n"/>
      <c r="E298" s="12" t="n"/>
      <c r="F298" s="13" t="str">
        <f>IF(OR(C298="",D298=""),"",ROUND(MOD(D298-C298,1)*24-N(E298)/60,2))</f>
        <v/>
      </c>
      <c r="G298" s="14" t="str">
        <f>IF(B298="","",IFERROR(VLOOKUP(B298,EmpTable,2,FALSE),""))</f>
        <v/>
      </c>
      <c r="H298" s="14" t="str">
        <f>IF(OR(F298="",G298=""),"",F298*G298)</f>
        <v/>
      </c>
      <c r="I298" s="10" t="n"/>
    </row>
    <row r="299">
      <c r="A299" s="9" t="n"/>
      <c r="B299" s="10" t="n"/>
      <c r="C299" s="11" t="n"/>
      <c r="D299" s="11" t="n"/>
      <c r="E299" s="12" t="n"/>
      <c r="F299" s="13" t="str">
        <f>IF(OR(C299="",D299=""),"",ROUND(MOD(D299-C299,1)*24-N(E299)/60,2))</f>
        <v/>
      </c>
      <c r="G299" s="14" t="str">
        <f>IF(B299="","",IFERROR(VLOOKUP(B299,EmpTable,2,FALSE),""))</f>
        <v/>
      </c>
      <c r="H299" s="14" t="str">
        <f>IF(OR(F299="",G299=""),"",F299*G299)</f>
        <v/>
      </c>
      <c r="I299" s="10" t="n"/>
    </row>
    <row r="300">
      <c r="A300" s="9" t="n"/>
      <c r="B300" s="10" t="n"/>
      <c r="C300" s="11" t="n"/>
      <c r="D300" s="11" t="n"/>
      <c r="E300" s="12" t="n"/>
      <c r="F300" s="13" t="str">
        <f>IF(OR(C300="",D300=""),"",ROUND(MOD(D300-C300,1)*24-N(E300)/60,2))</f>
        <v/>
      </c>
      <c r="G300" s="14" t="str">
        <f>IF(B300="","",IFERROR(VLOOKUP(B300,EmpTable,2,FALSE),""))</f>
        <v/>
      </c>
      <c r="H300" s="14" t="str">
        <f>IF(OR(F300="",G300=""),"",F300*G300)</f>
        <v/>
      </c>
      <c r="I300" s="10" t="n"/>
    </row>
    <row r="301">
      <c r="A301" s="9" t="n"/>
      <c r="B301" s="10" t="n"/>
      <c r="C301" s="11" t="n"/>
      <c r="D301" s="11" t="n"/>
      <c r="E301" s="12" t="n"/>
      <c r="F301" s="13" t="str">
        <f>IF(OR(C301="",D301=""),"",ROUND(MOD(D301-C301,1)*24-N(E301)/60,2))</f>
        <v/>
      </c>
      <c r="G301" s="14" t="str">
        <f>IF(B301="","",IFERROR(VLOOKUP(B301,EmpTable,2,FALSE),""))</f>
        <v/>
      </c>
      <c r="H301" s="14" t="str">
        <f>IF(OR(F301="",G301=""),"",F301*G301)</f>
        <v/>
      </c>
      <c r="I301" s="10" t="n"/>
    </row>
    <row r="302">
      <c r="A302" s="9" t="n"/>
      <c r="B302" s="10" t="n"/>
      <c r="C302" s="11" t="n"/>
      <c r="D302" s="11" t="n"/>
      <c r="E302" s="12" t="n"/>
      <c r="F302" s="13" t="str">
        <f>IF(OR(C302="",D302=""),"",ROUND(MOD(D302-C302,1)*24-N(E302)/60,2))</f>
        <v/>
      </c>
      <c r="G302" s="14" t="str">
        <f>IF(B302="","",IFERROR(VLOOKUP(B302,EmpTable,2,FALSE),""))</f>
        <v/>
      </c>
      <c r="H302" s="14" t="str">
        <f>IF(OR(F302="",G302=""),"",F302*G302)</f>
        <v/>
      </c>
      <c r="I302" s="10" t="n"/>
    </row>
    <row r="303">
      <c r="A303" s="9" t="n"/>
      <c r="B303" s="10" t="n"/>
      <c r="C303" s="11" t="n"/>
      <c r="D303" s="11" t="n"/>
      <c r="E303" s="12" t="n"/>
      <c r="F303" s="13" t="str">
        <f>IF(OR(C303="",D303=""),"",ROUND(MOD(D303-C303,1)*24-N(E303)/60,2))</f>
        <v/>
      </c>
      <c r="G303" s="14" t="str">
        <f>IF(B303="","",IFERROR(VLOOKUP(B303,EmpTable,2,FALSE),""))</f>
        <v/>
      </c>
      <c r="H303" s="14" t="str">
        <f>IF(OR(F303="",G303=""),"",F303*G303)</f>
        <v/>
      </c>
      <c r="I303" s="10" t="n"/>
    </row>
    <row r="304">
      <c r="A304" s="9" t="n"/>
      <c r="B304" s="10" t="n"/>
      <c r="C304" s="11" t="n"/>
      <c r="D304" s="11" t="n"/>
      <c r="E304" s="12" t="n"/>
      <c r="F304" s="13" t="str">
        <f>IF(OR(C304="",D304=""),"",ROUND(MOD(D304-C304,1)*24-N(E304)/60,2))</f>
        <v/>
      </c>
      <c r="G304" s="14" t="str">
        <f>IF(B304="","",IFERROR(VLOOKUP(B304,EmpTable,2,FALSE),""))</f>
        <v/>
      </c>
      <c r="H304" s="14" t="str">
        <f>IF(OR(F304="",G304=""),"",F304*G304)</f>
        <v/>
      </c>
      <c r="I304" s="10" t="n"/>
    </row>
    <row r="305">
      <c r="A305" s="9" t="n"/>
      <c r="B305" s="10" t="n"/>
      <c r="C305" s="11" t="n"/>
      <c r="D305" s="11" t="n"/>
      <c r="E305" s="12" t="n"/>
      <c r="F305" s="13" t="str">
        <f>IF(OR(C305="",D305=""),"",ROUND(MOD(D305-C305,1)*24-N(E305)/60,2))</f>
        <v/>
      </c>
      <c r="G305" s="14" t="str">
        <f>IF(B305="","",IFERROR(VLOOKUP(B305,EmpTable,2,FALSE),""))</f>
        <v/>
      </c>
      <c r="H305" s="14" t="str">
        <f>IF(OR(F305="",G305=""),"",F305*G305)</f>
        <v/>
      </c>
      <c r="I305" s="10" t="n"/>
    </row>
    <row r="306">
      <c r="A306" s="9" t="n"/>
      <c r="B306" s="10" t="n"/>
      <c r="C306" s="11" t="n"/>
      <c r="D306" s="11" t="n"/>
      <c r="E306" s="12" t="n"/>
      <c r="F306" s="13" t="str">
        <f>IF(OR(C306="",D306=""),"",ROUND(MOD(D306-C306,1)*24-N(E306)/60,2))</f>
        <v/>
      </c>
      <c r="G306" s="14" t="str">
        <f>IF(B306="","",IFERROR(VLOOKUP(B306,EmpTable,2,FALSE),""))</f>
        <v/>
      </c>
      <c r="H306" s="14" t="str">
        <f>IF(OR(F306="",G306=""),"",F306*G306)</f>
        <v/>
      </c>
      <c r="I306" s="10" t="n"/>
    </row>
    <row r="307">
      <c r="A307" s="9" t="n"/>
      <c r="B307" s="10" t="n"/>
      <c r="C307" s="11" t="n"/>
      <c r="D307" s="11" t="n"/>
      <c r="E307" s="12" t="n"/>
      <c r="F307" s="13" t="str">
        <f>IF(OR(C307="",D307=""),"",ROUND(MOD(D307-C307,1)*24-N(E307)/60,2))</f>
        <v/>
      </c>
      <c r="G307" s="14" t="str">
        <f>IF(B307="","",IFERROR(VLOOKUP(B307,EmpTable,2,FALSE),""))</f>
        <v/>
      </c>
      <c r="H307" s="14" t="str">
        <f>IF(OR(F307="",G307=""),"",F307*G307)</f>
        <v/>
      </c>
      <c r="I307" s="10" t="n"/>
    </row>
    <row r="308">
      <c r="A308" s="9" t="n"/>
      <c r="B308" s="10" t="n"/>
      <c r="C308" s="11" t="n"/>
      <c r="D308" s="11" t="n"/>
      <c r="E308" s="12" t="n"/>
      <c r="F308" s="13" t="str">
        <f>IF(OR(C308="",D308=""),"",ROUND(MOD(D308-C308,1)*24-N(E308)/60,2))</f>
        <v/>
      </c>
      <c r="G308" s="14" t="str">
        <f>IF(B308="","",IFERROR(VLOOKUP(B308,EmpTable,2,FALSE),""))</f>
        <v/>
      </c>
      <c r="H308" s="14" t="str">
        <f>IF(OR(F308="",G308=""),"",F308*G308)</f>
        <v/>
      </c>
      <c r="I308" s="10" t="n"/>
    </row>
    <row r="309">
      <c r="A309" s="9" t="n"/>
      <c r="B309" s="10" t="n"/>
      <c r="C309" s="11" t="n"/>
      <c r="D309" s="11" t="n"/>
      <c r="E309" s="12" t="n"/>
      <c r="F309" s="13" t="str">
        <f>IF(OR(C309="",D309=""),"",ROUND(MOD(D309-C309,1)*24-N(E309)/60,2))</f>
        <v/>
      </c>
      <c r="G309" s="14" t="str">
        <f>IF(B309="","",IFERROR(VLOOKUP(B309,EmpTable,2,FALSE),""))</f>
        <v/>
      </c>
      <c r="H309" s="14" t="str">
        <f>IF(OR(F309="",G309=""),"",F309*G309)</f>
        <v/>
      </c>
      <c r="I309" s="10" t="n"/>
    </row>
    <row r="310">
      <c r="A310" s="9" t="n"/>
      <c r="B310" s="10" t="n"/>
      <c r="C310" s="11" t="n"/>
      <c r="D310" s="11" t="n"/>
      <c r="E310" s="12" t="n"/>
      <c r="F310" s="13" t="str">
        <f>IF(OR(C310="",D310=""),"",ROUND(MOD(D310-C310,1)*24-N(E310)/60,2))</f>
        <v/>
      </c>
      <c r="G310" s="14" t="str">
        <f>IF(B310="","",IFERROR(VLOOKUP(B310,EmpTable,2,FALSE),""))</f>
        <v/>
      </c>
      <c r="H310" s="14" t="str">
        <f>IF(OR(F310="",G310=""),"",F310*G310)</f>
        <v/>
      </c>
      <c r="I310" s="10" t="n"/>
    </row>
    <row r="311">
      <c r="A311" s="9" t="n"/>
      <c r="B311" s="10" t="n"/>
      <c r="C311" s="11" t="n"/>
      <c r="D311" s="11" t="n"/>
      <c r="E311" s="12" t="n"/>
      <c r="F311" s="13" t="str">
        <f>IF(OR(C311="",D311=""),"",ROUND(MOD(D311-C311,1)*24-N(E311)/60,2))</f>
        <v/>
      </c>
      <c r="G311" s="14" t="str">
        <f>IF(B311="","",IFERROR(VLOOKUP(B311,EmpTable,2,FALSE),""))</f>
        <v/>
      </c>
      <c r="H311" s="14" t="str">
        <f>IF(OR(F311="",G311=""),"",F311*G311)</f>
        <v/>
      </c>
      <c r="I311" s="10" t="n"/>
    </row>
    <row r="312">
      <c r="A312" s="9" t="n"/>
      <c r="B312" s="10" t="n"/>
      <c r="C312" s="11" t="n"/>
      <c r="D312" s="11" t="n"/>
      <c r="E312" s="12" t="n"/>
      <c r="F312" s="13" t="str">
        <f>IF(OR(C312="",D312=""),"",ROUND(MOD(D312-C312,1)*24-N(E312)/60,2))</f>
        <v/>
      </c>
      <c r="G312" s="14" t="str">
        <f>IF(B312="","",IFERROR(VLOOKUP(B312,EmpTable,2,FALSE),""))</f>
        <v/>
      </c>
      <c r="H312" s="14" t="str">
        <f>IF(OR(F312="",G312=""),"",F312*G312)</f>
        <v/>
      </c>
      <c r="I312" s="10" t="n"/>
    </row>
    <row r="313">
      <c r="A313" s="9" t="n"/>
      <c r="B313" s="10" t="n"/>
      <c r="C313" s="11" t="n"/>
      <c r="D313" s="11" t="n"/>
      <c r="E313" s="12" t="n"/>
      <c r="F313" s="13" t="str">
        <f>IF(OR(C313="",D313=""),"",ROUND(MOD(D313-C313,1)*24-N(E313)/60,2))</f>
        <v/>
      </c>
      <c r="G313" s="14" t="str">
        <f>IF(B313="","",IFERROR(VLOOKUP(B313,EmpTable,2,FALSE),""))</f>
        <v/>
      </c>
      <c r="H313" s="14" t="str">
        <f>IF(OR(F313="",G313=""),"",F313*G313)</f>
        <v/>
      </c>
      <c r="I313" s="10" t="n"/>
    </row>
    <row r="314">
      <c r="A314" s="9" t="n"/>
      <c r="B314" s="10" t="n"/>
      <c r="C314" s="11" t="n"/>
      <c r="D314" s="11" t="n"/>
      <c r="E314" s="12" t="n"/>
      <c r="F314" s="13" t="str">
        <f>IF(OR(C314="",D314=""),"",ROUND(MOD(D314-C314,1)*24-N(E314)/60,2))</f>
        <v/>
      </c>
      <c r="G314" s="14" t="str">
        <f>IF(B314="","",IFERROR(VLOOKUP(B314,EmpTable,2,FALSE),""))</f>
        <v/>
      </c>
      <c r="H314" s="14" t="str">
        <f>IF(OR(F314="",G314=""),"",F314*G314)</f>
        <v/>
      </c>
      <c r="I314" s="10" t="n"/>
    </row>
    <row r="315">
      <c r="A315" s="9" t="n"/>
      <c r="B315" s="10" t="n"/>
      <c r="C315" s="11" t="n"/>
      <c r="D315" s="11" t="n"/>
      <c r="E315" s="12" t="n"/>
      <c r="F315" s="13" t="str">
        <f>IF(OR(C315="",D315=""),"",ROUND(MOD(D315-C315,1)*24-N(E315)/60,2))</f>
        <v/>
      </c>
      <c r="G315" s="14" t="str">
        <f>IF(B315="","",IFERROR(VLOOKUP(B315,EmpTable,2,FALSE),""))</f>
        <v/>
      </c>
      <c r="H315" s="14" t="str">
        <f>IF(OR(F315="",G315=""),"",F315*G315)</f>
        <v/>
      </c>
      <c r="I315" s="10" t="n"/>
    </row>
    <row r="316">
      <c r="A316" s="9" t="n"/>
      <c r="B316" s="10" t="n"/>
      <c r="C316" s="11" t="n"/>
      <c r="D316" s="11" t="n"/>
      <c r="E316" s="12" t="n"/>
      <c r="F316" s="13" t="str">
        <f>IF(OR(C316="",D316=""),"",ROUND(MOD(D316-C316,1)*24-N(E316)/60,2))</f>
        <v/>
      </c>
      <c r="G316" s="14" t="str">
        <f>IF(B316="","",IFERROR(VLOOKUP(B316,EmpTable,2,FALSE),""))</f>
        <v/>
      </c>
      <c r="H316" s="14" t="str">
        <f>IF(OR(F316="",G316=""),"",F316*G316)</f>
        <v/>
      </c>
      <c r="I316" s="10" t="n"/>
    </row>
    <row r="317">
      <c r="A317" s="9" t="n"/>
      <c r="B317" s="10" t="n"/>
      <c r="C317" s="11" t="n"/>
      <c r="D317" s="11" t="n"/>
      <c r="E317" s="12" t="n"/>
      <c r="F317" s="13" t="str">
        <f>IF(OR(C317="",D317=""),"",ROUND(MOD(D317-C317,1)*24-N(E317)/60,2))</f>
        <v/>
      </c>
      <c r="G317" s="14" t="str">
        <f>IF(B317="","",IFERROR(VLOOKUP(B317,EmpTable,2,FALSE),""))</f>
        <v/>
      </c>
      <c r="H317" s="14" t="str">
        <f>IF(OR(F317="",G317=""),"",F317*G317)</f>
        <v/>
      </c>
      <c r="I317" s="10" t="n"/>
    </row>
    <row r="318">
      <c r="A318" s="9" t="n"/>
      <c r="B318" s="10" t="n"/>
      <c r="C318" s="11" t="n"/>
      <c r="D318" s="11" t="n"/>
      <c r="E318" s="12" t="n"/>
      <c r="F318" s="13" t="str">
        <f>IF(OR(C318="",D318=""),"",ROUND(MOD(D318-C318,1)*24-N(E318)/60,2))</f>
        <v/>
      </c>
      <c r="G318" s="14" t="str">
        <f>IF(B318="","",IFERROR(VLOOKUP(B318,EmpTable,2,FALSE),""))</f>
        <v/>
      </c>
      <c r="H318" s="14" t="str">
        <f>IF(OR(F318="",G318=""),"",F318*G318)</f>
        <v/>
      </c>
      <c r="I318" s="10" t="n"/>
    </row>
    <row r="319">
      <c r="A319" s="9" t="n"/>
      <c r="B319" s="10" t="n"/>
      <c r="C319" s="11" t="n"/>
      <c r="D319" s="11" t="n"/>
      <c r="E319" s="12" t="n"/>
      <c r="F319" s="13" t="str">
        <f>IF(OR(C319="",D319=""),"",ROUND(MOD(D319-C319,1)*24-N(E319)/60,2))</f>
        <v/>
      </c>
      <c r="G319" s="14" t="str">
        <f>IF(B319="","",IFERROR(VLOOKUP(B319,EmpTable,2,FALSE),""))</f>
        <v/>
      </c>
      <c r="H319" s="14" t="str">
        <f>IF(OR(F319="",G319=""),"",F319*G319)</f>
        <v/>
      </c>
      <c r="I319" s="10" t="n"/>
    </row>
    <row r="320">
      <c r="A320" s="9" t="n"/>
      <c r="B320" s="10" t="n"/>
      <c r="C320" s="11" t="n"/>
      <c r="D320" s="11" t="n"/>
      <c r="E320" s="12" t="n"/>
      <c r="F320" s="13" t="str">
        <f>IF(OR(C320="",D320=""),"",ROUND(MOD(D320-C320,1)*24-N(E320)/60,2))</f>
        <v/>
      </c>
      <c r="G320" s="14" t="str">
        <f>IF(B320="","",IFERROR(VLOOKUP(B320,EmpTable,2,FALSE),""))</f>
        <v/>
      </c>
      <c r="H320" s="14" t="str">
        <f>IF(OR(F320="",G320=""),"",F320*G320)</f>
        <v/>
      </c>
      <c r="I320" s="10" t="n"/>
    </row>
    <row r="321">
      <c r="A321" s="9" t="n"/>
      <c r="B321" s="10" t="n"/>
      <c r="C321" s="11" t="n"/>
      <c r="D321" s="11" t="n"/>
      <c r="E321" s="12" t="n"/>
      <c r="F321" s="13" t="str">
        <f>IF(OR(C321="",D321=""),"",ROUND(MOD(D321-C321,1)*24-N(E321)/60,2))</f>
        <v/>
      </c>
      <c r="G321" s="14" t="str">
        <f>IF(B321="","",IFERROR(VLOOKUP(B321,EmpTable,2,FALSE),""))</f>
        <v/>
      </c>
      <c r="H321" s="14" t="str">
        <f>IF(OR(F321="",G321=""),"",F321*G321)</f>
        <v/>
      </c>
      <c r="I321" s="10" t="n"/>
    </row>
    <row r="322">
      <c r="A322" s="9" t="n"/>
      <c r="B322" s="10" t="n"/>
      <c r="C322" s="11" t="n"/>
      <c r="D322" s="11" t="n"/>
      <c r="E322" s="12" t="n"/>
      <c r="F322" s="13" t="str">
        <f>IF(OR(C322="",D322=""),"",ROUND(MOD(D322-C322,1)*24-N(E322)/60,2))</f>
        <v/>
      </c>
      <c r="G322" s="14" t="str">
        <f>IF(B322="","",IFERROR(VLOOKUP(B322,EmpTable,2,FALSE),""))</f>
        <v/>
      </c>
      <c r="H322" s="14" t="str">
        <f>IF(OR(F322="",G322=""),"",F322*G322)</f>
        <v/>
      </c>
      <c r="I322" s="10" t="n"/>
    </row>
    <row r="323">
      <c r="A323" s="9" t="n"/>
      <c r="B323" s="10" t="n"/>
      <c r="C323" s="11" t="n"/>
      <c r="D323" s="11" t="n"/>
      <c r="E323" s="12" t="n"/>
      <c r="F323" s="13" t="str">
        <f>IF(OR(C323="",D323=""),"",ROUND(MOD(D323-C323,1)*24-N(E323)/60,2))</f>
        <v/>
      </c>
      <c r="G323" s="14" t="str">
        <f>IF(B323="","",IFERROR(VLOOKUP(B323,EmpTable,2,FALSE),""))</f>
        <v/>
      </c>
      <c r="H323" s="14" t="str">
        <f>IF(OR(F323="",G323=""),"",F323*G323)</f>
        <v/>
      </c>
      <c r="I323" s="10" t="n"/>
    </row>
    <row r="324">
      <c r="A324" s="9" t="n"/>
      <c r="B324" s="10" t="n"/>
      <c r="C324" s="11" t="n"/>
      <c r="D324" s="11" t="n"/>
      <c r="E324" s="12" t="n"/>
      <c r="F324" s="13" t="str">
        <f>IF(OR(C324="",D324=""),"",ROUND(MOD(D324-C324,1)*24-N(E324)/60,2))</f>
        <v/>
      </c>
      <c r="G324" s="14" t="str">
        <f>IF(B324="","",IFERROR(VLOOKUP(B324,EmpTable,2,FALSE),""))</f>
        <v/>
      </c>
      <c r="H324" s="14" t="str">
        <f>IF(OR(F324="",G324=""),"",F324*G324)</f>
        <v/>
      </c>
      <c r="I324" s="10" t="n"/>
    </row>
    <row r="325">
      <c r="A325" s="9" t="n"/>
      <c r="B325" s="10" t="n"/>
      <c r="C325" s="11" t="n"/>
      <c r="D325" s="11" t="n"/>
      <c r="E325" s="12" t="n"/>
      <c r="F325" s="13" t="str">
        <f>IF(OR(C325="",D325=""),"",ROUND(MOD(D325-C325,1)*24-N(E325)/60,2))</f>
        <v/>
      </c>
      <c r="G325" s="14" t="str">
        <f>IF(B325="","",IFERROR(VLOOKUP(B325,EmpTable,2,FALSE),""))</f>
        <v/>
      </c>
      <c r="H325" s="14" t="str">
        <f>IF(OR(F325="",G325=""),"",F325*G325)</f>
        <v/>
      </c>
      <c r="I325" s="10" t="n"/>
    </row>
    <row r="326">
      <c r="A326" s="9" t="n"/>
      <c r="B326" s="10" t="n"/>
      <c r="C326" s="11" t="n"/>
      <c r="D326" s="11" t="n"/>
      <c r="E326" s="12" t="n"/>
      <c r="F326" s="13" t="str">
        <f>IF(OR(C326="",D326=""),"",ROUND(MOD(D326-C326,1)*24-N(E326)/60,2))</f>
        <v/>
      </c>
      <c r="G326" s="14" t="str">
        <f>IF(B326="","",IFERROR(VLOOKUP(B326,EmpTable,2,FALSE),""))</f>
        <v/>
      </c>
      <c r="H326" s="14" t="str">
        <f>IF(OR(F326="",G326=""),"",F326*G326)</f>
        <v/>
      </c>
      <c r="I326" s="10" t="n"/>
    </row>
    <row r="327">
      <c r="A327" s="9" t="n"/>
      <c r="B327" s="10" t="n"/>
      <c r="C327" s="11" t="n"/>
      <c r="D327" s="11" t="n"/>
      <c r="E327" s="12" t="n"/>
      <c r="F327" s="13" t="str">
        <f>IF(OR(C327="",D327=""),"",ROUND(MOD(D327-C327,1)*24-N(E327)/60,2))</f>
        <v/>
      </c>
      <c r="G327" s="14" t="str">
        <f>IF(B327="","",IFERROR(VLOOKUP(B327,EmpTable,2,FALSE),""))</f>
        <v/>
      </c>
      <c r="H327" s="14" t="str">
        <f>IF(OR(F327="",G327=""),"",F327*G327)</f>
        <v/>
      </c>
      <c r="I327" s="10" t="n"/>
    </row>
    <row r="328">
      <c r="A328" s="9" t="n"/>
      <c r="B328" s="10" t="n"/>
      <c r="C328" s="11" t="n"/>
      <c r="D328" s="11" t="n"/>
      <c r="E328" s="12" t="n"/>
      <c r="F328" s="13" t="str">
        <f>IF(OR(C328="",D328=""),"",ROUND(MOD(D328-C328,1)*24-N(E328)/60,2))</f>
        <v/>
      </c>
      <c r="G328" s="14" t="str">
        <f>IF(B328="","",IFERROR(VLOOKUP(B328,EmpTable,2,FALSE),""))</f>
        <v/>
      </c>
      <c r="H328" s="14" t="str">
        <f>IF(OR(F328="",G328=""),"",F328*G328)</f>
        <v/>
      </c>
      <c r="I328" s="10" t="n"/>
    </row>
    <row r="329">
      <c r="A329" s="9" t="n"/>
      <c r="B329" s="10" t="n"/>
      <c r="C329" s="11" t="n"/>
      <c r="D329" s="11" t="n"/>
      <c r="E329" s="12" t="n"/>
      <c r="F329" s="13" t="str">
        <f>IF(OR(C329="",D329=""),"",ROUND(MOD(D329-C329,1)*24-N(E329)/60,2))</f>
        <v/>
      </c>
      <c r="G329" s="14" t="str">
        <f>IF(B329="","",IFERROR(VLOOKUP(B329,EmpTable,2,FALSE),""))</f>
        <v/>
      </c>
      <c r="H329" s="14" t="str">
        <f>IF(OR(F329="",G329=""),"",F329*G329)</f>
        <v/>
      </c>
      <c r="I329" s="10" t="n"/>
    </row>
    <row r="330">
      <c r="A330" s="9" t="n"/>
      <c r="B330" s="10" t="n"/>
      <c r="C330" s="11" t="n"/>
      <c r="D330" s="11" t="n"/>
      <c r="E330" s="12" t="n"/>
      <c r="F330" s="13" t="str">
        <f>IF(OR(C330="",D330=""),"",ROUND(MOD(D330-C330,1)*24-N(E330)/60,2))</f>
        <v/>
      </c>
      <c r="G330" s="14" t="str">
        <f>IF(B330="","",IFERROR(VLOOKUP(B330,EmpTable,2,FALSE),""))</f>
        <v/>
      </c>
      <c r="H330" s="14" t="str">
        <f>IF(OR(F330="",G330=""),"",F330*G330)</f>
        <v/>
      </c>
      <c r="I330" s="10" t="n"/>
    </row>
    <row r="331">
      <c r="A331" s="9" t="n"/>
      <c r="B331" s="10" t="n"/>
      <c r="C331" s="11" t="n"/>
      <c r="D331" s="11" t="n"/>
      <c r="E331" s="12" t="n"/>
      <c r="F331" s="13" t="str">
        <f>IF(OR(C331="",D331=""),"",ROUND(MOD(D331-C331,1)*24-N(E331)/60,2))</f>
        <v/>
      </c>
      <c r="G331" s="14" t="str">
        <f>IF(B331="","",IFERROR(VLOOKUP(B331,EmpTable,2,FALSE),""))</f>
        <v/>
      </c>
      <c r="H331" s="14" t="str">
        <f>IF(OR(F331="",G331=""),"",F331*G331)</f>
        <v/>
      </c>
      <c r="I331" s="10" t="n"/>
    </row>
    <row r="332">
      <c r="A332" s="9" t="n"/>
      <c r="B332" s="10" t="n"/>
      <c r="C332" s="11" t="n"/>
      <c r="D332" s="11" t="n"/>
      <c r="E332" s="12" t="n"/>
      <c r="F332" s="13" t="str">
        <f>IF(OR(C332="",D332=""),"",ROUND(MOD(D332-C332,1)*24-N(E332)/60,2))</f>
        <v/>
      </c>
      <c r="G332" s="14" t="str">
        <f>IF(B332="","",IFERROR(VLOOKUP(B332,EmpTable,2,FALSE),""))</f>
        <v/>
      </c>
      <c r="H332" s="14" t="str">
        <f>IF(OR(F332="",G332=""),"",F332*G332)</f>
        <v/>
      </c>
      <c r="I332" s="10" t="n"/>
    </row>
    <row r="333">
      <c r="A333" s="9" t="n"/>
      <c r="B333" s="10" t="n"/>
      <c r="C333" s="11" t="n"/>
      <c r="D333" s="11" t="n"/>
      <c r="E333" s="12" t="n"/>
      <c r="F333" s="13" t="str">
        <f>IF(OR(C333="",D333=""),"",ROUND(MOD(D333-C333,1)*24-N(E333)/60,2))</f>
        <v/>
      </c>
      <c r="G333" s="14" t="str">
        <f>IF(B333="","",IFERROR(VLOOKUP(B333,EmpTable,2,FALSE),""))</f>
        <v/>
      </c>
      <c r="H333" s="14" t="str">
        <f>IF(OR(F333="",G333=""),"",F333*G333)</f>
        <v/>
      </c>
      <c r="I333" s="10" t="n"/>
    </row>
    <row r="334">
      <c r="A334" s="9" t="n"/>
      <c r="B334" s="10" t="n"/>
      <c r="C334" s="11" t="n"/>
      <c r="D334" s="11" t="n"/>
      <c r="E334" s="12" t="n"/>
      <c r="F334" s="13" t="str">
        <f>IF(OR(C334="",D334=""),"",ROUND(MOD(D334-C334,1)*24-N(E334)/60,2))</f>
        <v/>
      </c>
      <c r="G334" s="14" t="str">
        <f>IF(B334="","",IFERROR(VLOOKUP(B334,EmpTable,2,FALSE),""))</f>
        <v/>
      </c>
      <c r="H334" s="14" t="str">
        <f>IF(OR(F334="",G334=""),"",F334*G334)</f>
        <v/>
      </c>
      <c r="I334" s="10" t="n"/>
    </row>
    <row r="335">
      <c r="A335" s="9" t="n"/>
      <c r="B335" s="10" t="n"/>
      <c r="C335" s="11" t="n"/>
      <c r="D335" s="11" t="n"/>
      <c r="E335" s="12" t="n"/>
      <c r="F335" s="13" t="str">
        <f>IF(OR(C335="",D335=""),"",ROUND(MOD(D335-C335,1)*24-N(E335)/60,2))</f>
        <v/>
      </c>
      <c r="G335" s="14" t="str">
        <f>IF(B335="","",IFERROR(VLOOKUP(B335,EmpTable,2,FALSE),""))</f>
        <v/>
      </c>
      <c r="H335" s="14" t="str">
        <f>IF(OR(F335="",G335=""),"",F335*G335)</f>
        <v/>
      </c>
      <c r="I335" s="10" t="n"/>
    </row>
    <row r="336">
      <c r="A336" s="9" t="n"/>
      <c r="B336" s="10" t="n"/>
      <c r="C336" s="11" t="n"/>
      <c r="D336" s="11" t="n"/>
      <c r="E336" s="12" t="n"/>
      <c r="F336" s="13" t="str">
        <f>IF(OR(C336="",D336=""),"",ROUND(MOD(D336-C336,1)*24-N(E336)/60,2))</f>
        <v/>
      </c>
      <c r="G336" s="14" t="str">
        <f>IF(B336="","",IFERROR(VLOOKUP(B336,EmpTable,2,FALSE),""))</f>
        <v/>
      </c>
      <c r="H336" s="14" t="str">
        <f>IF(OR(F336="",G336=""),"",F336*G336)</f>
        <v/>
      </c>
      <c r="I336" s="10" t="n"/>
    </row>
    <row r="337">
      <c r="A337" s="9" t="n"/>
      <c r="B337" s="10" t="n"/>
      <c r="C337" s="11" t="n"/>
      <c r="D337" s="11" t="n"/>
      <c r="E337" s="12" t="n"/>
      <c r="F337" s="13" t="str">
        <f>IF(OR(C337="",D337=""),"",ROUND(MOD(D337-C337,1)*24-N(E337)/60,2))</f>
        <v/>
      </c>
      <c r="G337" s="14" t="str">
        <f>IF(B337="","",IFERROR(VLOOKUP(B337,EmpTable,2,FALSE),""))</f>
        <v/>
      </c>
      <c r="H337" s="14" t="str">
        <f>IF(OR(F337="",G337=""),"",F337*G337)</f>
        <v/>
      </c>
      <c r="I337" s="10" t="n"/>
    </row>
    <row r="338">
      <c r="A338" s="9" t="n"/>
      <c r="B338" s="10" t="n"/>
      <c r="C338" s="11" t="n"/>
      <c r="D338" s="11" t="n"/>
      <c r="E338" s="12" t="n"/>
      <c r="F338" s="13" t="str">
        <f>IF(OR(C338="",D338=""),"",ROUND(MOD(D338-C338,1)*24-N(E338)/60,2))</f>
        <v/>
      </c>
      <c r="G338" s="14" t="str">
        <f>IF(B338="","",IFERROR(VLOOKUP(B338,EmpTable,2,FALSE),""))</f>
        <v/>
      </c>
      <c r="H338" s="14" t="str">
        <f>IF(OR(F338="",G338=""),"",F338*G338)</f>
        <v/>
      </c>
      <c r="I338" s="10" t="n"/>
    </row>
    <row r="339">
      <c r="A339" s="9" t="n"/>
      <c r="B339" s="10" t="n"/>
      <c r="C339" s="11" t="n"/>
      <c r="D339" s="11" t="n"/>
      <c r="E339" s="12" t="n"/>
      <c r="F339" s="13" t="str">
        <f>IF(OR(C339="",D339=""),"",ROUND(MOD(D339-C339,1)*24-N(E339)/60,2))</f>
        <v/>
      </c>
      <c r="G339" s="14" t="str">
        <f>IF(B339="","",IFERROR(VLOOKUP(B339,EmpTable,2,FALSE),""))</f>
        <v/>
      </c>
      <c r="H339" s="14" t="str">
        <f>IF(OR(F339="",G339=""),"",F339*G339)</f>
        <v/>
      </c>
      <c r="I339" s="10" t="n"/>
    </row>
    <row r="340">
      <c r="A340" s="9" t="n"/>
      <c r="B340" s="10" t="n"/>
      <c r="C340" s="11" t="n"/>
      <c r="D340" s="11" t="n"/>
      <c r="E340" s="12" t="n"/>
      <c r="F340" s="13" t="str">
        <f>IF(OR(C340="",D340=""),"",ROUND(MOD(D340-C340,1)*24-N(E340)/60,2))</f>
        <v/>
      </c>
      <c r="G340" s="14" t="str">
        <f>IF(B340="","",IFERROR(VLOOKUP(B340,EmpTable,2,FALSE),""))</f>
        <v/>
      </c>
      <c r="H340" s="14" t="str">
        <f>IF(OR(F340="",G340=""),"",F340*G340)</f>
        <v/>
      </c>
      <c r="I340" s="10" t="n"/>
    </row>
    <row r="341">
      <c r="A341" s="9" t="n"/>
      <c r="B341" s="10" t="n"/>
      <c r="C341" s="11" t="n"/>
      <c r="D341" s="11" t="n"/>
      <c r="E341" s="12" t="n"/>
      <c r="F341" s="13" t="str">
        <f>IF(OR(C341="",D341=""),"",ROUND(MOD(D341-C341,1)*24-N(E341)/60,2))</f>
        <v/>
      </c>
      <c r="G341" s="14" t="str">
        <f>IF(B341="","",IFERROR(VLOOKUP(B341,EmpTable,2,FALSE),""))</f>
        <v/>
      </c>
      <c r="H341" s="14" t="str">
        <f>IF(OR(F341="",G341=""),"",F341*G341)</f>
        <v/>
      </c>
      <c r="I341" s="10" t="n"/>
    </row>
    <row r="342">
      <c r="A342" s="9" t="n"/>
      <c r="B342" s="10" t="n"/>
      <c r="C342" s="11" t="n"/>
      <c r="D342" s="11" t="n"/>
      <c r="E342" s="12" t="n"/>
      <c r="F342" s="13" t="str">
        <f>IF(OR(C342="",D342=""),"",ROUND(MOD(D342-C342,1)*24-N(E342)/60,2))</f>
        <v/>
      </c>
      <c r="G342" s="14" t="str">
        <f>IF(B342="","",IFERROR(VLOOKUP(B342,EmpTable,2,FALSE),""))</f>
        <v/>
      </c>
      <c r="H342" s="14" t="str">
        <f>IF(OR(F342="",G342=""),"",F342*G342)</f>
        <v/>
      </c>
      <c r="I342" s="10" t="n"/>
    </row>
    <row r="343">
      <c r="A343" s="9" t="n"/>
      <c r="B343" s="10" t="n"/>
      <c r="C343" s="11" t="n"/>
      <c r="D343" s="11" t="n"/>
      <c r="E343" s="12" t="n"/>
      <c r="F343" s="13" t="str">
        <f>IF(OR(C343="",D343=""),"",ROUND(MOD(D343-C343,1)*24-N(E343)/60,2))</f>
        <v/>
      </c>
      <c r="G343" s="14" t="str">
        <f>IF(B343="","",IFERROR(VLOOKUP(B343,EmpTable,2,FALSE),""))</f>
        <v/>
      </c>
      <c r="H343" s="14" t="str">
        <f>IF(OR(F343="",G343=""),"",F343*G343)</f>
        <v/>
      </c>
      <c r="I343" s="10" t="n"/>
    </row>
    <row r="344">
      <c r="A344" s="9" t="n"/>
      <c r="B344" s="10" t="n"/>
      <c r="C344" s="11" t="n"/>
      <c r="D344" s="11" t="n"/>
      <c r="E344" s="12" t="n"/>
      <c r="F344" s="13" t="str">
        <f>IF(OR(C344="",D344=""),"",ROUND(MOD(D344-C344,1)*24-N(E344)/60,2))</f>
        <v/>
      </c>
      <c r="G344" s="14" t="str">
        <f>IF(B344="","",IFERROR(VLOOKUP(B344,EmpTable,2,FALSE),""))</f>
        <v/>
      </c>
      <c r="H344" s="14" t="str">
        <f>IF(OR(F344="",G344=""),"",F344*G344)</f>
        <v/>
      </c>
      <c r="I344" s="10" t="n"/>
    </row>
    <row r="345">
      <c r="A345" s="9" t="n"/>
      <c r="B345" s="10" t="n"/>
      <c r="C345" s="11" t="n"/>
      <c r="D345" s="11" t="n"/>
      <c r="E345" s="12" t="n"/>
      <c r="F345" s="13" t="str">
        <f>IF(OR(C345="",D345=""),"",ROUND(MOD(D345-C345,1)*24-N(E345)/60,2))</f>
        <v/>
      </c>
      <c r="G345" s="14" t="str">
        <f>IF(B345="","",IFERROR(VLOOKUP(B345,EmpTable,2,FALSE),""))</f>
        <v/>
      </c>
      <c r="H345" s="14" t="str">
        <f>IF(OR(F345="",G345=""),"",F345*G345)</f>
        <v/>
      </c>
      <c r="I345" s="10" t="n"/>
    </row>
    <row r="346">
      <c r="A346" s="9" t="n"/>
      <c r="B346" s="10" t="n"/>
      <c r="C346" s="11" t="n"/>
      <c r="D346" s="11" t="n"/>
      <c r="E346" s="12" t="n"/>
      <c r="F346" s="13" t="str">
        <f>IF(OR(C346="",D346=""),"",ROUND(MOD(D346-C346,1)*24-N(E346)/60,2))</f>
        <v/>
      </c>
      <c r="G346" s="14" t="str">
        <f>IF(B346="","",IFERROR(VLOOKUP(B346,EmpTable,2,FALSE),""))</f>
        <v/>
      </c>
      <c r="H346" s="14" t="str">
        <f>IF(OR(F346="",G346=""),"",F346*G346)</f>
        <v/>
      </c>
      <c r="I346" s="10" t="n"/>
    </row>
    <row r="347">
      <c r="A347" s="9" t="n"/>
      <c r="B347" s="10" t="n"/>
      <c r="C347" s="11" t="n"/>
      <c r="D347" s="11" t="n"/>
      <c r="E347" s="12" t="n"/>
      <c r="F347" s="13" t="str">
        <f>IF(OR(C347="",D347=""),"",ROUND(MOD(D347-C347,1)*24-N(E347)/60,2))</f>
        <v/>
      </c>
      <c r="G347" s="14" t="str">
        <f>IF(B347="","",IFERROR(VLOOKUP(B347,EmpTable,2,FALSE),""))</f>
        <v/>
      </c>
      <c r="H347" s="14" t="str">
        <f>IF(OR(F347="",G347=""),"",F347*G347)</f>
        <v/>
      </c>
      <c r="I347" s="10" t="n"/>
    </row>
    <row r="348">
      <c r="A348" s="9" t="n"/>
      <c r="B348" s="10" t="n"/>
      <c r="C348" s="11" t="n"/>
      <c r="D348" s="11" t="n"/>
      <c r="E348" s="12" t="n"/>
      <c r="F348" s="13" t="str">
        <f>IF(OR(C348="",D348=""),"",ROUND(MOD(D348-C348,1)*24-N(E348)/60,2))</f>
        <v/>
      </c>
      <c r="G348" s="14" t="str">
        <f>IF(B348="","",IFERROR(VLOOKUP(B348,EmpTable,2,FALSE),""))</f>
        <v/>
      </c>
      <c r="H348" s="14" t="str">
        <f>IF(OR(F348="",G348=""),"",F348*G348)</f>
        <v/>
      </c>
      <c r="I348" s="10" t="n"/>
    </row>
    <row r="349">
      <c r="A349" s="9" t="n"/>
      <c r="B349" s="10" t="n"/>
      <c r="C349" s="11" t="n"/>
      <c r="D349" s="11" t="n"/>
      <c r="E349" s="12" t="n"/>
      <c r="F349" s="13" t="str">
        <f>IF(OR(C349="",D349=""),"",ROUND(MOD(D349-C349,1)*24-N(E349)/60,2))</f>
        <v/>
      </c>
      <c r="G349" s="14" t="str">
        <f>IF(B349="","",IFERROR(VLOOKUP(B349,EmpTable,2,FALSE),""))</f>
        <v/>
      </c>
      <c r="H349" s="14" t="str">
        <f>IF(OR(F349="",G349=""),"",F349*G349)</f>
        <v/>
      </c>
      <c r="I349" s="10" t="n"/>
    </row>
    <row r="350">
      <c r="A350" s="9" t="n"/>
      <c r="B350" s="10" t="n"/>
      <c r="C350" s="11" t="n"/>
      <c r="D350" s="11" t="n"/>
      <c r="E350" s="12" t="n"/>
      <c r="F350" s="13" t="str">
        <f>IF(OR(C350="",D350=""),"",ROUND(MOD(D350-C350,1)*24-N(E350)/60,2))</f>
        <v/>
      </c>
      <c r="G350" s="14" t="str">
        <f>IF(B350="","",IFERROR(VLOOKUP(B350,EmpTable,2,FALSE),""))</f>
        <v/>
      </c>
      <c r="H350" s="14" t="str">
        <f>IF(OR(F350="",G350=""),"",F350*G350)</f>
        <v/>
      </c>
      <c r="I350" s="10" t="n"/>
    </row>
    <row r="351">
      <c r="A351" s="9" t="n"/>
      <c r="B351" s="10" t="n"/>
      <c r="C351" s="11" t="n"/>
      <c r="D351" s="11" t="n"/>
      <c r="E351" s="12" t="n"/>
      <c r="F351" s="13" t="str">
        <f>IF(OR(C351="",D351=""),"",ROUND(MOD(D351-C351,1)*24-N(E351)/60,2))</f>
        <v/>
      </c>
      <c r="G351" s="14" t="str">
        <f>IF(B351="","",IFERROR(VLOOKUP(B351,EmpTable,2,FALSE),""))</f>
        <v/>
      </c>
      <c r="H351" s="14" t="str">
        <f>IF(OR(F351="",G351=""),"",F351*G351)</f>
        <v/>
      </c>
      <c r="I351" s="10" t="n"/>
    </row>
    <row r="352">
      <c r="A352" s="9" t="n"/>
      <c r="B352" s="10" t="n"/>
      <c r="C352" s="11" t="n"/>
      <c r="D352" s="11" t="n"/>
      <c r="E352" s="12" t="n"/>
      <c r="F352" s="13" t="str">
        <f>IF(OR(C352="",D352=""),"",ROUND(MOD(D352-C352,1)*24-N(E352)/60,2))</f>
        <v/>
      </c>
      <c r="G352" s="14" t="str">
        <f>IF(B352="","",IFERROR(VLOOKUP(B352,EmpTable,2,FALSE),""))</f>
        <v/>
      </c>
      <c r="H352" s="14" t="str">
        <f>IF(OR(F352="",G352=""),"",F352*G352)</f>
        <v/>
      </c>
      <c r="I352" s="10" t="n"/>
    </row>
    <row r="353">
      <c r="A353" s="9" t="n"/>
      <c r="B353" s="10" t="n"/>
      <c r="C353" s="11" t="n"/>
      <c r="D353" s="11" t="n"/>
      <c r="E353" s="12" t="n"/>
      <c r="F353" s="13" t="str">
        <f>IF(OR(C353="",D353=""),"",ROUND(MOD(D353-C353,1)*24-N(E353)/60,2))</f>
        <v/>
      </c>
      <c r="G353" s="14" t="str">
        <f>IF(B353="","",IFERROR(VLOOKUP(B353,EmpTable,2,FALSE),""))</f>
        <v/>
      </c>
      <c r="H353" s="14" t="str">
        <f>IF(OR(F353="",G353=""),"",F353*G353)</f>
        <v/>
      </c>
      <c r="I353" s="10" t="n"/>
    </row>
    <row r="354">
      <c r="A354" s="9" t="n"/>
      <c r="B354" s="10" t="n"/>
      <c r="C354" s="11" t="n"/>
      <c r="D354" s="11" t="n"/>
      <c r="E354" s="12" t="n"/>
      <c r="F354" s="13" t="str">
        <f>IF(OR(C354="",D354=""),"",ROUND(MOD(D354-C354,1)*24-N(E354)/60,2))</f>
        <v/>
      </c>
      <c r="G354" s="14" t="str">
        <f>IF(B354="","",IFERROR(VLOOKUP(B354,EmpTable,2,FALSE),""))</f>
        <v/>
      </c>
      <c r="H354" s="14" t="str">
        <f>IF(OR(F354="",G354=""),"",F354*G354)</f>
        <v/>
      </c>
      <c r="I354" s="10" t="n"/>
    </row>
    <row r="355">
      <c r="A355" s="9" t="n"/>
      <c r="B355" s="10" t="n"/>
      <c r="C355" s="11" t="n"/>
      <c r="D355" s="11" t="n"/>
      <c r="E355" s="12" t="n"/>
      <c r="F355" s="13" t="str">
        <f>IF(OR(C355="",D355=""),"",ROUND(MOD(D355-C355,1)*24-N(E355)/60,2))</f>
        <v/>
      </c>
      <c r="G355" s="14" t="str">
        <f>IF(B355="","",IFERROR(VLOOKUP(B355,EmpTable,2,FALSE),""))</f>
        <v/>
      </c>
      <c r="H355" s="14" t="str">
        <f>IF(OR(F355="",G355=""),"",F355*G355)</f>
        <v/>
      </c>
      <c r="I355" s="10" t="n"/>
    </row>
    <row r="356">
      <c r="A356" s="9" t="n"/>
      <c r="B356" s="10" t="n"/>
      <c r="C356" s="11" t="n"/>
      <c r="D356" s="11" t="n"/>
      <c r="E356" s="12" t="n"/>
      <c r="F356" s="13" t="str">
        <f>IF(OR(C356="",D356=""),"",ROUND(MOD(D356-C356,1)*24-N(E356)/60,2))</f>
        <v/>
      </c>
      <c r="G356" s="14" t="str">
        <f>IF(B356="","",IFERROR(VLOOKUP(B356,EmpTable,2,FALSE),""))</f>
        <v/>
      </c>
      <c r="H356" s="14" t="str">
        <f>IF(OR(F356="",G356=""),"",F356*G356)</f>
        <v/>
      </c>
      <c r="I356" s="10" t="n"/>
    </row>
    <row r="357">
      <c r="A357" s="9" t="n"/>
      <c r="B357" s="10" t="n"/>
      <c r="C357" s="11" t="n"/>
      <c r="D357" s="11" t="n"/>
      <c r="E357" s="12" t="n"/>
      <c r="F357" s="13" t="str">
        <f>IF(OR(C357="",D357=""),"",ROUND(MOD(D357-C357,1)*24-N(E357)/60,2))</f>
        <v/>
      </c>
      <c r="G357" s="14" t="str">
        <f>IF(B357="","",IFERROR(VLOOKUP(B357,EmpTable,2,FALSE),""))</f>
        <v/>
      </c>
      <c r="H357" s="14" t="str">
        <f>IF(OR(F357="",G357=""),"",F357*G357)</f>
        <v/>
      </c>
      <c r="I357" s="10" t="n"/>
    </row>
    <row r="358">
      <c r="A358" s="9" t="n"/>
      <c r="B358" s="10" t="n"/>
      <c r="C358" s="11" t="n"/>
      <c r="D358" s="11" t="n"/>
      <c r="E358" s="12" t="n"/>
      <c r="F358" s="13" t="str">
        <f>IF(OR(C358="",D358=""),"",ROUND(MOD(D358-C358,1)*24-N(E358)/60,2))</f>
        <v/>
      </c>
      <c r="G358" s="14" t="str">
        <f>IF(B358="","",IFERROR(VLOOKUP(B358,EmpTable,2,FALSE),""))</f>
        <v/>
      </c>
      <c r="H358" s="14" t="str">
        <f>IF(OR(F358="",G358=""),"",F358*G358)</f>
        <v/>
      </c>
      <c r="I358" s="10" t="n"/>
    </row>
    <row r="359">
      <c r="A359" s="9" t="n"/>
      <c r="B359" s="10" t="n"/>
      <c r="C359" s="11" t="n"/>
      <c r="D359" s="11" t="n"/>
      <c r="E359" s="12" t="n"/>
      <c r="F359" s="13" t="str">
        <f>IF(OR(C359="",D359=""),"",ROUND(MOD(D359-C359,1)*24-N(E359)/60,2))</f>
        <v/>
      </c>
      <c r="G359" s="14" t="str">
        <f>IF(B359="","",IFERROR(VLOOKUP(B359,EmpTable,2,FALSE),""))</f>
        <v/>
      </c>
      <c r="H359" s="14" t="str">
        <f>IF(OR(F359="",G359=""),"",F359*G359)</f>
        <v/>
      </c>
      <c r="I359" s="10" t="n"/>
    </row>
    <row r="360">
      <c r="A360" s="9" t="n"/>
      <c r="B360" s="10" t="n"/>
      <c r="C360" s="11" t="n"/>
      <c r="D360" s="11" t="n"/>
      <c r="E360" s="12" t="n"/>
      <c r="F360" s="13" t="str">
        <f>IF(OR(C360="",D360=""),"",ROUND(MOD(D360-C360,1)*24-N(E360)/60,2))</f>
        <v/>
      </c>
      <c r="G360" s="14" t="str">
        <f>IF(B360="","",IFERROR(VLOOKUP(B360,EmpTable,2,FALSE),""))</f>
        <v/>
      </c>
      <c r="H360" s="14" t="str">
        <f>IF(OR(F360="",G360=""),"",F360*G360)</f>
        <v/>
      </c>
      <c r="I360" s="10" t="n"/>
    </row>
    <row r="361">
      <c r="A361" s="9" t="n"/>
      <c r="B361" s="10" t="n"/>
      <c r="C361" s="11" t="n"/>
      <c r="D361" s="11" t="n"/>
      <c r="E361" s="12" t="n"/>
      <c r="F361" s="13" t="str">
        <f>IF(OR(C361="",D361=""),"",ROUND(MOD(D361-C361,1)*24-N(E361)/60,2))</f>
        <v/>
      </c>
      <c r="G361" s="14" t="str">
        <f>IF(B361="","",IFERROR(VLOOKUP(B361,EmpTable,2,FALSE),""))</f>
        <v/>
      </c>
      <c r="H361" s="14" t="str">
        <f>IF(OR(F361="",G361=""),"",F361*G361)</f>
        <v/>
      </c>
      <c r="I361" s="10" t="n"/>
    </row>
    <row r="362">
      <c r="A362" s="9" t="n"/>
      <c r="B362" s="10" t="n"/>
      <c r="C362" s="11" t="n"/>
      <c r="D362" s="11" t="n"/>
      <c r="E362" s="12" t="n"/>
      <c r="F362" s="13" t="str">
        <f>IF(OR(C362="",D362=""),"",ROUND(MOD(D362-C362,1)*24-N(E362)/60,2))</f>
        <v/>
      </c>
      <c r="G362" s="14" t="str">
        <f>IF(B362="","",IFERROR(VLOOKUP(B362,EmpTable,2,FALSE),""))</f>
        <v/>
      </c>
      <c r="H362" s="14" t="str">
        <f>IF(OR(F362="",G362=""),"",F362*G362)</f>
        <v/>
      </c>
      <c r="I362" s="10" t="n"/>
    </row>
    <row r="363">
      <c r="A363" s="9" t="n"/>
      <c r="B363" s="10" t="n"/>
      <c r="C363" s="11" t="n"/>
      <c r="D363" s="11" t="n"/>
      <c r="E363" s="12" t="n"/>
      <c r="F363" s="13" t="str">
        <f>IF(OR(C363="",D363=""),"",ROUND(MOD(D363-C363,1)*24-N(E363)/60,2))</f>
        <v/>
      </c>
      <c r="G363" s="14" t="str">
        <f>IF(B363="","",IFERROR(VLOOKUP(B363,EmpTable,2,FALSE),""))</f>
        <v/>
      </c>
      <c r="H363" s="14" t="str">
        <f>IF(OR(F363="",G363=""),"",F363*G363)</f>
        <v/>
      </c>
      <c r="I363" s="10" t="n"/>
    </row>
    <row r="364">
      <c r="A364" s="9" t="n"/>
      <c r="B364" s="10" t="n"/>
      <c r="C364" s="11" t="n"/>
      <c r="D364" s="11" t="n"/>
      <c r="E364" s="12" t="n"/>
      <c r="F364" s="13" t="str">
        <f>IF(OR(C364="",D364=""),"",ROUND(MOD(D364-C364,1)*24-N(E364)/60,2))</f>
        <v/>
      </c>
      <c r="G364" s="14" t="str">
        <f>IF(B364="","",IFERROR(VLOOKUP(B364,EmpTable,2,FALSE),""))</f>
        <v/>
      </c>
      <c r="H364" s="14" t="str">
        <f>IF(OR(F364="",G364=""),"",F364*G364)</f>
        <v/>
      </c>
      <c r="I364" s="10" t="n"/>
    </row>
    <row r="365">
      <c r="A365" s="9" t="n"/>
      <c r="B365" s="10" t="n"/>
      <c r="C365" s="11" t="n"/>
      <c r="D365" s="11" t="n"/>
      <c r="E365" s="12" t="n"/>
      <c r="F365" s="13" t="str">
        <f>IF(OR(C365="",D365=""),"",ROUND(MOD(D365-C365,1)*24-N(E365)/60,2))</f>
        <v/>
      </c>
      <c r="G365" s="14" t="str">
        <f>IF(B365="","",IFERROR(VLOOKUP(B365,EmpTable,2,FALSE),""))</f>
        <v/>
      </c>
      <c r="H365" s="14" t="str">
        <f>IF(OR(F365="",G365=""),"",F365*G365)</f>
        <v/>
      </c>
      <c r="I365" s="10" t="n"/>
    </row>
    <row r="366">
      <c r="A366" s="9" t="n"/>
      <c r="B366" s="10" t="n"/>
      <c r="C366" s="11" t="n"/>
      <c r="D366" s="11" t="n"/>
      <c r="E366" s="12" t="n"/>
      <c r="F366" s="13" t="str">
        <f>IF(OR(C366="",D366=""),"",ROUND(MOD(D366-C366,1)*24-N(E366)/60,2))</f>
        <v/>
      </c>
      <c r="G366" s="14" t="str">
        <f>IF(B366="","",IFERROR(VLOOKUP(B366,EmpTable,2,FALSE),""))</f>
        <v/>
      </c>
      <c r="H366" s="14" t="str">
        <f>IF(OR(F366="",G366=""),"",F366*G366)</f>
        <v/>
      </c>
      <c r="I366" s="10" t="n"/>
    </row>
    <row r="367">
      <c r="A367" s="9" t="n"/>
      <c r="B367" s="10" t="n"/>
      <c r="C367" s="11" t="n"/>
      <c r="D367" s="11" t="n"/>
      <c r="E367" s="12" t="n"/>
      <c r="F367" s="13" t="str">
        <f>IF(OR(C367="",D367=""),"",ROUND(MOD(D367-C367,1)*24-N(E367)/60,2))</f>
        <v/>
      </c>
      <c r="G367" s="14" t="str">
        <f>IF(B367="","",IFERROR(VLOOKUP(B367,EmpTable,2,FALSE),""))</f>
        <v/>
      </c>
      <c r="H367" s="14" t="str">
        <f>IF(OR(F367="",G367=""),"",F367*G367)</f>
        <v/>
      </c>
      <c r="I367" s="10" t="n"/>
    </row>
    <row r="368">
      <c r="A368" s="9" t="n"/>
      <c r="B368" s="10" t="n"/>
      <c r="C368" s="11" t="n"/>
      <c r="D368" s="11" t="n"/>
      <c r="E368" s="12" t="n"/>
      <c r="F368" s="13" t="str">
        <f>IF(OR(C368="",D368=""),"",ROUND(MOD(D368-C368,1)*24-N(E368)/60,2))</f>
        <v/>
      </c>
      <c r="G368" s="14" t="str">
        <f>IF(B368="","",IFERROR(VLOOKUP(B368,EmpTable,2,FALSE),""))</f>
        <v/>
      </c>
      <c r="H368" s="14" t="str">
        <f>IF(OR(F368="",G368=""),"",F368*G368)</f>
        <v/>
      </c>
      <c r="I368" s="10" t="n"/>
    </row>
    <row r="369">
      <c r="A369" s="9" t="n"/>
      <c r="B369" s="10" t="n"/>
      <c r="C369" s="11" t="n"/>
      <c r="D369" s="11" t="n"/>
      <c r="E369" s="12" t="n"/>
      <c r="F369" s="13" t="str">
        <f>IF(OR(C369="",D369=""),"",ROUND(MOD(D369-C369,1)*24-N(E369)/60,2))</f>
        <v/>
      </c>
      <c r="G369" s="14" t="str">
        <f>IF(B369="","",IFERROR(VLOOKUP(B369,EmpTable,2,FALSE),""))</f>
        <v/>
      </c>
      <c r="H369" s="14" t="str">
        <f>IF(OR(F369="",G369=""),"",F369*G369)</f>
        <v/>
      </c>
      <c r="I369" s="10" t="n"/>
    </row>
    <row r="370">
      <c r="A370" s="9" t="n"/>
      <c r="B370" s="10" t="n"/>
      <c r="C370" s="11" t="n"/>
      <c r="D370" s="11" t="n"/>
      <c r="E370" s="12" t="n"/>
      <c r="F370" s="13" t="str">
        <f>IF(OR(C370="",D370=""),"",ROUND(MOD(D370-C370,1)*24-N(E370)/60,2))</f>
        <v/>
      </c>
      <c r="G370" s="14" t="str">
        <f>IF(B370="","",IFERROR(VLOOKUP(B370,EmpTable,2,FALSE),""))</f>
        <v/>
      </c>
      <c r="H370" s="14" t="str">
        <f>IF(OR(F370="",G370=""),"",F370*G370)</f>
        <v/>
      </c>
      <c r="I370" s="10" t="n"/>
    </row>
    <row r="371">
      <c r="A371" s="9" t="n"/>
      <c r="B371" s="10" t="n"/>
      <c r="C371" s="11" t="n"/>
      <c r="D371" s="11" t="n"/>
      <c r="E371" s="12" t="n"/>
      <c r="F371" s="13" t="str">
        <f>IF(OR(C371="",D371=""),"",ROUND(MOD(D371-C371,1)*24-N(E371)/60,2))</f>
        <v/>
      </c>
      <c r="G371" s="14" t="str">
        <f>IF(B371="","",IFERROR(VLOOKUP(B371,EmpTable,2,FALSE),""))</f>
        <v/>
      </c>
      <c r="H371" s="14" t="str">
        <f>IF(OR(F371="",G371=""),"",F371*G371)</f>
        <v/>
      </c>
      <c r="I371" s="10" t="n"/>
    </row>
    <row r="372">
      <c r="A372" s="9" t="n"/>
      <c r="B372" s="10" t="n"/>
      <c r="C372" s="11" t="n"/>
      <c r="D372" s="11" t="n"/>
      <c r="E372" s="12" t="n"/>
      <c r="F372" s="13" t="str">
        <f>IF(OR(C372="",D372=""),"",ROUND(MOD(D372-C372,1)*24-N(E372)/60,2))</f>
        <v/>
      </c>
      <c r="G372" s="14" t="str">
        <f>IF(B372="","",IFERROR(VLOOKUP(B372,EmpTable,2,FALSE),""))</f>
        <v/>
      </c>
      <c r="H372" s="14" t="str">
        <f>IF(OR(F372="",G372=""),"",F372*G372)</f>
        <v/>
      </c>
      <c r="I372" s="10" t="n"/>
    </row>
    <row r="373">
      <c r="A373" s="9" t="n"/>
      <c r="B373" s="10" t="n"/>
      <c r="C373" s="11" t="n"/>
      <c r="D373" s="11" t="n"/>
      <c r="E373" s="12" t="n"/>
      <c r="F373" s="13" t="str">
        <f>IF(OR(C373="",D373=""),"",ROUND(MOD(D373-C373,1)*24-N(E373)/60,2))</f>
        <v/>
      </c>
      <c r="G373" s="14" t="str">
        <f>IF(B373="","",IFERROR(VLOOKUP(B373,EmpTable,2,FALSE),""))</f>
        <v/>
      </c>
      <c r="H373" s="14" t="str">
        <f>IF(OR(F373="",G373=""),"",F373*G373)</f>
        <v/>
      </c>
      <c r="I373" s="10" t="n"/>
    </row>
    <row r="374">
      <c r="A374" s="9" t="n"/>
      <c r="B374" s="10" t="n"/>
      <c r="C374" s="11" t="n"/>
      <c r="D374" s="11" t="n"/>
      <c r="E374" s="12" t="n"/>
      <c r="F374" s="13" t="str">
        <f>IF(OR(C374="",D374=""),"",ROUND(MOD(D374-C374,1)*24-N(E374)/60,2))</f>
        <v/>
      </c>
      <c r="G374" s="14" t="str">
        <f>IF(B374="","",IFERROR(VLOOKUP(B374,EmpTable,2,FALSE),""))</f>
        <v/>
      </c>
      <c r="H374" s="14" t="str">
        <f>IF(OR(F374="",G374=""),"",F374*G374)</f>
        <v/>
      </c>
      <c r="I374" s="10" t="n"/>
    </row>
    <row r="375">
      <c r="A375" s="9" t="n"/>
      <c r="B375" s="10" t="n"/>
      <c r="C375" s="11" t="n"/>
      <c r="D375" s="11" t="n"/>
      <c r="E375" s="12" t="n"/>
      <c r="F375" s="13" t="str">
        <f>IF(OR(C375="",D375=""),"",ROUND(MOD(D375-C375,1)*24-N(E375)/60,2))</f>
        <v/>
      </c>
      <c r="G375" s="14" t="str">
        <f>IF(B375="","",IFERROR(VLOOKUP(B375,EmpTable,2,FALSE),""))</f>
        <v/>
      </c>
      <c r="H375" s="14" t="str">
        <f>IF(OR(F375="",G375=""),"",F375*G375)</f>
        <v/>
      </c>
      <c r="I375" s="10" t="n"/>
    </row>
    <row r="376">
      <c r="A376" s="9" t="n"/>
      <c r="B376" s="10" t="n"/>
      <c r="C376" s="11" t="n"/>
      <c r="D376" s="11" t="n"/>
      <c r="E376" s="12" t="n"/>
      <c r="F376" s="13" t="str">
        <f>IF(OR(C376="",D376=""),"",ROUND(MOD(D376-C376,1)*24-N(E376)/60,2))</f>
        <v/>
      </c>
      <c r="G376" s="14" t="str">
        <f>IF(B376="","",IFERROR(VLOOKUP(B376,EmpTable,2,FALSE),""))</f>
        <v/>
      </c>
      <c r="H376" s="14" t="str">
        <f>IF(OR(F376="",G376=""),"",F376*G376)</f>
        <v/>
      </c>
      <c r="I376" s="10" t="n"/>
    </row>
    <row r="377">
      <c r="A377" s="9" t="n"/>
      <c r="B377" s="10" t="n"/>
      <c r="C377" s="11" t="n"/>
      <c r="D377" s="11" t="n"/>
      <c r="E377" s="12" t="n"/>
      <c r="F377" s="13" t="str">
        <f>IF(OR(C377="",D377=""),"",ROUND(MOD(D377-C377,1)*24-N(E377)/60,2))</f>
        <v/>
      </c>
      <c r="G377" s="14" t="str">
        <f>IF(B377="","",IFERROR(VLOOKUP(B377,EmpTable,2,FALSE),""))</f>
        <v/>
      </c>
      <c r="H377" s="14" t="str">
        <f>IF(OR(F377="",G377=""),"",F377*G377)</f>
        <v/>
      </c>
      <c r="I377" s="10" t="n"/>
    </row>
    <row r="378">
      <c r="A378" s="9" t="n"/>
      <c r="B378" s="10" t="n"/>
      <c r="C378" s="11" t="n"/>
      <c r="D378" s="11" t="n"/>
      <c r="E378" s="12" t="n"/>
      <c r="F378" s="13" t="str">
        <f>IF(OR(C378="",D378=""),"",ROUND(MOD(D378-C378,1)*24-N(E378)/60,2))</f>
        <v/>
      </c>
      <c r="G378" s="14" t="str">
        <f>IF(B378="","",IFERROR(VLOOKUP(B378,EmpTable,2,FALSE),""))</f>
        <v/>
      </c>
      <c r="H378" s="14" t="str">
        <f>IF(OR(F378="",G378=""),"",F378*G378)</f>
        <v/>
      </c>
      <c r="I378" s="10" t="n"/>
    </row>
    <row r="379">
      <c r="A379" s="9" t="n"/>
      <c r="B379" s="10" t="n"/>
      <c r="C379" s="11" t="n"/>
      <c r="D379" s="11" t="n"/>
      <c r="E379" s="12" t="n"/>
      <c r="F379" s="13" t="str">
        <f>IF(OR(C379="",D379=""),"",ROUND(MOD(D379-C379,1)*24-N(E379)/60,2))</f>
        <v/>
      </c>
      <c r="G379" s="14" t="str">
        <f>IF(B379="","",IFERROR(VLOOKUP(B379,EmpTable,2,FALSE),""))</f>
        <v/>
      </c>
      <c r="H379" s="14" t="str">
        <f>IF(OR(F379="",G379=""),"",F379*G379)</f>
        <v/>
      </c>
      <c r="I379" s="10" t="n"/>
    </row>
    <row r="380">
      <c r="A380" s="9" t="n"/>
      <c r="B380" s="10" t="n"/>
      <c r="C380" s="11" t="n"/>
      <c r="D380" s="11" t="n"/>
      <c r="E380" s="12" t="n"/>
      <c r="F380" s="13" t="str">
        <f>IF(OR(C380="",D380=""),"",ROUND(MOD(D380-C380,1)*24-N(E380)/60,2))</f>
        <v/>
      </c>
      <c r="G380" s="14" t="str">
        <f>IF(B380="","",IFERROR(VLOOKUP(B380,EmpTable,2,FALSE),""))</f>
        <v/>
      </c>
      <c r="H380" s="14" t="str">
        <f>IF(OR(F380="",G380=""),"",F380*G380)</f>
        <v/>
      </c>
      <c r="I380" s="10" t="n"/>
    </row>
    <row r="381">
      <c r="A381" s="9" t="n"/>
      <c r="B381" s="10" t="n"/>
      <c r="C381" s="11" t="n"/>
      <c r="D381" s="11" t="n"/>
      <c r="E381" s="12" t="n"/>
      <c r="F381" s="13" t="str">
        <f>IF(OR(C381="",D381=""),"",ROUND(MOD(D381-C381,1)*24-N(E381)/60,2))</f>
        <v/>
      </c>
      <c r="G381" s="14" t="str">
        <f>IF(B381="","",IFERROR(VLOOKUP(B381,EmpTable,2,FALSE),""))</f>
        <v/>
      </c>
      <c r="H381" s="14" t="str">
        <f>IF(OR(F381="",G381=""),"",F381*G381)</f>
        <v/>
      </c>
      <c r="I381" s="10" t="n"/>
    </row>
    <row r="382">
      <c r="A382" s="9" t="n"/>
      <c r="B382" s="10" t="n"/>
      <c r="C382" s="11" t="n"/>
      <c r="D382" s="11" t="n"/>
      <c r="E382" s="12" t="n"/>
      <c r="F382" s="13" t="str">
        <f>IF(OR(C382="",D382=""),"",ROUND(MOD(D382-C382,1)*24-N(E382)/60,2))</f>
        <v/>
      </c>
      <c r="G382" s="14" t="str">
        <f>IF(B382="","",IFERROR(VLOOKUP(B382,EmpTable,2,FALSE),""))</f>
        <v/>
      </c>
      <c r="H382" s="14" t="str">
        <f>IF(OR(F382="",G382=""),"",F382*G382)</f>
        <v/>
      </c>
      <c r="I382" s="10" t="n"/>
    </row>
    <row r="383">
      <c r="A383" s="9" t="n"/>
      <c r="B383" s="10" t="n"/>
      <c r="C383" s="11" t="n"/>
      <c r="D383" s="11" t="n"/>
      <c r="E383" s="12" t="n"/>
      <c r="F383" s="13" t="str">
        <f>IF(OR(C383="",D383=""),"",ROUND(MOD(D383-C383,1)*24-N(E383)/60,2))</f>
        <v/>
      </c>
      <c r="G383" s="14" t="str">
        <f>IF(B383="","",IFERROR(VLOOKUP(B383,EmpTable,2,FALSE),""))</f>
        <v/>
      </c>
      <c r="H383" s="14" t="str">
        <f>IF(OR(F383="",G383=""),"",F383*G383)</f>
        <v/>
      </c>
      <c r="I383" s="10" t="n"/>
    </row>
    <row r="384">
      <c r="A384" s="9" t="n"/>
      <c r="B384" s="10" t="n"/>
      <c r="C384" s="11" t="n"/>
      <c r="D384" s="11" t="n"/>
      <c r="E384" s="12" t="n"/>
      <c r="F384" s="13" t="str">
        <f>IF(OR(C384="",D384=""),"",ROUND(MOD(D384-C384,1)*24-N(E384)/60,2))</f>
        <v/>
      </c>
      <c r="G384" s="14" t="str">
        <f>IF(B384="","",IFERROR(VLOOKUP(B384,EmpTable,2,FALSE),""))</f>
        <v/>
      </c>
      <c r="H384" s="14" t="str">
        <f>IF(OR(F384="",G384=""),"",F384*G384)</f>
        <v/>
      </c>
      <c r="I384" s="10" t="n"/>
    </row>
    <row r="385">
      <c r="A385" s="9" t="n"/>
      <c r="B385" s="10" t="n"/>
      <c r="C385" s="11" t="n"/>
      <c r="D385" s="11" t="n"/>
      <c r="E385" s="12" t="n"/>
      <c r="F385" s="13" t="str">
        <f>IF(OR(C385="",D385=""),"",ROUND(MOD(D385-C385,1)*24-N(E385)/60,2))</f>
        <v/>
      </c>
      <c r="G385" s="14" t="str">
        <f>IF(B385="","",IFERROR(VLOOKUP(B385,EmpTable,2,FALSE),""))</f>
        <v/>
      </c>
      <c r="H385" s="14" t="str">
        <f>IF(OR(F385="",G385=""),"",F385*G385)</f>
        <v/>
      </c>
      <c r="I385" s="10" t="n"/>
    </row>
    <row r="386">
      <c r="A386" s="9" t="n"/>
      <c r="B386" s="10" t="n"/>
      <c r="C386" s="11" t="n"/>
      <c r="D386" s="11" t="n"/>
      <c r="E386" s="12" t="n"/>
      <c r="F386" s="13" t="str">
        <f>IF(OR(C386="",D386=""),"",ROUND(MOD(D386-C386,1)*24-N(E386)/60,2))</f>
        <v/>
      </c>
      <c r="G386" s="14" t="str">
        <f>IF(B386="","",IFERROR(VLOOKUP(B386,EmpTable,2,FALSE),""))</f>
        <v/>
      </c>
      <c r="H386" s="14" t="str">
        <f>IF(OR(F386="",G386=""),"",F386*G386)</f>
        <v/>
      </c>
      <c r="I386" s="10" t="n"/>
    </row>
    <row r="387">
      <c r="A387" s="9" t="n"/>
      <c r="B387" s="10" t="n"/>
      <c r="C387" s="11" t="n"/>
      <c r="D387" s="11" t="n"/>
      <c r="E387" s="12" t="n"/>
      <c r="F387" s="13" t="str">
        <f>IF(OR(C387="",D387=""),"",ROUND(MOD(D387-C387,1)*24-N(E387)/60,2))</f>
        <v/>
      </c>
      <c r="G387" s="14" t="str">
        <f>IF(B387="","",IFERROR(VLOOKUP(B387,EmpTable,2,FALSE),""))</f>
        <v/>
      </c>
      <c r="H387" s="14" t="str">
        <f>IF(OR(F387="",G387=""),"",F387*G387)</f>
        <v/>
      </c>
      <c r="I387" s="10" t="n"/>
    </row>
    <row r="388">
      <c r="A388" s="9" t="n"/>
      <c r="B388" s="10" t="n"/>
      <c r="C388" s="11" t="n"/>
      <c r="D388" s="11" t="n"/>
      <c r="E388" s="12" t="n"/>
      <c r="F388" s="13" t="str">
        <f>IF(OR(C388="",D388=""),"",ROUND(MOD(D388-C388,1)*24-N(E388)/60,2))</f>
        <v/>
      </c>
      <c r="G388" s="14" t="str">
        <f>IF(B388="","",IFERROR(VLOOKUP(B388,EmpTable,2,FALSE),""))</f>
        <v/>
      </c>
      <c r="H388" s="14" t="str">
        <f>IF(OR(F388="",G388=""),"",F388*G388)</f>
        <v/>
      </c>
      <c r="I388" s="10" t="n"/>
    </row>
    <row r="389">
      <c r="A389" s="9" t="n"/>
      <c r="B389" s="10" t="n"/>
      <c r="C389" s="11" t="n"/>
      <c r="D389" s="11" t="n"/>
      <c r="E389" s="12" t="n"/>
      <c r="F389" s="13" t="str">
        <f>IF(OR(C389="",D389=""),"",ROUND(MOD(D389-C389,1)*24-N(E389)/60,2))</f>
        <v/>
      </c>
      <c r="G389" s="14" t="str">
        <f>IF(B389="","",IFERROR(VLOOKUP(B389,EmpTable,2,FALSE),""))</f>
        <v/>
      </c>
      <c r="H389" s="14" t="str">
        <f>IF(OR(F389="",G389=""),"",F389*G389)</f>
        <v/>
      </c>
      <c r="I389" s="10" t="n"/>
    </row>
    <row r="390">
      <c r="A390" s="9" t="n"/>
      <c r="B390" s="10" t="n"/>
      <c r="C390" s="11" t="n"/>
      <c r="D390" s="11" t="n"/>
      <c r="E390" s="12" t="n"/>
      <c r="F390" s="13" t="str">
        <f>IF(OR(C390="",D390=""),"",ROUND(MOD(D390-C390,1)*24-N(E390)/60,2))</f>
        <v/>
      </c>
      <c r="G390" s="14" t="str">
        <f>IF(B390="","",IFERROR(VLOOKUP(B390,EmpTable,2,FALSE),""))</f>
        <v/>
      </c>
      <c r="H390" s="14" t="str">
        <f>IF(OR(F390="",G390=""),"",F390*G390)</f>
        <v/>
      </c>
      <c r="I390" s="10" t="n"/>
    </row>
    <row r="391">
      <c r="A391" s="9" t="n"/>
      <c r="B391" s="10" t="n"/>
      <c r="C391" s="11" t="n"/>
      <c r="D391" s="11" t="n"/>
      <c r="E391" s="12" t="n"/>
      <c r="F391" s="13" t="str">
        <f>IF(OR(C391="",D391=""),"",ROUND(MOD(D391-C391,1)*24-N(E391)/60,2))</f>
        <v/>
      </c>
      <c r="G391" s="14" t="str">
        <f>IF(B391="","",IFERROR(VLOOKUP(B391,EmpTable,2,FALSE),""))</f>
        <v/>
      </c>
      <c r="H391" s="14" t="str">
        <f>IF(OR(F391="",G391=""),"",F391*G391)</f>
        <v/>
      </c>
      <c r="I391" s="10" t="n"/>
    </row>
    <row r="392">
      <c r="A392" s="9" t="n"/>
      <c r="B392" s="10" t="n"/>
      <c r="C392" s="11" t="n"/>
      <c r="D392" s="11" t="n"/>
      <c r="E392" s="12" t="n"/>
      <c r="F392" s="13" t="str">
        <f>IF(OR(C392="",D392=""),"",ROUND(MOD(D392-C392,1)*24-N(E392)/60,2))</f>
        <v/>
      </c>
      <c r="G392" s="14" t="str">
        <f>IF(B392="","",IFERROR(VLOOKUP(B392,EmpTable,2,FALSE),""))</f>
        <v/>
      </c>
      <c r="H392" s="14" t="str">
        <f>IF(OR(F392="",G392=""),"",F392*G392)</f>
        <v/>
      </c>
      <c r="I392" s="10" t="n"/>
    </row>
    <row r="393">
      <c r="A393" s="9" t="n"/>
      <c r="B393" s="10" t="n"/>
      <c r="C393" s="11" t="n"/>
      <c r="D393" s="11" t="n"/>
      <c r="E393" s="12" t="n"/>
      <c r="F393" s="13" t="str">
        <f>IF(OR(C393="",D393=""),"",ROUND(MOD(D393-C393,1)*24-N(E393)/60,2))</f>
        <v/>
      </c>
      <c r="G393" s="14" t="str">
        <f>IF(B393="","",IFERROR(VLOOKUP(B393,EmpTable,2,FALSE),""))</f>
        <v/>
      </c>
      <c r="H393" s="14" t="str">
        <f>IF(OR(F393="",G393=""),"",F393*G393)</f>
        <v/>
      </c>
      <c r="I393" s="10" t="n"/>
    </row>
    <row r="394">
      <c r="A394" s="9" t="n"/>
      <c r="B394" s="10" t="n"/>
      <c r="C394" s="11" t="n"/>
      <c r="D394" s="11" t="n"/>
      <c r="E394" s="12" t="n"/>
      <c r="F394" s="13" t="str">
        <f>IF(OR(C394="",D394=""),"",ROUND(MOD(D394-C394,1)*24-N(E394)/60,2))</f>
        <v/>
      </c>
      <c r="G394" s="14" t="str">
        <f>IF(B394="","",IFERROR(VLOOKUP(B394,EmpTable,2,FALSE),""))</f>
        <v/>
      </c>
      <c r="H394" s="14" t="str">
        <f>IF(OR(F394="",G394=""),"",F394*G394)</f>
        <v/>
      </c>
      <c r="I394" s="10" t="n"/>
    </row>
    <row r="395">
      <c r="A395" s="9" t="n"/>
      <c r="B395" s="10" t="n"/>
      <c r="C395" s="11" t="n"/>
      <c r="D395" s="11" t="n"/>
      <c r="E395" s="12" t="n"/>
      <c r="F395" s="13" t="str">
        <f>IF(OR(C395="",D395=""),"",ROUND(MOD(D395-C395,1)*24-N(E395)/60,2))</f>
        <v/>
      </c>
      <c r="G395" s="14" t="str">
        <f>IF(B395="","",IFERROR(VLOOKUP(B395,EmpTable,2,FALSE),""))</f>
        <v/>
      </c>
      <c r="H395" s="14" t="str">
        <f>IF(OR(F395="",G395=""),"",F395*G395)</f>
        <v/>
      </c>
      <c r="I395" s="10" t="n"/>
    </row>
    <row r="396">
      <c r="A396" s="9" t="n"/>
      <c r="B396" s="10" t="n"/>
      <c r="C396" s="11" t="n"/>
      <c r="D396" s="11" t="n"/>
      <c r="E396" s="12" t="n"/>
      <c r="F396" s="13" t="str">
        <f>IF(OR(C396="",D396=""),"",ROUND(MOD(D396-C396,1)*24-N(E396)/60,2))</f>
        <v/>
      </c>
      <c r="G396" s="14" t="str">
        <f>IF(B396="","",IFERROR(VLOOKUP(B396,EmpTable,2,FALSE),""))</f>
        <v/>
      </c>
      <c r="H396" s="14" t="str">
        <f>IF(OR(F396="",G396=""),"",F396*G396)</f>
        <v/>
      </c>
      <c r="I396" s="10" t="n"/>
    </row>
    <row r="397">
      <c r="A397" s="9" t="n"/>
      <c r="B397" s="10" t="n"/>
      <c r="C397" s="11" t="n"/>
      <c r="D397" s="11" t="n"/>
      <c r="E397" s="12" t="n"/>
      <c r="F397" s="13" t="str">
        <f>IF(OR(C397="",D397=""),"",ROUND(MOD(D397-C397,1)*24-N(E397)/60,2))</f>
        <v/>
      </c>
      <c r="G397" s="14" t="str">
        <f>IF(B397="","",IFERROR(VLOOKUP(B397,EmpTable,2,FALSE),""))</f>
        <v/>
      </c>
      <c r="H397" s="14" t="str">
        <f>IF(OR(F397="",G397=""),"",F397*G397)</f>
        <v/>
      </c>
      <c r="I397" s="10" t="n"/>
    </row>
    <row r="398">
      <c r="A398" s="9" t="n"/>
      <c r="B398" s="10" t="n"/>
      <c r="C398" s="11" t="n"/>
      <c r="D398" s="11" t="n"/>
      <c r="E398" s="12" t="n"/>
      <c r="F398" s="13" t="str">
        <f>IF(OR(C398="",D398=""),"",ROUND(MOD(D398-C398,1)*24-N(E398)/60,2))</f>
        <v/>
      </c>
      <c r="G398" s="14" t="str">
        <f>IF(B398="","",IFERROR(VLOOKUP(B398,EmpTable,2,FALSE),""))</f>
        <v/>
      </c>
      <c r="H398" s="14" t="str">
        <f>IF(OR(F398="",G398=""),"",F398*G398)</f>
        <v/>
      </c>
      <c r="I398" s="10" t="n"/>
    </row>
    <row r="399">
      <c r="A399" s="9" t="n"/>
      <c r="B399" s="10" t="n"/>
      <c r="C399" s="11" t="n"/>
      <c r="D399" s="11" t="n"/>
      <c r="E399" s="12" t="n"/>
      <c r="F399" s="13" t="str">
        <f>IF(OR(C399="",D399=""),"",ROUND(MOD(D399-C399,1)*24-N(E399)/60,2))</f>
        <v/>
      </c>
      <c r="G399" s="14" t="str">
        <f>IF(B399="","",IFERROR(VLOOKUP(B399,EmpTable,2,FALSE),""))</f>
        <v/>
      </c>
      <c r="H399" s="14" t="str">
        <f>IF(OR(F399="",G399=""),"",F399*G399)</f>
        <v/>
      </c>
      <c r="I399" s="10" t="n"/>
    </row>
    <row r="400">
      <c r="A400" s="9" t="n"/>
      <c r="B400" s="10" t="n"/>
      <c r="C400" s="11" t="n"/>
      <c r="D400" s="11" t="n"/>
      <c r="E400" s="12" t="n"/>
      <c r="F400" s="13" t="str">
        <f>IF(OR(C400="",D400=""),"",ROUND(MOD(D400-C400,1)*24-N(E400)/60,2))</f>
        <v/>
      </c>
      <c r="G400" s="14" t="str">
        <f>IF(B400="","",IFERROR(VLOOKUP(B400,EmpTable,2,FALSE),""))</f>
        <v/>
      </c>
      <c r="H400" s="14" t="str">
        <f>IF(OR(F400="",G400=""),"",F400*G400)</f>
        <v/>
      </c>
      <c r="I400" s="10" t="n"/>
    </row>
    <row r="401">
      <c r="A401" s="9" t="n"/>
      <c r="B401" s="10" t="n"/>
      <c r="C401" s="11" t="n"/>
      <c r="D401" s="11" t="n"/>
      <c r="E401" s="12" t="n"/>
      <c r="F401" s="13" t="str">
        <f>IF(OR(C401="",D401=""),"",ROUND(MOD(D401-C401,1)*24-N(E401)/60,2))</f>
        <v/>
      </c>
      <c r="G401" s="14" t="str">
        <f>IF(B401="","",IFERROR(VLOOKUP(B401,EmpTable,2,FALSE),""))</f>
        <v/>
      </c>
      <c r="H401" s="14" t="str">
        <f>IF(OR(F401="",G401=""),"",F401*G401)</f>
        <v/>
      </c>
      <c r="I401" s="10" t="n"/>
    </row>
    <row r="402">
      <c r="A402" s="9" t="n"/>
      <c r="B402" s="10" t="n"/>
      <c r="C402" s="11" t="n"/>
      <c r="D402" s="11" t="n"/>
      <c r="E402" s="12" t="n"/>
      <c r="F402" s="13" t="str">
        <f>IF(OR(C402="",D402=""),"",ROUND(MOD(D402-C402,1)*24-N(E402)/60,2))</f>
        <v/>
      </c>
      <c r="G402" s="14" t="str">
        <f>IF(B402="","",IFERROR(VLOOKUP(B402,EmpTable,2,FALSE),""))</f>
        <v/>
      </c>
      <c r="H402" s="14" t="str">
        <f>IF(OR(F402="",G402=""),"",F402*G402)</f>
        <v/>
      </c>
      <c r="I402" s="10" t="n"/>
    </row>
    <row r="403">
      <c r="A403" s="9" t="n"/>
      <c r="B403" s="10" t="n"/>
      <c r="C403" s="11" t="n"/>
      <c r="D403" s="11" t="n"/>
      <c r="E403" s="12" t="n"/>
      <c r="F403" s="13" t="str">
        <f>IF(OR(C403="",D403=""),"",ROUND(MOD(D403-C403,1)*24-N(E403)/60,2))</f>
        <v/>
      </c>
      <c r="G403" s="14" t="str">
        <f>IF(B403="","",IFERROR(VLOOKUP(B403,EmpTable,2,FALSE),""))</f>
        <v/>
      </c>
      <c r="H403" s="14" t="str">
        <f>IF(OR(F403="",G403=""),"",F403*G403)</f>
        <v/>
      </c>
      <c r="I403" s="10" t="n"/>
    </row>
    <row r="404">
      <c r="A404" s="9" t="n"/>
      <c r="B404" s="10" t="n"/>
      <c r="C404" s="11" t="n"/>
      <c r="D404" s="11" t="n"/>
      <c r="E404" s="12" t="n"/>
      <c r="F404" s="13" t="str">
        <f>IF(OR(C404="",D404=""),"",ROUND(MOD(D404-C404,1)*24-N(E404)/60,2))</f>
        <v/>
      </c>
      <c r="G404" s="14" t="str">
        <f>IF(B404="","",IFERROR(VLOOKUP(B404,EmpTable,2,FALSE),""))</f>
        <v/>
      </c>
      <c r="H404" s="14" t="str">
        <f>IF(OR(F404="",G404=""),"",F404*G404)</f>
        <v/>
      </c>
      <c r="I404" s="10" t="n"/>
    </row>
    <row r="405">
      <c r="A405" s="9" t="n"/>
      <c r="B405" s="10" t="n"/>
      <c r="C405" s="11" t="n"/>
      <c r="D405" s="11" t="n"/>
      <c r="E405" s="12" t="n"/>
      <c r="F405" s="13" t="str">
        <f>IF(OR(C405="",D405=""),"",ROUND(MOD(D405-C405,1)*24-N(E405)/60,2))</f>
        <v/>
      </c>
      <c r="G405" s="14" t="str">
        <f>IF(B405="","",IFERROR(VLOOKUP(B405,EmpTable,2,FALSE),""))</f>
        <v/>
      </c>
      <c r="H405" s="14" t="str">
        <f>IF(OR(F405="",G405=""),"",F405*G405)</f>
        <v/>
      </c>
      <c r="I405" s="10" t="n"/>
    </row>
    <row r="406">
      <c r="A406" s="9" t="n"/>
      <c r="B406" s="10" t="n"/>
      <c r="C406" s="11" t="n"/>
      <c r="D406" s="11" t="n"/>
      <c r="E406" s="12" t="n"/>
      <c r="F406" s="13" t="str">
        <f>IF(OR(C406="",D406=""),"",ROUND(MOD(D406-C406,1)*24-N(E406)/60,2))</f>
        <v/>
      </c>
      <c r="G406" s="14" t="str">
        <f>IF(B406="","",IFERROR(VLOOKUP(B406,EmpTable,2,FALSE),""))</f>
        <v/>
      </c>
      <c r="H406" s="14" t="str">
        <f>IF(OR(F406="",G406=""),"",F406*G406)</f>
        <v/>
      </c>
      <c r="I406" s="10" t="n"/>
    </row>
    <row r="407">
      <c r="A407" s="9" t="n"/>
      <c r="B407" s="10" t="n"/>
      <c r="C407" s="11" t="n"/>
      <c r="D407" s="11" t="n"/>
      <c r="E407" s="12" t="n"/>
      <c r="F407" s="13" t="str">
        <f>IF(OR(C407="",D407=""),"",ROUND(MOD(D407-C407,1)*24-N(E407)/60,2))</f>
        <v/>
      </c>
      <c r="G407" s="14" t="str">
        <f>IF(B407="","",IFERROR(VLOOKUP(B407,EmpTable,2,FALSE),""))</f>
        <v/>
      </c>
      <c r="H407" s="14" t="str">
        <f>IF(OR(F407="",G407=""),"",F407*G407)</f>
        <v/>
      </c>
      <c r="I407" s="10" t="n"/>
    </row>
    <row r="408">
      <c r="A408" s="9" t="n"/>
      <c r="B408" s="10" t="n"/>
      <c r="C408" s="11" t="n"/>
      <c r="D408" s="11" t="n"/>
      <c r="E408" s="12" t="n"/>
      <c r="F408" s="13" t="str">
        <f>IF(OR(C408="",D408=""),"",ROUND(MOD(D408-C408,1)*24-N(E408)/60,2))</f>
        <v/>
      </c>
      <c r="G408" s="14" t="str">
        <f>IF(B408="","",IFERROR(VLOOKUP(B408,EmpTable,2,FALSE),""))</f>
        <v/>
      </c>
      <c r="H408" s="14" t="str">
        <f>IF(OR(F408="",G408=""),"",F408*G408)</f>
        <v/>
      </c>
      <c r="I408" s="10" t="n"/>
    </row>
    <row r="409">
      <c r="A409" s="9" t="n"/>
      <c r="B409" s="10" t="n"/>
      <c r="C409" s="11" t="n"/>
      <c r="D409" s="11" t="n"/>
      <c r="E409" s="12" t="n"/>
      <c r="F409" s="13" t="str">
        <f>IF(OR(C409="",D409=""),"",ROUND(MOD(D409-C409,1)*24-N(E409)/60,2))</f>
        <v/>
      </c>
      <c r="G409" s="14" t="str">
        <f>IF(B409="","",IFERROR(VLOOKUP(B409,EmpTable,2,FALSE),""))</f>
        <v/>
      </c>
      <c r="H409" s="14" t="str">
        <f>IF(OR(F409="",G409=""),"",F409*G409)</f>
        <v/>
      </c>
      <c r="I409" s="10" t="n"/>
    </row>
    <row r="410">
      <c r="A410" s="9" t="n"/>
      <c r="B410" s="10" t="n"/>
      <c r="C410" s="11" t="n"/>
      <c r="D410" s="11" t="n"/>
      <c r="E410" s="12" t="n"/>
      <c r="F410" s="13" t="str">
        <f>IF(OR(C410="",D410=""),"",ROUND(MOD(D410-C410,1)*24-N(E410)/60,2))</f>
        <v/>
      </c>
      <c r="G410" s="14" t="str">
        <f>IF(B410="","",IFERROR(VLOOKUP(B410,EmpTable,2,FALSE),""))</f>
        <v/>
      </c>
      <c r="H410" s="14" t="str">
        <f>IF(OR(F410="",G410=""),"",F410*G410)</f>
        <v/>
      </c>
      <c r="I410" s="10" t="n"/>
    </row>
    <row r="411">
      <c r="A411" s="9" t="n"/>
      <c r="B411" s="10" t="n"/>
      <c r="C411" s="11" t="n"/>
      <c r="D411" s="11" t="n"/>
      <c r="E411" s="12" t="n"/>
      <c r="F411" s="13" t="str">
        <f>IF(OR(C411="",D411=""),"",ROUND(MOD(D411-C411,1)*24-N(E411)/60,2))</f>
        <v/>
      </c>
      <c r="G411" s="14" t="str">
        <f>IF(B411="","",IFERROR(VLOOKUP(B411,EmpTable,2,FALSE),""))</f>
        <v/>
      </c>
      <c r="H411" s="14" t="str">
        <f>IF(OR(F411="",G411=""),"",F411*G411)</f>
        <v/>
      </c>
      <c r="I411" s="10" t="n"/>
    </row>
    <row r="412">
      <c r="A412" s="9" t="n"/>
      <c r="B412" s="10" t="n"/>
      <c r="C412" s="11" t="n"/>
      <c r="D412" s="11" t="n"/>
      <c r="E412" s="12" t="n"/>
      <c r="F412" s="13" t="str">
        <f>IF(OR(C412="",D412=""),"",ROUND(MOD(D412-C412,1)*24-N(E412)/60,2))</f>
        <v/>
      </c>
      <c r="G412" s="14" t="str">
        <f>IF(B412="","",IFERROR(VLOOKUP(B412,EmpTable,2,FALSE),""))</f>
        <v/>
      </c>
      <c r="H412" s="14" t="str">
        <f>IF(OR(F412="",G412=""),"",F412*G412)</f>
        <v/>
      </c>
      <c r="I412" s="10" t="n"/>
    </row>
    <row r="413">
      <c r="A413" s="9" t="n"/>
      <c r="B413" s="10" t="n"/>
      <c r="C413" s="11" t="n"/>
      <c r="D413" s="11" t="n"/>
      <c r="E413" s="12" t="n"/>
      <c r="F413" s="13" t="str">
        <f>IF(OR(C413="",D413=""),"",ROUND(MOD(D413-C413,1)*24-N(E413)/60,2))</f>
        <v/>
      </c>
      <c r="G413" s="14" t="str">
        <f>IF(B413="","",IFERROR(VLOOKUP(B413,EmpTable,2,FALSE),""))</f>
        <v/>
      </c>
      <c r="H413" s="14" t="str">
        <f>IF(OR(F413="",G413=""),"",F413*G413)</f>
        <v/>
      </c>
      <c r="I413" s="10" t="n"/>
    </row>
    <row r="414">
      <c r="A414" s="9" t="n"/>
      <c r="B414" s="10" t="n"/>
      <c r="C414" s="11" t="n"/>
      <c r="D414" s="11" t="n"/>
      <c r="E414" s="12" t="n"/>
      <c r="F414" s="13" t="str">
        <f>IF(OR(C414="",D414=""),"",ROUND(MOD(D414-C414,1)*24-N(E414)/60,2))</f>
        <v/>
      </c>
      <c r="G414" s="14" t="str">
        <f>IF(B414="","",IFERROR(VLOOKUP(B414,EmpTable,2,FALSE),""))</f>
        <v/>
      </c>
      <c r="H414" s="14" t="str">
        <f>IF(OR(F414="",G414=""),"",F414*G414)</f>
        <v/>
      </c>
      <c r="I414" s="10" t="n"/>
    </row>
    <row r="415">
      <c r="A415" s="9" t="n"/>
      <c r="B415" s="10" t="n"/>
      <c r="C415" s="11" t="n"/>
      <c r="D415" s="11" t="n"/>
      <c r="E415" s="12" t="n"/>
      <c r="F415" s="13" t="str">
        <f>IF(OR(C415="",D415=""),"",ROUND(MOD(D415-C415,1)*24-N(E415)/60,2))</f>
        <v/>
      </c>
      <c r="G415" s="14" t="str">
        <f>IF(B415="","",IFERROR(VLOOKUP(B415,EmpTable,2,FALSE),""))</f>
        <v/>
      </c>
      <c r="H415" s="14" t="str">
        <f>IF(OR(F415="",G415=""),"",F415*G415)</f>
        <v/>
      </c>
      <c r="I415" s="10" t="n"/>
    </row>
    <row r="416">
      <c r="A416" s="9" t="n"/>
      <c r="B416" s="10" t="n"/>
      <c r="C416" s="11" t="n"/>
      <c r="D416" s="11" t="n"/>
      <c r="E416" s="12" t="n"/>
      <c r="F416" s="13" t="str">
        <f>IF(OR(C416="",D416=""),"",ROUND(MOD(D416-C416,1)*24-N(E416)/60,2))</f>
        <v/>
      </c>
      <c r="G416" s="14" t="str">
        <f>IF(B416="","",IFERROR(VLOOKUP(B416,EmpTable,2,FALSE),""))</f>
        <v/>
      </c>
      <c r="H416" s="14" t="str">
        <f>IF(OR(F416="",G416=""),"",F416*G416)</f>
        <v/>
      </c>
      <c r="I416" s="10" t="n"/>
    </row>
    <row r="417">
      <c r="A417" s="9" t="n"/>
      <c r="B417" s="10" t="n"/>
      <c r="C417" s="11" t="n"/>
      <c r="D417" s="11" t="n"/>
      <c r="E417" s="12" t="n"/>
      <c r="F417" s="13" t="str">
        <f>IF(OR(C417="",D417=""),"",ROUND(MOD(D417-C417,1)*24-N(E417)/60,2))</f>
        <v/>
      </c>
      <c r="G417" s="14" t="str">
        <f>IF(B417="","",IFERROR(VLOOKUP(B417,EmpTable,2,FALSE),""))</f>
        <v/>
      </c>
      <c r="H417" s="14" t="str">
        <f>IF(OR(F417="",G417=""),"",F417*G417)</f>
        <v/>
      </c>
      <c r="I417" s="10" t="n"/>
    </row>
    <row r="418">
      <c r="A418" s="9" t="n"/>
      <c r="B418" s="10" t="n"/>
      <c r="C418" s="11" t="n"/>
      <c r="D418" s="11" t="n"/>
      <c r="E418" s="12" t="n"/>
      <c r="F418" s="13" t="str">
        <f>IF(OR(C418="",D418=""),"",ROUND(MOD(D418-C418,1)*24-N(E418)/60,2))</f>
        <v/>
      </c>
      <c r="G418" s="14" t="str">
        <f>IF(B418="","",IFERROR(VLOOKUP(B418,EmpTable,2,FALSE),""))</f>
        <v/>
      </c>
      <c r="H418" s="14" t="str">
        <f>IF(OR(F418="",G418=""),"",F418*G418)</f>
        <v/>
      </c>
      <c r="I418" s="10" t="n"/>
    </row>
    <row r="419">
      <c r="A419" s="9" t="n"/>
      <c r="B419" s="10" t="n"/>
      <c r="C419" s="11" t="n"/>
      <c r="D419" s="11" t="n"/>
      <c r="E419" s="12" t="n"/>
      <c r="F419" s="13" t="str">
        <f>IF(OR(C419="",D419=""),"",ROUND(MOD(D419-C419,1)*24-N(E419)/60,2))</f>
        <v/>
      </c>
      <c r="G419" s="14" t="str">
        <f>IF(B419="","",IFERROR(VLOOKUP(B419,EmpTable,2,FALSE),""))</f>
        <v/>
      </c>
      <c r="H419" s="14" t="str">
        <f>IF(OR(F419="",G419=""),"",F419*G419)</f>
        <v/>
      </c>
      <c r="I419" s="10" t="n"/>
    </row>
    <row r="420">
      <c r="A420" s="9" t="n"/>
      <c r="B420" s="10" t="n"/>
      <c r="C420" s="11" t="n"/>
      <c r="D420" s="11" t="n"/>
      <c r="E420" s="12" t="n"/>
      <c r="F420" s="13" t="str">
        <f>IF(OR(C420="",D420=""),"",ROUND(MOD(D420-C420,1)*24-N(E420)/60,2))</f>
        <v/>
      </c>
      <c r="G420" s="14" t="str">
        <f>IF(B420="","",IFERROR(VLOOKUP(B420,EmpTable,2,FALSE),""))</f>
        <v/>
      </c>
      <c r="H420" s="14" t="str">
        <f>IF(OR(F420="",G420=""),"",F420*G420)</f>
        <v/>
      </c>
      <c r="I420" s="10" t="n"/>
    </row>
    <row r="421">
      <c r="A421" s="9" t="n"/>
      <c r="B421" s="10" t="n"/>
      <c r="C421" s="11" t="n"/>
      <c r="D421" s="11" t="n"/>
      <c r="E421" s="12" t="n"/>
      <c r="F421" s="13" t="str">
        <f>IF(OR(C421="",D421=""),"",ROUND(MOD(D421-C421,1)*24-N(E421)/60,2))</f>
        <v/>
      </c>
      <c r="G421" s="14" t="str">
        <f>IF(B421="","",IFERROR(VLOOKUP(B421,EmpTable,2,FALSE),""))</f>
        <v/>
      </c>
      <c r="H421" s="14" t="str">
        <f>IF(OR(F421="",G421=""),"",F421*G421)</f>
        <v/>
      </c>
      <c r="I421" s="10" t="n"/>
    </row>
    <row r="422">
      <c r="A422" s="9" t="n"/>
      <c r="B422" s="10" t="n"/>
      <c r="C422" s="11" t="n"/>
      <c r="D422" s="11" t="n"/>
      <c r="E422" s="12" t="n"/>
      <c r="F422" s="13" t="str">
        <f>IF(OR(C422="",D422=""),"",ROUND(MOD(D422-C422,1)*24-N(E422)/60,2))</f>
        <v/>
      </c>
      <c r="G422" s="14" t="str">
        <f>IF(B422="","",IFERROR(VLOOKUP(B422,EmpTable,2,FALSE),""))</f>
        <v/>
      </c>
      <c r="H422" s="14" t="str">
        <f>IF(OR(F422="",G422=""),"",F422*G422)</f>
        <v/>
      </c>
      <c r="I422" s="10" t="n"/>
    </row>
    <row r="423">
      <c r="A423" s="9" t="n"/>
      <c r="B423" s="10" t="n"/>
      <c r="C423" s="11" t="n"/>
      <c r="D423" s="11" t="n"/>
      <c r="E423" s="12" t="n"/>
      <c r="F423" s="13" t="str">
        <f>IF(OR(C423="",D423=""),"",ROUND(MOD(D423-C423,1)*24-N(E423)/60,2))</f>
        <v/>
      </c>
      <c r="G423" s="14" t="str">
        <f>IF(B423="","",IFERROR(VLOOKUP(B423,EmpTable,2,FALSE),""))</f>
        <v/>
      </c>
      <c r="H423" s="14" t="str">
        <f>IF(OR(F423="",G423=""),"",F423*G423)</f>
        <v/>
      </c>
      <c r="I423" s="10" t="n"/>
    </row>
    <row r="424">
      <c r="A424" s="9" t="n"/>
      <c r="B424" s="10" t="n"/>
      <c r="C424" s="11" t="n"/>
      <c r="D424" s="11" t="n"/>
      <c r="E424" s="12" t="n"/>
      <c r="F424" s="13" t="str">
        <f>IF(OR(C424="",D424=""),"",ROUND(MOD(D424-C424,1)*24-N(E424)/60,2))</f>
        <v/>
      </c>
      <c r="G424" s="14" t="str">
        <f>IF(B424="","",IFERROR(VLOOKUP(B424,EmpTable,2,FALSE),""))</f>
        <v/>
      </c>
      <c r="H424" s="14" t="str">
        <f>IF(OR(F424="",G424=""),"",F424*G424)</f>
        <v/>
      </c>
      <c r="I424" s="10" t="n"/>
    </row>
    <row r="425">
      <c r="A425" s="9" t="n"/>
      <c r="B425" s="10" t="n"/>
      <c r="C425" s="11" t="n"/>
      <c r="D425" s="11" t="n"/>
      <c r="E425" s="12" t="n"/>
      <c r="F425" s="13" t="str">
        <f>IF(OR(C425="",D425=""),"",ROUND(MOD(D425-C425,1)*24-N(E425)/60,2))</f>
        <v/>
      </c>
      <c r="G425" s="14" t="str">
        <f>IF(B425="","",IFERROR(VLOOKUP(B425,EmpTable,2,FALSE),""))</f>
        <v/>
      </c>
      <c r="H425" s="14" t="str">
        <f>IF(OR(F425="",G425=""),"",F425*G425)</f>
        <v/>
      </c>
      <c r="I425" s="10" t="n"/>
    </row>
    <row r="426">
      <c r="A426" s="9" t="n"/>
      <c r="B426" s="10" t="n"/>
      <c r="C426" s="11" t="n"/>
      <c r="D426" s="11" t="n"/>
      <c r="E426" s="12" t="n"/>
      <c r="F426" s="13" t="str">
        <f>IF(OR(C426="",D426=""),"",ROUND(MOD(D426-C426,1)*24-N(E426)/60,2))</f>
        <v/>
      </c>
      <c r="G426" s="14" t="str">
        <f>IF(B426="","",IFERROR(VLOOKUP(B426,EmpTable,2,FALSE),""))</f>
        <v/>
      </c>
      <c r="H426" s="14" t="str">
        <f>IF(OR(F426="",G426=""),"",F426*G426)</f>
        <v/>
      </c>
      <c r="I426" s="10" t="n"/>
    </row>
    <row r="427">
      <c r="A427" s="9" t="n"/>
      <c r="B427" s="10" t="n"/>
      <c r="C427" s="11" t="n"/>
      <c r="D427" s="11" t="n"/>
      <c r="E427" s="12" t="n"/>
      <c r="F427" s="13" t="str">
        <f>IF(OR(C427="",D427=""),"",ROUND(MOD(D427-C427,1)*24-N(E427)/60,2))</f>
        <v/>
      </c>
      <c r="G427" s="14" t="str">
        <f>IF(B427="","",IFERROR(VLOOKUP(B427,EmpTable,2,FALSE),""))</f>
        <v/>
      </c>
      <c r="H427" s="14" t="str">
        <f>IF(OR(F427="",G427=""),"",F427*G427)</f>
        <v/>
      </c>
      <c r="I427" s="10" t="n"/>
    </row>
    <row r="428">
      <c r="A428" s="9" t="n"/>
      <c r="B428" s="10" t="n"/>
      <c r="C428" s="11" t="n"/>
      <c r="D428" s="11" t="n"/>
      <c r="E428" s="12" t="n"/>
      <c r="F428" s="13" t="str">
        <f>IF(OR(C428="",D428=""),"",ROUND(MOD(D428-C428,1)*24-N(E428)/60,2))</f>
        <v/>
      </c>
      <c r="G428" s="14" t="str">
        <f>IF(B428="","",IFERROR(VLOOKUP(B428,EmpTable,2,FALSE),""))</f>
        <v/>
      </c>
      <c r="H428" s="14" t="str">
        <f>IF(OR(F428="",G428=""),"",F428*G428)</f>
        <v/>
      </c>
      <c r="I428" s="10" t="n"/>
    </row>
    <row r="429">
      <c r="A429" s="9" t="n"/>
      <c r="B429" s="10" t="n"/>
      <c r="C429" s="11" t="n"/>
      <c r="D429" s="11" t="n"/>
      <c r="E429" s="12" t="n"/>
      <c r="F429" s="13" t="str">
        <f>IF(OR(C429="",D429=""),"",ROUND(MOD(D429-C429,1)*24-N(E429)/60,2))</f>
        <v/>
      </c>
      <c r="G429" s="14" t="str">
        <f>IF(B429="","",IFERROR(VLOOKUP(B429,EmpTable,2,FALSE),""))</f>
        <v/>
      </c>
      <c r="H429" s="14" t="str">
        <f>IF(OR(F429="",G429=""),"",F429*G429)</f>
        <v/>
      </c>
      <c r="I429" s="10" t="n"/>
    </row>
    <row r="430">
      <c r="A430" s="9" t="n"/>
      <c r="B430" s="10" t="n"/>
      <c r="C430" s="11" t="n"/>
      <c r="D430" s="11" t="n"/>
      <c r="E430" s="12" t="n"/>
      <c r="F430" s="13" t="str">
        <f>IF(OR(C430="",D430=""),"",ROUND(MOD(D430-C430,1)*24-N(E430)/60,2))</f>
        <v/>
      </c>
      <c r="G430" s="14" t="str">
        <f>IF(B430="","",IFERROR(VLOOKUP(B430,EmpTable,2,FALSE),""))</f>
        <v/>
      </c>
      <c r="H430" s="14" t="str">
        <f>IF(OR(F430="",G430=""),"",F430*G430)</f>
        <v/>
      </c>
      <c r="I430" s="10" t="n"/>
    </row>
    <row r="431">
      <c r="A431" s="9" t="n"/>
      <c r="B431" s="10" t="n"/>
      <c r="C431" s="11" t="n"/>
      <c r="D431" s="11" t="n"/>
      <c r="E431" s="12" t="n"/>
      <c r="F431" s="13" t="str">
        <f>IF(OR(C431="",D431=""),"",ROUND(MOD(D431-C431,1)*24-N(E431)/60,2))</f>
        <v/>
      </c>
      <c r="G431" s="14" t="str">
        <f>IF(B431="","",IFERROR(VLOOKUP(B431,EmpTable,2,FALSE),""))</f>
        <v/>
      </c>
      <c r="H431" s="14" t="str">
        <f>IF(OR(F431="",G431=""),"",F431*G431)</f>
        <v/>
      </c>
      <c r="I431" s="10" t="n"/>
    </row>
    <row r="432">
      <c r="A432" s="9" t="n"/>
      <c r="B432" s="10" t="n"/>
      <c r="C432" s="11" t="n"/>
      <c r="D432" s="11" t="n"/>
      <c r="E432" s="12" t="n"/>
      <c r="F432" s="13" t="str">
        <f>IF(OR(C432="",D432=""),"",ROUND(MOD(D432-C432,1)*24-N(E432)/60,2))</f>
        <v/>
      </c>
      <c r="G432" s="14" t="str">
        <f>IF(B432="","",IFERROR(VLOOKUP(B432,EmpTable,2,FALSE),""))</f>
        <v/>
      </c>
      <c r="H432" s="14" t="str">
        <f>IF(OR(F432="",G432=""),"",F432*G432)</f>
        <v/>
      </c>
      <c r="I432" s="10" t="n"/>
    </row>
    <row r="433">
      <c r="A433" s="9" t="n"/>
      <c r="B433" s="10" t="n"/>
      <c r="C433" s="11" t="n"/>
      <c r="D433" s="11" t="n"/>
      <c r="E433" s="12" t="n"/>
      <c r="F433" s="13" t="str">
        <f>IF(OR(C433="",D433=""),"",ROUND(MOD(D433-C433,1)*24-N(E433)/60,2))</f>
        <v/>
      </c>
      <c r="G433" s="14" t="str">
        <f>IF(B433="","",IFERROR(VLOOKUP(B433,EmpTable,2,FALSE),""))</f>
        <v/>
      </c>
      <c r="H433" s="14" t="str">
        <f>IF(OR(F433="",G433=""),"",F433*G433)</f>
        <v/>
      </c>
      <c r="I433" s="10" t="n"/>
    </row>
    <row r="434">
      <c r="A434" s="9" t="n"/>
      <c r="B434" s="10" t="n"/>
      <c r="C434" s="11" t="n"/>
      <c r="D434" s="11" t="n"/>
      <c r="E434" s="12" t="n"/>
      <c r="F434" s="13" t="str">
        <f>IF(OR(C434="",D434=""),"",ROUND(MOD(D434-C434,1)*24-N(E434)/60,2))</f>
        <v/>
      </c>
      <c r="G434" s="14" t="str">
        <f>IF(B434="","",IFERROR(VLOOKUP(B434,EmpTable,2,FALSE),""))</f>
        <v/>
      </c>
      <c r="H434" s="14" t="str">
        <f>IF(OR(F434="",G434=""),"",F434*G434)</f>
        <v/>
      </c>
      <c r="I434" s="10" t="n"/>
    </row>
    <row r="435">
      <c r="A435" s="9" t="n"/>
      <c r="B435" s="10" t="n"/>
      <c r="C435" s="11" t="n"/>
      <c r="D435" s="11" t="n"/>
      <c r="E435" s="12" t="n"/>
      <c r="F435" s="13" t="str">
        <f>IF(OR(C435="",D435=""),"",ROUND(MOD(D435-C435,1)*24-N(E435)/60,2))</f>
        <v/>
      </c>
      <c r="G435" s="14" t="str">
        <f>IF(B435="","",IFERROR(VLOOKUP(B435,EmpTable,2,FALSE),""))</f>
        <v/>
      </c>
      <c r="H435" s="14" t="str">
        <f>IF(OR(F435="",G435=""),"",F435*G435)</f>
        <v/>
      </c>
      <c r="I435" s="10" t="n"/>
    </row>
    <row r="436">
      <c r="A436" s="9" t="n"/>
      <c r="B436" s="10" t="n"/>
      <c r="C436" s="11" t="n"/>
      <c r="D436" s="11" t="n"/>
      <c r="E436" s="12" t="n"/>
      <c r="F436" s="13" t="str">
        <f>IF(OR(C436="",D436=""),"",ROUND(MOD(D436-C436,1)*24-N(E436)/60,2))</f>
        <v/>
      </c>
      <c r="G436" s="14" t="str">
        <f>IF(B436="","",IFERROR(VLOOKUP(B436,EmpTable,2,FALSE),""))</f>
        <v/>
      </c>
      <c r="H436" s="14" t="str">
        <f>IF(OR(F436="",G436=""),"",F436*G436)</f>
        <v/>
      </c>
      <c r="I436" s="10" t="n"/>
    </row>
    <row r="437">
      <c r="A437" s="9" t="n"/>
      <c r="B437" s="10" t="n"/>
      <c r="C437" s="11" t="n"/>
      <c r="D437" s="11" t="n"/>
      <c r="E437" s="12" t="n"/>
      <c r="F437" s="13" t="str">
        <f>IF(OR(C437="",D437=""),"",ROUND(MOD(D437-C437,1)*24-N(E437)/60,2))</f>
        <v/>
      </c>
      <c r="G437" s="14" t="str">
        <f>IF(B437="","",IFERROR(VLOOKUP(B437,EmpTable,2,FALSE),""))</f>
        <v/>
      </c>
      <c r="H437" s="14" t="str">
        <f>IF(OR(F437="",G437=""),"",F437*G437)</f>
        <v/>
      </c>
      <c r="I437" s="10" t="n"/>
    </row>
    <row r="438">
      <c r="A438" s="9" t="n"/>
      <c r="B438" s="10" t="n"/>
      <c r="C438" s="11" t="n"/>
      <c r="D438" s="11" t="n"/>
      <c r="E438" s="12" t="n"/>
      <c r="F438" s="13" t="str">
        <f>IF(OR(C438="",D438=""),"",ROUND(MOD(D438-C438,1)*24-N(E438)/60,2))</f>
        <v/>
      </c>
      <c r="G438" s="14" t="str">
        <f>IF(B438="","",IFERROR(VLOOKUP(B438,EmpTable,2,FALSE),""))</f>
        <v/>
      </c>
      <c r="H438" s="14" t="str">
        <f>IF(OR(F438="",G438=""),"",F438*G438)</f>
        <v/>
      </c>
      <c r="I438" s="10" t="n"/>
    </row>
    <row r="439">
      <c r="A439" s="9" t="n"/>
      <c r="B439" s="10" t="n"/>
      <c r="C439" s="11" t="n"/>
      <c r="D439" s="11" t="n"/>
      <c r="E439" s="12" t="n"/>
      <c r="F439" s="13" t="str">
        <f>IF(OR(C439="",D439=""),"",ROUND(MOD(D439-C439,1)*24-N(E439)/60,2))</f>
        <v/>
      </c>
      <c r="G439" s="14" t="str">
        <f>IF(B439="","",IFERROR(VLOOKUP(B439,EmpTable,2,FALSE),""))</f>
        <v/>
      </c>
      <c r="H439" s="14" t="str">
        <f>IF(OR(F439="",G439=""),"",F439*G439)</f>
        <v/>
      </c>
      <c r="I439" s="10" t="n"/>
    </row>
    <row r="440">
      <c r="A440" s="9" t="n"/>
      <c r="B440" s="10" t="n"/>
      <c r="C440" s="11" t="n"/>
      <c r="D440" s="11" t="n"/>
      <c r="E440" s="12" t="n"/>
      <c r="F440" s="13" t="str">
        <f>IF(OR(C440="",D440=""),"",ROUND(MOD(D440-C440,1)*24-N(E440)/60,2))</f>
        <v/>
      </c>
      <c r="G440" s="14" t="str">
        <f>IF(B440="","",IFERROR(VLOOKUP(B440,EmpTable,2,FALSE),""))</f>
        <v/>
      </c>
      <c r="H440" s="14" t="str">
        <f>IF(OR(F440="",G440=""),"",F440*G440)</f>
        <v/>
      </c>
      <c r="I440" s="10" t="n"/>
    </row>
    <row r="441">
      <c r="A441" s="9" t="n"/>
      <c r="B441" s="10" t="n"/>
      <c r="C441" s="11" t="n"/>
      <c r="D441" s="11" t="n"/>
      <c r="E441" s="12" t="n"/>
      <c r="F441" s="13" t="str">
        <f>IF(OR(C441="",D441=""),"",ROUND(MOD(D441-C441,1)*24-N(E441)/60,2))</f>
        <v/>
      </c>
      <c r="G441" s="14" t="str">
        <f>IF(B441="","",IFERROR(VLOOKUP(B441,EmpTable,2,FALSE),""))</f>
        <v/>
      </c>
      <c r="H441" s="14" t="str">
        <f>IF(OR(F441="",G441=""),"",F441*G441)</f>
        <v/>
      </c>
      <c r="I441" s="10" t="n"/>
    </row>
    <row r="442">
      <c r="A442" s="9" t="n"/>
      <c r="B442" s="10" t="n"/>
      <c r="C442" s="11" t="n"/>
      <c r="D442" s="11" t="n"/>
      <c r="E442" s="12" t="n"/>
      <c r="F442" s="13" t="str">
        <f>IF(OR(C442="",D442=""),"",ROUND(MOD(D442-C442,1)*24-N(E442)/60,2))</f>
        <v/>
      </c>
      <c r="G442" s="14" t="str">
        <f>IF(B442="","",IFERROR(VLOOKUP(B442,EmpTable,2,FALSE),""))</f>
        <v/>
      </c>
      <c r="H442" s="14" t="str">
        <f>IF(OR(F442="",G442=""),"",F442*G442)</f>
        <v/>
      </c>
      <c r="I442" s="10" t="n"/>
    </row>
    <row r="443">
      <c r="A443" s="9" t="n"/>
      <c r="B443" s="10" t="n"/>
      <c r="C443" s="11" t="n"/>
      <c r="D443" s="11" t="n"/>
      <c r="E443" s="12" t="n"/>
      <c r="F443" s="13" t="str">
        <f>IF(OR(C443="",D443=""),"",ROUND(MOD(D443-C443,1)*24-N(E443)/60,2))</f>
        <v/>
      </c>
      <c r="G443" s="14" t="str">
        <f>IF(B443="","",IFERROR(VLOOKUP(B443,EmpTable,2,FALSE),""))</f>
        <v/>
      </c>
      <c r="H443" s="14" t="str">
        <f>IF(OR(F443="",G443=""),"",F443*G443)</f>
        <v/>
      </c>
      <c r="I443" s="10" t="n"/>
    </row>
    <row r="444">
      <c r="A444" s="9" t="n"/>
      <c r="B444" s="10" t="n"/>
      <c r="C444" s="11" t="n"/>
      <c r="D444" s="11" t="n"/>
      <c r="E444" s="12" t="n"/>
      <c r="F444" s="13" t="str">
        <f>IF(OR(C444="",D444=""),"",ROUND(MOD(D444-C444,1)*24-N(E444)/60,2))</f>
        <v/>
      </c>
      <c r="G444" s="14" t="str">
        <f>IF(B444="","",IFERROR(VLOOKUP(B444,EmpTable,2,FALSE),""))</f>
        <v/>
      </c>
      <c r="H444" s="14" t="str">
        <f>IF(OR(F444="",G444=""),"",F444*G444)</f>
        <v/>
      </c>
      <c r="I444" s="10" t="n"/>
    </row>
    <row r="445">
      <c r="A445" s="9" t="n"/>
      <c r="B445" s="10" t="n"/>
      <c r="C445" s="11" t="n"/>
      <c r="D445" s="11" t="n"/>
      <c r="E445" s="12" t="n"/>
      <c r="F445" s="13" t="str">
        <f>IF(OR(C445="",D445=""),"",ROUND(MOD(D445-C445,1)*24-N(E445)/60,2))</f>
        <v/>
      </c>
      <c r="G445" s="14" t="str">
        <f>IF(B445="","",IFERROR(VLOOKUP(B445,EmpTable,2,FALSE),""))</f>
        <v/>
      </c>
      <c r="H445" s="14" t="str">
        <f>IF(OR(F445="",G445=""),"",F445*G445)</f>
        <v/>
      </c>
      <c r="I445" s="10" t="n"/>
    </row>
    <row r="446">
      <c r="A446" s="9" t="n"/>
      <c r="B446" s="10" t="n"/>
      <c r="C446" s="11" t="n"/>
      <c r="D446" s="11" t="n"/>
      <c r="E446" s="12" t="n"/>
      <c r="F446" s="13" t="str">
        <f>IF(OR(C446="",D446=""),"",ROUND(MOD(D446-C446,1)*24-N(E446)/60,2))</f>
        <v/>
      </c>
      <c r="G446" s="14" t="str">
        <f>IF(B446="","",IFERROR(VLOOKUP(B446,EmpTable,2,FALSE),""))</f>
        <v/>
      </c>
      <c r="H446" s="14" t="str">
        <f>IF(OR(F446="",G446=""),"",F446*G446)</f>
        <v/>
      </c>
      <c r="I446" s="10" t="n"/>
    </row>
    <row r="447">
      <c r="A447" s="9" t="n"/>
      <c r="B447" s="10" t="n"/>
      <c r="C447" s="11" t="n"/>
      <c r="D447" s="11" t="n"/>
      <c r="E447" s="12" t="n"/>
      <c r="F447" s="13" t="str">
        <f>IF(OR(C447="",D447=""),"",ROUND(MOD(D447-C447,1)*24-N(E447)/60,2))</f>
        <v/>
      </c>
      <c r="G447" s="14" t="str">
        <f>IF(B447="","",IFERROR(VLOOKUP(B447,EmpTable,2,FALSE),""))</f>
        <v/>
      </c>
      <c r="H447" s="14" t="str">
        <f>IF(OR(F447="",G447=""),"",F447*G447)</f>
        <v/>
      </c>
      <c r="I447" s="10" t="n"/>
    </row>
    <row r="448">
      <c r="A448" s="9" t="n"/>
      <c r="B448" s="10" t="n"/>
      <c r="C448" s="11" t="n"/>
      <c r="D448" s="11" t="n"/>
      <c r="E448" s="12" t="n"/>
      <c r="F448" s="13" t="str">
        <f>IF(OR(C448="",D448=""),"",ROUND(MOD(D448-C448,1)*24-N(E448)/60,2))</f>
        <v/>
      </c>
      <c r="G448" s="14" t="str">
        <f>IF(B448="","",IFERROR(VLOOKUP(B448,EmpTable,2,FALSE),""))</f>
        <v/>
      </c>
      <c r="H448" s="14" t="str">
        <f>IF(OR(F448="",G448=""),"",F448*G448)</f>
        <v/>
      </c>
      <c r="I448" s="10" t="n"/>
    </row>
    <row r="449">
      <c r="A449" s="9" t="n"/>
      <c r="B449" s="10" t="n"/>
      <c r="C449" s="11" t="n"/>
      <c r="D449" s="11" t="n"/>
      <c r="E449" s="12" t="n"/>
      <c r="F449" s="13" t="str">
        <f>IF(OR(C449="",D449=""),"",ROUND(MOD(D449-C449,1)*24-N(E449)/60,2))</f>
        <v/>
      </c>
      <c r="G449" s="14" t="str">
        <f>IF(B449="","",IFERROR(VLOOKUP(B449,EmpTable,2,FALSE),""))</f>
        <v/>
      </c>
      <c r="H449" s="14" t="str">
        <f>IF(OR(F449="",G449=""),"",F449*G449)</f>
        <v/>
      </c>
      <c r="I449" s="10" t="n"/>
    </row>
    <row r="450">
      <c r="A450" s="9" t="n"/>
      <c r="B450" s="10" t="n"/>
      <c r="C450" s="11" t="n"/>
      <c r="D450" s="11" t="n"/>
      <c r="E450" s="12" t="n"/>
      <c r="F450" s="13" t="str">
        <f>IF(OR(C450="",D450=""),"",ROUND(MOD(D450-C450,1)*24-N(E450)/60,2))</f>
        <v/>
      </c>
      <c r="G450" s="14" t="str">
        <f>IF(B450="","",IFERROR(VLOOKUP(B450,EmpTable,2,FALSE),""))</f>
        <v/>
      </c>
      <c r="H450" s="14" t="str">
        <f>IF(OR(F450="",G450=""),"",F450*G450)</f>
        <v/>
      </c>
      <c r="I450" s="10" t="n"/>
    </row>
    <row r="451">
      <c r="A451" s="9" t="n"/>
      <c r="B451" s="10" t="n"/>
      <c r="C451" s="11" t="n"/>
      <c r="D451" s="11" t="n"/>
      <c r="E451" s="12" t="n"/>
      <c r="F451" s="13" t="str">
        <f>IF(OR(C451="",D451=""),"",ROUND(MOD(D451-C451,1)*24-N(E451)/60,2))</f>
        <v/>
      </c>
      <c r="G451" s="14" t="str">
        <f>IF(B451="","",IFERROR(VLOOKUP(B451,EmpTable,2,FALSE),""))</f>
        <v/>
      </c>
      <c r="H451" s="14" t="str">
        <f>IF(OR(F451="",G451=""),"",F451*G451)</f>
        <v/>
      </c>
      <c r="I451" s="10" t="n"/>
    </row>
    <row r="452">
      <c r="A452" s="9" t="n"/>
      <c r="B452" s="10" t="n"/>
      <c r="C452" s="11" t="n"/>
      <c r="D452" s="11" t="n"/>
      <c r="E452" s="12" t="n"/>
      <c r="F452" s="13" t="str">
        <f>IF(OR(C452="",D452=""),"",ROUND(MOD(D452-C452,1)*24-N(E452)/60,2))</f>
        <v/>
      </c>
      <c r="G452" s="14" t="str">
        <f>IF(B452="","",IFERROR(VLOOKUP(B452,EmpTable,2,FALSE),""))</f>
        <v/>
      </c>
      <c r="H452" s="14" t="str">
        <f>IF(OR(F452="",G452=""),"",F452*G452)</f>
        <v/>
      </c>
      <c r="I452" s="10" t="n"/>
    </row>
    <row r="453">
      <c r="A453" s="9" t="n"/>
      <c r="B453" s="10" t="n"/>
      <c r="C453" s="11" t="n"/>
      <c r="D453" s="11" t="n"/>
      <c r="E453" s="12" t="n"/>
      <c r="F453" s="13" t="str">
        <f>IF(OR(C453="",D453=""),"",ROUND(MOD(D453-C453,1)*24-N(E453)/60,2))</f>
        <v/>
      </c>
      <c r="G453" s="14" t="str">
        <f>IF(B453="","",IFERROR(VLOOKUP(B453,EmpTable,2,FALSE),""))</f>
        <v/>
      </c>
      <c r="H453" s="14" t="str">
        <f>IF(OR(F453="",G453=""),"",F453*G453)</f>
        <v/>
      </c>
      <c r="I453" s="10" t="n"/>
    </row>
    <row r="454">
      <c r="A454" s="9" t="n"/>
      <c r="B454" s="10" t="n"/>
      <c r="C454" s="11" t="n"/>
      <c r="D454" s="11" t="n"/>
      <c r="E454" s="12" t="n"/>
      <c r="F454" s="13" t="str">
        <f>IF(OR(C454="",D454=""),"",ROUND(MOD(D454-C454,1)*24-N(E454)/60,2))</f>
        <v/>
      </c>
      <c r="G454" s="14" t="str">
        <f>IF(B454="","",IFERROR(VLOOKUP(B454,EmpTable,2,FALSE),""))</f>
        <v/>
      </c>
      <c r="H454" s="14" t="str">
        <f>IF(OR(F454="",G454=""),"",F454*G454)</f>
        <v/>
      </c>
      <c r="I454" s="10" t="n"/>
    </row>
    <row r="455">
      <c r="A455" s="9" t="n"/>
      <c r="B455" s="10" t="n"/>
      <c r="C455" s="11" t="n"/>
      <c r="D455" s="11" t="n"/>
      <c r="E455" s="12" t="n"/>
      <c r="F455" s="13" t="str">
        <f>IF(OR(C455="",D455=""),"",ROUND(MOD(D455-C455,1)*24-N(E455)/60,2))</f>
        <v/>
      </c>
      <c r="G455" s="14" t="str">
        <f>IF(B455="","",IFERROR(VLOOKUP(B455,EmpTable,2,FALSE),""))</f>
        <v/>
      </c>
      <c r="H455" s="14" t="str">
        <f>IF(OR(F455="",G455=""),"",F455*G455)</f>
        <v/>
      </c>
      <c r="I455" s="10" t="n"/>
    </row>
    <row r="456">
      <c r="A456" s="9" t="n"/>
      <c r="B456" s="10" t="n"/>
      <c r="C456" s="11" t="n"/>
      <c r="D456" s="11" t="n"/>
      <c r="E456" s="12" t="n"/>
      <c r="F456" s="13" t="str">
        <f>IF(OR(C456="",D456=""),"",ROUND(MOD(D456-C456,1)*24-N(E456)/60,2))</f>
        <v/>
      </c>
      <c r="G456" s="14" t="str">
        <f>IF(B456="","",IFERROR(VLOOKUP(B456,EmpTable,2,FALSE),""))</f>
        <v/>
      </c>
      <c r="H456" s="14" t="str">
        <f>IF(OR(F456="",G456=""),"",F456*G456)</f>
        <v/>
      </c>
      <c r="I456" s="10" t="n"/>
    </row>
    <row r="457">
      <c r="A457" s="9" t="n"/>
      <c r="B457" s="10" t="n"/>
      <c r="C457" s="11" t="n"/>
      <c r="D457" s="11" t="n"/>
      <c r="E457" s="12" t="n"/>
      <c r="F457" s="13" t="str">
        <f>IF(OR(C457="",D457=""),"",ROUND(MOD(D457-C457,1)*24-N(E457)/60,2))</f>
        <v/>
      </c>
      <c r="G457" s="14" t="str">
        <f>IF(B457="","",IFERROR(VLOOKUP(B457,EmpTable,2,FALSE),""))</f>
        <v/>
      </c>
      <c r="H457" s="14" t="str">
        <f>IF(OR(F457="",G457=""),"",F457*G457)</f>
        <v/>
      </c>
      <c r="I457" s="10" t="n"/>
    </row>
    <row r="458">
      <c r="A458" s="9" t="n"/>
      <c r="B458" s="10" t="n"/>
      <c r="C458" s="11" t="n"/>
      <c r="D458" s="11" t="n"/>
      <c r="E458" s="12" t="n"/>
      <c r="F458" s="13" t="str">
        <f>IF(OR(C458="",D458=""),"",ROUND(MOD(D458-C458,1)*24-N(E458)/60,2))</f>
        <v/>
      </c>
      <c r="G458" s="14" t="str">
        <f>IF(B458="","",IFERROR(VLOOKUP(B458,EmpTable,2,FALSE),""))</f>
        <v/>
      </c>
      <c r="H458" s="14" t="str">
        <f>IF(OR(F458="",G458=""),"",F458*G458)</f>
        <v/>
      </c>
      <c r="I458" s="10" t="n"/>
    </row>
    <row r="459">
      <c r="A459" s="9" t="n"/>
      <c r="B459" s="10" t="n"/>
      <c r="C459" s="11" t="n"/>
      <c r="D459" s="11" t="n"/>
      <c r="E459" s="12" t="n"/>
      <c r="F459" s="13" t="str">
        <f>IF(OR(C459="",D459=""),"",ROUND(MOD(D459-C459,1)*24-N(E459)/60,2))</f>
        <v/>
      </c>
      <c r="G459" s="14" t="str">
        <f>IF(B459="","",IFERROR(VLOOKUP(B459,EmpTable,2,FALSE),""))</f>
        <v/>
      </c>
      <c r="H459" s="14" t="str">
        <f>IF(OR(F459="",G459=""),"",F459*G459)</f>
        <v/>
      </c>
      <c r="I459" s="10" t="n"/>
    </row>
    <row r="460">
      <c r="A460" s="9" t="n"/>
      <c r="B460" s="10" t="n"/>
      <c r="C460" s="11" t="n"/>
      <c r="D460" s="11" t="n"/>
      <c r="E460" s="12" t="n"/>
      <c r="F460" s="13" t="str">
        <f>IF(OR(C460="",D460=""),"",ROUND(MOD(D460-C460,1)*24-N(E460)/60,2))</f>
        <v/>
      </c>
      <c r="G460" s="14" t="str">
        <f>IF(B460="","",IFERROR(VLOOKUP(B460,EmpTable,2,FALSE),""))</f>
        <v/>
      </c>
      <c r="H460" s="14" t="str">
        <f>IF(OR(F460="",G460=""),"",F460*G460)</f>
        <v/>
      </c>
      <c r="I460" s="10" t="n"/>
    </row>
    <row r="461">
      <c r="A461" s="9" t="n"/>
      <c r="B461" s="10" t="n"/>
      <c r="C461" s="11" t="n"/>
      <c r="D461" s="11" t="n"/>
      <c r="E461" s="12" t="n"/>
      <c r="F461" s="13" t="str">
        <f>IF(OR(C461="",D461=""),"",ROUND(MOD(D461-C461,1)*24-N(E461)/60,2))</f>
        <v/>
      </c>
      <c r="G461" s="14" t="str">
        <f>IF(B461="","",IFERROR(VLOOKUP(B461,EmpTable,2,FALSE),""))</f>
        <v/>
      </c>
      <c r="H461" s="14" t="str">
        <f>IF(OR(F461="",G461=""),"",F461*G461)</f>
        <v/>
      </c>
      <c r="I461" s="10" t="n"/>
    </row>
    <row r="462">
      <c r="A462" s="9" t="n"/>
      <c r="B462" s="10" t="n"/>
      <c r="C462" s="11" t="n"/>
      <c r="D462" s="11" t="n"/>
      <c r="E462" s="12" t="n"/>
      <c r="F462" s="13" t="str">
        <f>IF(OR(C462="",D462=""),"",ROUND(MOD(D462-C462,1)*24-N(E462)/60,2))</f>
        <v/>
      </c>
      <c r="G462" s="14" t="str">
        <f>IF(B462="","",IFERROR(VLOOKUP(B462,EmpTable,2,FALSE),""))</f>
        <v/>
      </c>
      <c r="H462" s="14" t="str">
        <f>IF(OR(F462="",G462=""),"",F462*G462)</f>
        <v/>
      </c>
      <c r="I462" s="10" t="n"/>
    </row>
    <row r="463">
      <c r="A463" s="9" t="n"/>
      <c r="B463" s="10" t="n"/>
      <c r="C463" s="11" t="n"/>
      <c r="D463" s="11" t="n"/>
      <c r="E463" s="12" t="n"/>
      <c r="F463" s="13" t="str">
        <f>IF(OR(C463="",D463=""),"",ROUND(MOD(D463-C463,1)*24-N(E463)/60,2))</f>
        <v/>
      </c>
      <c r="G463" s="14" t="str">
        <f>IF(B463="","",IFERROR(VLOOKUP(B463,EmpTable,2,FALSE),""))</f>
        <v/>
      </c>
      <c r="H463" s="14" t="str">
        <f>IF(OR(F463="",G463=""),"",F463*G463)</f>
        <v/>
      </c>
      <c r="I463" s="10" t="n"/>
    </row>
    <row r="464">
      <c r="A464" s="9" t="n"/>
      <c r="B464" s="10" t="n"/>
      <c r="C464" s="11" t="n"/>
      <c r="D464" s="11" t="n"/>
      <c r="E464" s="12" t="n"/>
      <c r="F464" s="13" t="str">
        <f>IF(OR(C464="",D464=""),"",ROUND(MOD(D464-C464,1)*24-N(E464)/60,2))</f>
        <v/>
      </c>
      <c r="G464" s="14" t="str">
        <f>IF(B464="","",IFERROR(VLOOKUP(B464,EmpTable,2,FALSE),""))</f>
        <v/>
      </c>
      <c r="H464" s="14" t="str">
        <f>IF(OR(F464="",G464=""),"",F464*G464)</f>
        <v/>
      </c>
      <c r="I464" s="10" t="n"/>
    </row>
    <row r="465">
      <c r="A465" s="9" t="n"/>
      <c r="B465" s="10" t="n"/>
      <c r="C465" s="11" t="n"/>
      <c r="D465" s="11" t="n"/>
      <c r="E465" s="12" t="n"/>
      <c r="F465" s="13" t="str">
        <f>IF(OR(C465="",D465=""),"",ROUND(MOD(D465-C465,1)*24-N(E465)/60,2))</f>
        <v/>
      </c>
      <c r="G465" s="14" t="str">
        <f>IF(B465="","",IFERROR(VLOOKUP(B465,EmpTable,2,FALSE),""))</f>
        <v/>
      </c>
      <c r="H465" s="14" t="str">
        <f>IF(OR(F465="",G465=""),"",F465*G465)</f>
        <v/>
      </c>
      <c r="I465" s="10" t="n"/>
    </row>
    <row r="466">
      <c r="A466" s="9" t="n"/>
      <c r="B466" s="10" t="n"/>
      <c r="C466" s="11" t="n"/>
      <c r="D466" s="11" t="n"/>
      <c r="E466" s="12" t="n"/>
      <c r="F466" s="13" t="str">
        <f>IF(OR(C466="",D466=""),"",ROUND(MOD(D466-C466,1)*24-N(E466)/60,2))</f>
        <v/>
      </c>
      <c r="G466" s="14" t="str">
        <f>IF(B466="","",IFERROR(VLOOKUP(B466,EmpTable,2,FALSE),""))</f>
        <v/>
      </c>
      <c r="H466" s="14" t="str">
        <f>IF(OR(F466="",G466=""),"",F466*G466)</f>
        <v/>
      </c>
      <c r="I466" s="10" t="n"/>
    </row>
    <row r="467">
      <c r="A467" s="9" t="n"/>
      <c r="B467" s="10" t="n"/>
      <c r="C467" s="11" t="n"/>
      <c r="D467" s="11" t="n"/>
      <c r="E467" s="12" t="n"/>
      <c r="F467" s="13" t="str">
        <f>IF(OR(C467="",D467=""),"",ROUND(MOD(D467-C467,1)*24-N(E467)/60,2))</f>
        <v/>
      </c>
      <c r="G467" s="14" t="str">
        <f>IF(B467="","",IFERROR(VLOOKUP(B467,EmpTable,2,FALSE),""))</f>
        <v/>
      </c>
      <c r="H467" s="14" t="str">
        <f>IF(OR(F467="",G467=""),"",F467*G467)</f>
        <v/>
      </c>
      <c r="I467" s="10" t="n"/>
    </row>
    <row r="468">
      <c r="A468" s="9" t="n"/>
      <c r="B468" s="10" t="n"/>
      <c r="C468" s="11" t="n"/>
      <c r="D468" s="11" t="n"/>
      <c r="E468" s="12" t="n"/>
      <c r="F468" s="13" t="str">
        <f>IF(OR(C468="",D468=""),"",ROUND(MOD(D468-C468,1)*24-N(E468)/60,2))</f>
        <v/>
      </c>
      <c r="G468" s="14" t="str">
        <f>IF(B468="","",IFERROR(VLOOKUP(B468,EmpTable,2,FALSE),""))</f>
        <v/>
      </c>
      <c r="H468" s="14" t="str">
        <f>IF(OR(F468="",G468=""),"",F468*G468)</f>
        <v/>
      </c>
      <c r="I468" s="10" t="n"/>
    </row>
    <row r="469">
      <c r="A469" s="9" t="n"/>
      <c r="B469" s="10" t="n"/>
      <c r="C469" s="11" t="n"/>
      <c r="D469" s="11" t="n"/>
      <c r="E469" s="12" t="n"/>
      <c r="F469" s="13" t="str">
        <f>IF(OR(C469="",D469=""),"",ROUND(MOD(D469-C469,1)*24-N(E469)/60,2))</f>
        <v/>
      </c>
      <c r="G469" s="14" t="str">
        <f>IF(B469="","",IFERROR(VLOOKUP(B469,EmpTable,2,FALSE),""))</f>
        <v/>
      </c>
      <c r="H469" s="14" t="str">
        <f>IF(OR(F469="",G469=""),"",F469*G469)</f>
        <v/>
      </c>
      <c r="I469" s="10" t="n"/>
    </row>
    <row r="470">
      <c r="A470" s="9" t="n"/>
      <c r="B470" s="10" t="n"/>
      <c r="C470" s="11" t="n"/>
      <c r="D470" s="11" t="n"/>
      <c r="E470" s="12" t="n"/>
      <c r="F470" s="13" t="str">
        <f>IF(OR(C470="",D470=""),"",ROUND(MOD(D470-C470,1)*24-N(E470)/60,2))</f>
        <v/>
      </c>
      <c r="G470" s="14" t="str">
        <f>IF(B470="","",IFERROR(VLOOKUP(B470,EmpTable,2,FALSE),""))</f>
        <v/>
      </c>
      <c r="H470" s="14" t="str">
        <f>IF(OR(F470="",G470=""),"",F470*G470)</f>
        <v/>
      </c>
      <c r="I470" s="10" t="n"/>
    </row>
    <row r="471">
      <c r="A471" s="9" t="n"/>
      <c r="B471" s="10" t="n"/>
      <c r="C471" s="11" t="n"/>
      <c r="D471" s="11" t="n"/>
      <c r="E471" s="12" t="n"/>
      <c r="F471" s="13" t="str">
        <f>IF(OR(C471="",D471=""),"",ROUND(MOD(D471-C471,1)*24-N(E471)/60,2))</f>
        <v/>
      </c>
      <c r="G471" s="14" t="str">
        <f>IF(B471="","",IFERROR(VLOOKUP(B471,EmpTable,2,FALSE),""))</f>
        <v/>
      </c>
      <c r="H471" s="14" t="str">
        <f>IF(OR(F471="",G471=""),"",F471*G471)</f>
        <v/>
      </c>
      <c r="I471" s="10" t="n"/>
    </row>
    <row r="472">
      <c r="A472" s="9" t="n"/>
      <c r="B472" s="10" t="n"/>
      <c r="C472" s="11" t="n"/>
      <c r="D472" s="11" t="n"/>
      <c r="E472" s="12" t="n"/>
      <c r="F472" s="13" t="str">
        <f>IF(OR(C472="",D472=""),"",ROUND(MOD(D472-C472,1)*24-N(E472)/60,2))</f>
        <v/>
      </c>
      <c r="G472" s="14" t="str">
        <f>IF(B472="","",IFERROR(VLOOKUP(B472,EmpTable,2,FALSE),""))</f>
        <v/>
      </c>
      <c r="H472" s="14" t="str">
        <f>IF(OR(F472="",G472=""),"",F472*G472)</f>
        <v/>
      </c>
      <c r="I472" s="10" t="n"/>
    </row>
    <row r="473">
      <c r="A473" s="9" t="n"/>
      <c r="B473" s="10" t="n"/>
      <c r="C473" s="11" t="n"/>
      <c r="D473" s="11" t="n"/>
      <c r="E473" s="12" t="n"/>
      <c r="F473" s="13" t="str">
        <f>IF(OR(C473="",D473=""),"",ROUND(MOD(D473-C473,1)*24-N(E473)/60,2))</f>
        <v/>
      </c>
      <c r="G473" s="14" t="str">
        <f>IF(B473="","",IFERROR(VLOOKUP(B473,EmpTable,2,FALSE),""))</f>
        <v/>
      </c>
      <c r="H473" s="14" t="str">
        <f>IF(OR(F473="",G473=""),"",F473*G473)</f>
        <v/>
      </c>
      <c r="I473" s="10" t="n"/>
    </row>
    <row r="474">
      <c r="A474" s="9" t="n"/>
      <c r="B474" s="10" t="n"/>
      <c r="C474" s="11" t="n"/>
      <c r="D474" s="11" t="n"/>
      <c r="E474" s="12" t="n"/>
      <c r="F474" s="13" t="str">
        <f>IF(OR(C474="",D474=""),"",ROUND(MOD(D474-C474,1)*24-N(E474)/60,2))</f>
        <v/>
      </c>
      <c r="G474" s="14" t="str">
        <f>IF(B474="","",IFERROR(VLOOKUP(B474,EmpTable,2,FALSE),""))</f>
        <v/>
      </c>
      <c r="H474" s="14" t="str">
        <f>IF(OR(F474="",G474=""),"",F474*G474)</f>
        <v/>
      </c>
      <c r="I474" s="10" t="n"/>
    </row>
    <row r="475">
      <c r="A475" s="9" t="n"/>
      <c r="B475" s="10" t="n"/>
      <c r="C475" s="11" t="n"/>
      <c r="D475" s="11" t="n"/>
      <c r="E475" s="12" t="n"/>
      <c r="F475" s="13" t="str">
        <f>IF(OR(C475="",D475=""),"",ROUND(MOD(D475-C475,1)*24-N(E475)/60,2))</f>
        <v/>
      </c>
      <c r="G475" s="14" t="str">
        <f>IF(B475="","",IFERROR(VLOOKUP(B475,EmpTable,2,FALSE),""))</f>
        <v/>
      </c>
      <c r="H475" s="14" t="str">
        <f>IF(OR(F475="",G475=""),"",F475*G475)</f>
        <v/>
      </c>
      <c r="I475" s="10" t="n"/>
    </row>
    <row r="476">
      <c r="A476" s="9" t="n"/>
      <c r="B476" s="10" t="n"/>
      <c r="C476" s="11" t="n"/>
      <c r="D476" s="11" t="n"/>
      <c r="E476" s="12" t="n"/>
      <c r="F476" s="13" t="str">
        <f>IF(OR(C476="",D476=""),"",ROUND(MOD(D476-C476,1)*24-N(E476)/60,2))</f>
        <v/>
      </c>
      <c r="G476" s="14" t="str">
        <f>IF(B476="","",IFERROR(VLOOKUP(B476,EmpTable,2,FALSE),""))</f>
        <v/>
      </c>
      <c r="H476" s="14" t="str">
        <f>IF(OR(F476="",G476=""),"",F476*G476)</f>
        <v/>
      </c>
      <c r="I476" s="10" t="n"/>
    </row>
    <row r="477">
      <c r="A477" s="9" t="n"/>
      <c r="B477" s="10" t="n"/>
      <c r="C477" s="11" t="n"/>
      <c r="D477" s="11" t="n"/>
      <c r="E477" s="12" t="n"/>
      <c r="F477" s="13" t="str">
        <f>IF(OR(C477="",D477=""),"",ROUND(MOD(D477-C477,1)*24-N(E477)/60,2))</f>
        <v/>
      </c>
      <c r="G477" s="14" t="str">
        <f>IF(B477="","",IFERROR(VLOOKUP(B477,EmpTable,2,FALSE),""))</f>
        <v/>
      </c>
      <c r="H477" s="14" t="str">
        <f>IF(OR(F477="",G477=""),"",F477*G477)</f>
        <v/>
      </c>
      <c r="I477" s="10" t="n"/>
    </row>
    <row r="478">
      <c r="A478" s="9" t="n"/>
      <c r="B478" s="10" t="n"/>
      <c r="C478" s="11" t="n"/>
      <c r="D478" s="11" t="n"/>
      <c r="E478" s="12" t="n"/>
      <c r="F478" s="13" t="str">
        <f>IF(OR(C478="",D478=""),"",ROUND(MOD(D478-C478,1)*24-N(E478)/60,2))</f>
        <v/>
      </c>
      <c r="G478" s="14" t="str">
        <f>IF(B478="","",IFERROR(VLOOKUP(B478,EmpTable,2,FALSE),""))</f>
        <v/>
      </c>
      <c r="H478" s="14" t="str">
        <f>IF(OR(F478="",G478=""),"",F478*G478)</f>
        <v/>
      </c>
      <c r="I478" s="10" t="n"/>
    </row>
    <row r="479">
      <c r="A479" s="9" t="n"/>
      <c r="B479" s="10" t="n"/>
      <c r="C479" s="11" t="n"/>
      <c r="D479" s="11" t="n"/>
      <c r="E479" s="12" t="n"/>
      <c r="F479" s="13" t="str">
        <f>IF(OR(C479="",D479=""),"",ROUND(MOD(D479-C479,1)*24-N(E479)/60,2))</f>
        <v/>
      </c>
      <c r="G479" s="14" t="str">
        <f>IF(B479="","",IFERROR(VLOOKUP(B479,EmpTable,2,FALSE),""))</f>
        <v/>
      </c>
      <c r="H479" s="14" t="str">
        <f>IF(OR(F479="",G479=""),"",F479*G479)</f>
        <v/>
      </c>
      <c r="I479" s="10" t="n"/>
    </row>
    <row r="480">
      <c r="A480" s="9" t="n"/>
      <c r="B480" s="10" t="n"/>
      <c r="C480" s="11" t="n"/>
      <c r="D480" s="11" t="n"/>
      <c r="E480" s="12" t="n"/>
      <c r="F480" s="13" t="str">
        <f>IF(OR(C480="",D480=""),"",ROUND(MOD(D480-C480,1)*24-N(E480)/60,2))</f>
        <v/>
      </c>
      <c r="G480" s="14" t="str">
        <f>IF(B480="","",IFERROR(VLOOKUP(B480,EmpTable,2,FALSE),""))</f>
        <v/>
      </c>
      <c r="H480" s="14" t="str">
        <f>IF(OR(F480="",G480=""),"",F480*G480)</f>
        <v/>
      </c>
      <c r="I480" s="10" t="n"/>
    </row>
    <row r="481">
      <c r="A481" s="9" t="n"/>
      <c r="B481" s="10" t="n"/>
      <c r="C481" s="11" t="n"/>
      <c r="D481" s="11" t="n"/>
      <c r="E481" s="12" t="n"/>
      <c r="F481" s="13" t="str">
        <f>IF(OR(C481="",D481=""),"",ROUND(MOD(D481-C481,1)*24-N(E481)/60,2))</f>
        <v/>
      </c>
      <c r="G481" s="14" t="str">
        <f>IF(B481="","",IFERROR(VLOOKUP(B481,EmpTable,2,FALSE),""))</f>
        <v/>
      </c>
      <c r="H481" s="14" t="str">
        <f>IF(OR(F481="",G481=""),"",F481*G481)</f>
        <v/>
      </c>
      <c r="I481" s="10" t="n"/>
    </row>
    <row r="482">
      <c r="A482" s="9" t="n"/>
      <c r="B482" s="10" t="n"/>
      <c r="C482" s="11" t="n"/>
      <c r="D482" s="11" t="n"/>
      <c r="E482" s="12" t="n"/>
      <c r="F482" s="13" t="str">
        <f>IF(OR(C482="",D482=""),"",ROUND(MOD(D482-C482,1)*24-N(E482)/60,2))</f>
        <v/>
      </c>
      <c r="G482" s="14" t="str">
        <f>IF(B482="","",IFERROR(VLOOKUP(B482,EmpTable,2,FALSE),""))</f>
        <v/>
      </c>
      <c r="H482" s="14" t="str">
        <f>IF(OR(F482="",G482=""),"",F482*G482)</f>
        <v/>
      </c>
      <c r="I482" s="10" t="n"/>
    </row>
    <row r="483">
      <c r="A483" s="9" t="n"/>
      <c r="B483" s="10" t="n"/>
      <c r="C483" s="11" t="n"/>
      <c r="D483" s="11" t="n"/>
      <c r="E483" s="12" t="n"/>
      <c r="F483" s="13" t="str">
        <f>IF(OR(C483="",D483=""),"",ROUND(MOD(D483-C483,1)*24-N(E483)/60,2))</f>
        <v/>
      </c>
      <c r="G483" s="14" t="str">
        <f>IF(B483="","",IFERROR(VLOOKUP(B483,EmpTable,2,FALSE),""))</f>
        <v/>
      </c>
      <c r="H483" s="14" t="str">
        <f>IF(OR(F483="",G483=""),"",F483*G483)</f>
        <v/>
      </c>
      <c r="I483" s="10" t="n"/>
    </row>
    <row r="484">
      <c r="A484" s="9" t="n"/>
      <c r="B484" s="10" t="n"/>
      <c r="C484" s="11" t="n"/>
      <c r="D484" s="11" t="n"/>
      <c r="E484" s="12" t="n"/>
      <c r="F484" s="13" t="str">
        <f>IF(OR(C484="",D484=""),"",ROUND(MOD(D484-C484,1)*24-N(E484)/60,2))</f>
        <v/>
      </c>
      <c r="G484" s="14" t="str">
        <f>IF(B484="","",IFERROR(VLOOKUP(B484,EmpTable,2,FALSE),""))</f>
        <v/>
      </c>
      <c r="H484" s="14" t="str">
        <f>IF(OR(F484="",G484=""),"",F484*G484)</f>
        <v/>
      </c>
      <c r="I484" s="10" t="n"/>
    </row>
    <row r="485">
      <c r="A485" s="9" t="n"/>
      <c r="B485" s="10" t="n"/>
      <c r="C485" s="11" t="n"/>
      <c r="D485" s="11" t="n"/>
      <c r="E485" s="12" t="n"/>
      <c r="F485" s="13" t="str">
        <f>IF(OR(C485="",D485=""),"",ROUND(MOD(D485-C485,1)*24-N(E485)/60,2))</f>
        <v/>
      </c>
      <c r="G485" s="14" t="str">
        <f>IF(B485="","",IFERROR(VLOOKUP(B485,EmpTable,2,FALSE),""))</f>
        <v/>
      </c>
      <c r="H485" s="14" t="str">
        <f>IF(OR(F485="",G485=""),"",F485*G485)</f>
        <v/>
      </c>
      <c r="I485" s="10" t="n"/>
    </row>
    <row r="486">
      <c r="A486" s="9" t="n"/>
      <c r="B486" s="10" t="n"/>
      <c r="C486" s="11" t="n"/>
      <c r="D486" s="11" t="n"/>
      <c r="E486" s="12" t="n"/>
      <c r="F486" s="13" t="str">
        <f>IF(OR(C486="",D486=""),"",ROUND(MOD(D486-C486,1)*24-N(E486)/60,2))</f>
        <v/>
      </c>
      <c r="G486" s="14" t="str">
        <f>IF(B486="","",IFERROR(VLOOKUP(B486,EmpTable,2,FALSE),""))</f>
        <v/>
      </c>
      <c r="H486" s="14" t="str">
        <f>IF(OR(F486="",G486=""),"",F486*G486)</f>
        <v/>
      </c>
      <c r="I486" s="10" t="n"/>
    </row>
    <row r="487">
      <c r="A487" s="9" t="n"/>
      <c r="B487" s="10" t="n"/>
      <c r="C487" s="11" t="n"/>
      <c r="D487" s="11" t="n"/>
      <c r="E487" s="12" t="n"/>
      <c r="F487" s="13" t="str">
        <f>IF(OR(C487="",D487=""),"",ROUND(MOD(D487-C487,1)*24-N(E487)/60,2))</f>
        <v/>
      </c>
      <c r="G487" s="14" t="str">
        <f>IF(B487="","",IFERROR(VLOOKUP(B487,EmpTable,2,FALSE),""))</f>
        <v/>
      </c>
      <c r="H487" s="14" t="str">
        <f>IF(OR(F487="",G487=""),"",F487*G487)</f>
        <v/>
      </c>
      <c r="I487" s="10" t="n"/>
    </row>
    <row r="488">
      <c r="A488" s="9" t="n"/>
      <c r="B488" s="10" t="n"/>
      <c r="C488" s="11" t="n"/>
      <c r="D488" s="11" t="n"/>
      <c r="E488" s="12" t="n"/>
      <c r="F488" s="13" t="str">
        <f>IF(OR(C488="",D488=""),"",ROUND(MOD(D488-C488,1)*24-N(E488)/60,2))</f>
        <v/>
      </c>
      <c r="G488" s="14" t="str">
        <f>IF(B488="","",IFERROR(VLOOKUP(B488,EmpTable,2,FALSE),""))</f>
        <v/>
      </c>
      <c r="H488" s="14" t="str">
        <f>IF(OR(F488="",G488=""),"",F488*G488)</f>
        <v/>
      </c>
      <c r="I488" s="10" t="n"/>
    </row>
    <row r="489">
      <c r="A489" s="9" t="n"/>
      <c r="B489" s="10" t="n"/>
      <c r="C489" s="11" t="n"/>
      <c r="D489" s="11" t="n"/>
      <c r="E489" s="12" t="n"/>
      <c r="F489" s="13" t="str">
        <f>IF(OR(C489="",D489=""),"",ROUND(MOD(D489-C489,1)*24-N(E489)/60,2))</f>
        <v/>
      </c>
      <c r="G489" s="14" t="str">
        <f>IF(B489="","",IFERROR(VLOOKUP(B489,EmpTable,2,FALSE),""))</f>
        <v/>
      </c>
      <c r="H489" s="14" t="str">
        <f>IF(OR(F489="",G489=""),"",F489*G489)</f>
        <v/>
      </c>
      <c r="I489" s="10" t="n"/>
    </row>
    <row r="490">
      <c r="A490" s="9" t="n"/>
      <c r="B490" s="10" t="n"/>
      <c r="C490" s="11" t="n"/>
      <c r="D490" s="11" t="n"/>
      <c r="E490" s="12" t="n"/>
      <c r="F490" s="13" t="str">
        <f>IF(OR(C490="",D490=""),"",ROUND(MOD(D490-C490,1)*24-N(E490)/60,2))</f>
        <v/>
      </c>
      <c r="G490" s="14" t="str">
        <f>IF(B490="","",IFERROR(VLOOKUP(B490,EmpTable,2,FALSE),""))</f>
        <v/>
      </c>
      <c r="H490" s="14" t="str">
        <f>IF(OR(F490="",G490=""),"",F490*G490)</f>
        <v/>
      </c>
      <c r="I490" s="10" t="n"/>
    </row>
    <row r="491">
      <c r="A491" s="9" t="n"/>
      <c r="B491" s="10" t="n"/>
      <c r="C491" s="11" t="n"/>
      <c r="D491" s="11" t="n"/>
      <c r="E491" s="12" t="n"/>
      <c r="F491" s="13" t="str">
        <f>IF(OR(C491="",D491=""),"",ROUND(MOD(D491-C491,1)*24-N(E491)/60,2))</f>
        <v/>
      </c>
      <c r="G491" s="14" t="str">
        <f>IF(B491="","",IFERROR(VLOOKUP(B491,EmpTable,2,FALSE),""))</f>
        <v/>
      </c>
      <c r="H491" s="14" t="str">
        <f>IF(OR(F491="",G491=""),"",F491*G491)</f>
        <v/>
      </c>
      <c r="I491" s="10" t="n"/>
    </row>
    <row r="492">
      <c r="A492" s="9" t="n"/>
      <c r="B492" s="10" t="n"/>
      <c r="C492" s="11" t="n"/>
      <c r="D492" s="11" t="n"/>
      <c r="E492" s="12" t="n"/>
      <c r="F492" s="13" t="str">
        <f>IF(OR(C492="",D492=""),"",ROUND(MOD(D492-C492,1)*24-N(E492)/60,2))</f>
        <v/>
      </c>
      <c r="G492" s="14" t="str">
        <f>IF(B492="","",IFERROR(VLOOKUP(B492,EmpTable,2,FALSE),""))</f>
        <v/>
      </c>
      <c r="H492" s="14" t="str">
        <f>IF(OR(F492="",G492=""),"",F492*G492)</f>
        <v/>
      </c>
      <c r="I492" s="10" t="n"/>
    </row>
    <row r="493">
      <c r="A493" s="9" t="n"/>
      <c r="B493" s="10" t="n"/>
      <c r="C493" s="11" t="n"/>
      <c r="D493" s="11" t="n"/>
      <c r="E493" s="12" t="n"/>
      <c r="F493" s="13" t="str">
        <f>IF(OR(C493="",D493=""),"",ROUND(MOD(D493-C493,1)*24-N(E493)/60,2))</f>
        <v/>
      </c>
      <c r="G493" s="14" t="str">
        <f>IF(B493="","",IFERROR(VLOOKUP(B493,EmpTable,2,FALSE),""))</f>
        <v/>
      </c>
      <c r="H493" s="14" t="str">
        <f>IF(OR(F493="",G493=""),"",F493*G493)</f>
        <v/>
      </c>
      <c r="I493" s="10" t="n"/>
    </row>
    <row r="494">
      <c r="A494" s="9" t="n"/>
      <c r="B494" s="10" t="n"/>
      <c r="C494" s="11" t="n"/>
      <c r="D494" s="11" t="n"/>
      <c r="E494" s="12" t="n"/>
      <c r="F494" s="13" t="str">
        <f>IF(OR(C494="",D494=""),"",ROUND(MOD(D494-C494,1)*24-N(E494)/60,2))</f>
        <v/>
      </c>
      <c r="G494" s="14" t="str">
        <f>IF(B494="","",IFERROR(VLOOKUP(B494,EmpTable,2,FALSE),""))</f>
        <v/>
      </c>
      <c r="H494" s="14" t="str">
        <f>IF(OR(F494="",G494=""),"",F494*G494)</f>
        <v/>
      </c>
      <c r="I494" s="10" t="n"/>
    </row>
    <row r="495">
      <c r="A495" s="9" t="n"/>
      <c r="B495" s="10" t="n"/>
      <c r="C495" s="11" t="n"/>
      <c r="D495" s="11" t="n"/>
      <c r="E495" s="12" t="n"/>
      <c r="F495" s="13" t="str">
        <f>IF(OR(C495="",D495=""),"",ROUND(MOD(D495-C495,1)*24-N(E495)/60,2))</f>
        <v/>
      </c>
      <c r="G495" s="14" t="str">
        <f>IF(B495="","",IFERROR(VLOOKUP(B495,EmpTable,2,FALSE),""))</f>
        <v/>
      </c>
      <c r="H495" s="14" t="str">
        <f>IF(OR(F495="",G495=""),"",F495*G495)</f>
        <v/>
      </c>
      <c r="I495" s="10" t="n"/>
    </row>
    <row r="496">
      <c r="A496" s="9" t="n"/>
      <c r="B496" s="10" t="n"/>
      <c r="C496" s="11" t="n"/>
      <c r="D496" s="11" t="n"/>
      <c r="E496" s="12" t="n"/>
      <c r="F496" s="13" t="str">
        <f>IF(OR(C496="",D496=""),"",ROUND(MOD(D496-C496,1)*24-N(E496)/60,2))</f>
        <v/>
      </c>
      <c r="G496" s="14" t="str">
        <f>IF(B496="","",IFERROR(VLOOKUP(B496,EmpTable,2,FALSE),""))</f>
        <v/>
      </c>
      <c r="H496" s="14" t="str">
        <f>IF(OR(F496="",G496=""),"",F496*G496)</f>
        <v/>
      </c>
      <c r="I496" s="10" t="n"/>
    </row>
    <row r="497">
      <c r="A497" s="9" t="n"/>
      <c r="B497" s="10" t="n"/>
      <c r="C497" s="11" t="n"/>
      <c r="D497" s="11" t="n"/>
      <c r="E497" s="12" t="n"/>
      <c r="F497" s="13" t="str">
        <f>IF(OR(C497="",D497=""),"",ROUND(MOD(D497-C497,1)*24-N(E497)/60,2))</f>
        <v/>
      </c>
      <c r="G497" s="14" t="str">
        <f>IF(B497="","",IFERROR(VLOOKUP(B497,EmpTable,2,FALSE),""))</f>
        <v/>
      </c>
      <c r="H497" s="14" t="str">
        <f>IF(OR(F497="",G497=""),"",F497*G497)</f>
        <v/>
      </c>
      <c r="I497" s="10" t="n"/>
    </row>
    <row r="498">
      <c r="A498" s="9" t="n"/>
      <c r="B498" s="10" t="n"/>
      <c r="C498" s="11" t="n"/>
      <c r="D498" s="11" t="n"/>
      <c r="E498" s="12" t="n"/>
      <c r="F498" s="13" t="str">
        <f>IF(OR(C498="",D498=""),"",ROUND(MOD(D498-C498,1)*24-N(E498)/60,2))</f>
        <v/>
      </c>
      <c r="G498" s="14" t="str">
        <f>IF(B498="","",IFERROR(VLOOKUP(B498,EmpTable,2,FALSE),""))</f>
        <v/>
      </c>
      <c r="H498" s="14" t="str">
        <f>IF(OR(F498="",G498=""),"",F498*G498)</f>
        <v/>
      </c>
      <c r="I498" s="10" t="n"/>
    </row>
    <row r="499">
      <c r="A499" s="9" t="n"/>
      <c r="B499" s="10" t="n"/>
      <c r="C499" s="11" t="n"/>
      <c r="D499" s="11" t="n"/>
      <c r="E499" s="12" t="n"/>
      <c r="F499" s="13" t="str">
        <f>IF(OR(C499="",D499=""),"",ROUND(MOD(D499-C499,1)*24-N(E499)/60,2))</f>
        <v/>
      </c>
      <c r="G499" s="14" t="str">
        <f>IF(B499="","",IFERROR(VLOOKUP(B499,EmpTable,2,FALSE),""))</f>
        <v/>
      </c>
      <c r="H499" s="14" t="str">
        <f>IF(OR(F499="",G499=""),"",F499*G499)</f>
        <v/>
      </c>
      <c r="I499" s="10" t="n"/>
    </row>
    <row r="500">
      <c r="A500" s="9" t="n"/>
      <c r="B500" s="10" t="n"/>
      <c r="C500" s="11" t="n"/>
      <c r="D500" s="11" t="n"/>
      <c r="E500" s="12" t="n"/>
      <c r="F500" s="13" t="str">
        <f>IF(OR(C500="",D500=""),"",ROUND(MOD(D500-C500,1)*24-N(E500)/60,2))</f>
        <v/>
      </c>
      <c r="G500" s="14" t="str">
        <f>IF(B500="","",IFERROR(VLOOKUP(B500,EmpTable,2,FALSE),""))</f>
        <v/>
      </c>
      <c r="H500" s="14" t="str">
        <f>IF(OR(F500="",G500=""),"",F500*G500)</f>
        <v/>
      </c>
      <c r="I500" s="10" t="n"/>
    </row>
    <row r="501">
      <c r="A501" s="9" t="n"/>
      <c r="B501" s="10" t="n"/>
      <c r="C501" s="11" t="n"/>
      <c r="D501" s="11" t="n"/>
      <c r="E501" s="12" t="n"/>
      <c r="F501" s="13" t="str">
        <f>IF(OR(C501="",D501=""),"",ROUND(MOD(D501-C501,1)*24-N(E501)/60,2))</f>
        <v/>
      </c>
      <c r="G501" s="14" t="str">
        <f>IF(B501="","",IFERROR(VLOOKUP(B501,EmpTable,2,FALSE),""))</f>
        <v/>
      </c>
      <c r="H501" s="14" t="str">
        <f>IF(OR(F501="",G501=""),"",F501*G501)</f>
        <v/>
      </c>
      <c r="I501" s="10" t="n"/>
    </row>
    <row r="502">
      <c r="A502" s="9" t="n"/>
      <c r="B502" s="10" t="n"/>
      <c r="C502" s="11" t="n"/>
      <c r="D502" s="11" t="n"/>
      <c r="E502" s="12" t="n"/>
      <c r="F502" s="13" t="str">
        <f>IF(OR(C502="",D502=""),"",ROUND(MOD(D502-C502,1)*24-N(E502)/60,2))</f>
        <v/>
      </c>
      <c r="G502" s="14" t="str">
        <f>IF(B502="","",IFERROR(VLOOKUP(B502,EmpTable,2,FALSE),""))</f>
        <v/>
      </c>
      <c r="H502" s="14" t="str">
        <f>IF(OR(F502="",G502=""),"",F502*G502)</f>
        <v/>
      </c>
      <c r="I502" s="10" t="n"/>
    </row>
    <row r="503">
      <c r="A503" s="9" t="n"/>
      <c r="B503" s="10" t="n"/>
      <c r="C503" s="11" t="n"/>
      <c r="D503" s="11" t="n"/>
      <c r="E503" s="12" t="n"/>
      <c r="F503" s="13" t="str">
        <f>IF(OR(C503="",D503=""),"",ROUND(MOD(D503-C503,1)*24-N(E503)/60,2))</f>
        <v/>
      </c>
      <c r="G503" s="14" t="str">
        <f>IF(B503="","",IFERROR(VLOOKUP(B503,EmpTable,2,FALSE),""))</f>
        <v/>
      </c>
      <c r="H503" s="14" t="str">
        <f>IF(OR(F503="",G503=""),"",F503*G503)</f>
        <v/>
      </c>
      <c r="I503" s="10" t="n"/>
    </row>
    <row r="504">
      <c r="A504" s="9" t="n"/>
      <c r="B504" s="10" t="n"/>
      <c r="C504" s="11" t="n"/>
      <c r="D504" s="11" t="n"/>
      <c r="E504" s="12" t="n"/>
      <c r="F504" s="13" t="str">
        <f>IF(OR(C504="",D504=""),"",ROUND(MOD(D504-C504,1)*24-N(E504)/60,2))</f>
        <v/>
      </c>
      <c r="G504" s="14" t="str">
        <f>IF(B504="","",IFERROR(VLOOKUP(B504,EmpTable,2,FALSE),""))</f>
        <v/>
      </c>
      <c r="H504" s="14" t="str">
        <f>IF(OR(F504="",G504=""),"",F504*G504)</f>
        <v/>
      </c>
      <c r="I504" s="10" t="n"/>
    </row>
    <row r="505">
      <c r="A505" s="9" t="n"/>
      <c r="B505" s="10" t="n"/>
      <c r="C505" s="11" t="n"/>
      <c r="D505" s="11" t="n"/>
      <c r="E505" s="12" t="n"/>
      <c r="F505" s="13" t="str">
        <f>IF(OR(C505="",D505=""),"",ROUND(MOD(D505-C505,1)*24-N(E505)/60,2))</f>
        <v/>
      </c>
      <c r="G505" s="14" t="str">
        <f>IF(B505="","",IFERROR(VLOOKUP(B505,EmpTable,2,FALSE),""))</f>
        <v/>
      </c>
      <c r="H505" s="14" t="str">
        <f>IF(OR(F505="",G505=""),"",F505*G505)</f>
        <v/>
      </c>
      <c r="I505" s="10" t="n"/>
    </row>
    <row r="506">
      <c r="A506" s="9" t="n"/>
      <c r="B506" s="10" t="n"/>
      <c r="C506" s="11" t="n"/>
      <c r="D506" s="11" t="n"/>
      <c r="E506" s="12" t="n"/>
      <c r="F506" s="13" t="str">
        <f>IF(OR(C506="",D506=""),"",ROUND(MOD(D506-C506,1)*24-N(E506)/60,2))</f>
        <v/>
      </c>
      <c r="G506" s="14" t="str">
        <f>IF(B506="","",IFERROR(VLOOKUP(B506,EmpTable,2,FALSE),""))</f>
        <v/>
      </c>
      <c r="H506" s="14" t="str">
        <f>IF(OR(F506="",G506=""),"",F506*G506)</f>
        <v/>
      </c>
      <c r="I506" s="10" t="n"/>
    </row>
    <row r="507">
      <c r="A507" s="9" t="n"/>
      <c r="B507" s="10" t="n"/>
      <c r="C507" s="11" t="n"/>
      <c r="D507" s="11" t="n"/>
      <c r="E507" s="12" t="n"/>
      <c r="F507" s="13" t="str">
        <f>IF(OR(C507="",D507=""),"",ROUND(MOD(D507-C507,1)*24-N(E507)/60,2))</f>
        <v/>
      </c>
      <c r="G507" s="14" t="str">
        <f>IF(B507="","",IFERROR(VLOOKUP(B507,EmpTable,2,FALSE),""))</f>
        <v/>
      </c>
      <c r="H507" s="14" t="str">
        <f>IF(OR(F507="",G507=""),"",F507*G507)</f>
        <v/>
      </c>
      <c r="I507" s="10" t="n"/>
    </row>
    <row r="508">
      <c r="A508" s="9" t="n"/>
      <c r="B508" s="10" t="n"/>
      <c r="C508" s="11" t="n"/>
      <c r="D508" s="11" t="n"/>
      <c r="E508" s="12" t="n"/>
      <c r="F508" s="13" t="str">
        <f>IF(OR(C508="",D508=""),"",ROUND(MOD(D508-C508,1)*24-N(E508)/60,2))</f>
        <v/>
      </c>
      <c r="G508" s="14" t="str">
        <f>IF(B508="","",IFERROR(VLOOKUP(B508,EmpTable,2,FALSE),""))</f>
        <v/>
      </c>
      <c r="H508" s="14" t="str">
        <f>IF(OR(F508="",G508=""),"",F508*G508)</f>
        <v/>
      </c>
      <c r="I508" s="10" t="n"/>
    </row>
    <row r="509">
      <c r="A509" s="9" t="n"/>
      <c r="B509" s="10" t="n"/>
      <c r="C509" s="11" t="n"/>
      <c r="D509" s="11" t="n"/>
      <c r="E509" s="12" t="n"/>
      <c r="F509" s="13" t="str">
        <f>IF(OR(C509="",D509=""),"",ROUND(MOD(D509-C509,1)*24-N(E509)/60,2))</f>
        <v/>
      </c>
      <c r="G509" s="14" t="str">
        <f>IF(B509="","",IFERROR(VLOOKUP(B509,EmpTable,2,FALSE),""))</f>
        <v/>
      </c>
      <c r="H509" s="14" t="str">
        <f>IF(OR(F509="",G509=""),"",F509*G509)</f>
        <v/>
      </c>
      <c r="I509" s="10" t="n"/>
    </row>
    <row r="510">
      <c r="A510" s="9" t="n"/>
      <c r="B510" s="10" t="n"/>
      <c r="C510" s="11" t="n"/>
      <c r="D510" s="11" t="n"/>
      <c r="E510" s="12" t="n"/>
      <c r="F510" s="13" t="str">
        <f>IF(OR(C510="",D510=""),"",ROUND(MOD(D510-C510,1)*24-N(E510)/60,2))</f>
        <v/>
      </c>
      <c r="G510" s="14" t="str">
        <f>IF(B510="","",IFERROR(VLOOKUP(B510,EmpTable,2,FALSE),""))</f>
        <v/>
      </c>
      <c r="H510" s="14" t="str">
        <f>IF(OR(F510="",G510=""),"",F510*G510)</f>
        <v/>
      </c>
      <c r="I510" s="10" t="n"/>
    </row>
    <row r="511">
      <c r="A511" s="9" t="n"/>
      <c r="B511" s="10" t="n"/>
      <c r="C511" s="11" t="n"/>
      <c r="D511" s="11" t="n"/>
      <c r="E511" s="12" t="n"/>
      <c r="F511" s="13" t="str">
        <f>IF(OR(C511="",D511=""),"",ROUND(MOD(D511-C511,1)*24-N(E511)/60,2))</f>
        <v/>
      </c>
      <c r="G511" s="14" t="str">
        <f>IF(B511="","",IFERROR(VLOOKUP(B511,EmpTable,2,FALSE),""))</f>
        <v/>
      </c>
      <c r="H511" s="14" t="str">
        <f>IF(OR(F511="",G511=""),"",F511*G511)</f>
        <v/>
      </c>
      <c r="I511" s="10" t="n"/>
    </row>
    <row r="512">
      <c r="A512" s="9" t="n"/>
      <c r="B512" s="10" t="n"/>
      <c r="C512" s="11" t="n"/>
      <c r="D512" s="11" t="n"/>
      <c r="E512" s="12" t="n"/>
      <c r="F512" s="13" t="str">
        <f>IF(OR(C512="",D512=""),"",ROUND(MOD(D512-C512,1)*24-N(E512)/60,2))</f>
        <v/>
      </c>
      <c r="G512" s="14" t="str">
        <f>IF(B512="","",IFERROR(VLOOKUP(B512,EmpTable,2,FALSE),""))</f>
        <v/>
      </c>
      <c r="H512" s="14" t="str">
        <f>IF(OR(F512="",G512=""),"",F512*G512)</f>
        <v/>
      </c>
      <c r="I512" s="10" t="n"/>
    </row>
    <row r="513">
      <c r="A513" s="9" t="n"/>
      <c r="B513" s="10" t="n"/>
      <c r="C513" s="11" t="n"/>
      <c r="D513" s="11" t="n"/>
      <c r="E513" s="12" t="n"/>
      <c r="F513" s="13" t="str">
        <f>IF(OR(C513="",D513=""),"",ROUND(MOD(D513-C513,1)*24-N(E513)/60,2))</f>
        <v/>
      </c>
      <c r="G513" s="14" t="str">
        <f>IF(B513="","",IFERROR(VLOOKUP(B513,EmpTable,2,FALSE),""))</f>
        <v/>
      </c>
      <c r="H513" s="14" t="str">
        <f>IF(OR(F513="",G513=""),"",F513*G513)</f>
        <v/>
      </c>
      <c r="I513" s="10" t="n"/>
    </row>
    <row r="514">
      <c r="A514" s="9" t="n"/>
      <c r="B514" s="10" t="n"/>
      <c r="C514" s="11" t="n"/>
      <c r="D514" s="11" t="n"/>
      <c r="E514" s="12" t="n"/>
      <c r="F514" s="13" t="str">
        <f>IF(OR(C514="",D514=""),"",ROUND(MOD(D514-C514,1)*24-N(E514)/60,2))</f>
        <v/>
      </c>
      <c r="G514" s="14" t="str">
        <f>IF(B514="","",IFERROR(VLOOKUP(B514,EmpTable,2,FALSE),""))</f>
        <v/>
      </c>
      <c r="H514" s="14" t="str">
        <f>IF(OR(F514="",G514=""),"",F514*G514)</f>
        <v/>
      </c>
      <c r="I514" s="10" t="n"/>
    </row>
    <row r="515">
      <c r="A515" s="9" t="n"/>
      <c r="B515" s="10" t="n"/>
      <c r="C515" s="11" t="n"/>
      <c r="D515" s="11" t="n"/>
      <c r="E515" s="12" t="n"/>
      <c r="F515" s="13" t="str">
        <f>IF(OR(C515="",D515=""),"",ROUND(MOD(D515-C515,1)*24-N(E515)/60,2))</f>
        <v/>
      </c>
      <c r="G515" s="14" t="str">
        <f>IF(B515="","",IFERROR(VLOOKUP(B515,EmpTable,2,FALSE),""))</f>
        <v/>
      </c>
      <c r="H515" s="14" t="str">
        <f>IF(OR(F515="",G515=""),"",F515*G515)</f>
        <v/>
      </c>
      <c r="I515" s="10" t="n"/>
    </row>
    <row r="516">
      <c r="A516" s="9" t="n"/>
      <c r="B516" s="10" t="n"/>
      <c r="C516" s="11" t="n"/>
      <c r="D516" s="11" t="n"/>
      <c r="E516" s="12" t="n"/>
      <c r="F516" s="13" t="str">
        <f>IF(OR(C516="",D516=""),"",ROUND(MOD(D516-C516,1)*24-N(E516)/60,2))</f>
        <v/>
      </c>
      <c r="G516" s="14" t="str">
        <f>IF(B516="","",IFERROR(VLOOKUP(B516,EmpTable,2,FALSE),""))</f>
        <v/>
      </c>
      <c r="H516" s="14" t="str">
        <f>IF(OR(F516="",G516=""),"",F516*G516)</f>
        <v/>
      </c>
      <c r="I516" s="10" t="n"/>
    </row>
    <row r="517">
      <c r="A517" s="9" t="n"/>
      <c r="B517" s="10" t="n"/>
      <c r="C517" s="11" t="n"/>
      <c r="D517" s="11" t="n"/>
      <c r="E517" s="12" t="n"/>
      <c r="F517" s="13" t="str">
        <f>IF(OR(C517="",D517=""),"",ROUND(MOD(D517-C517,1)*24-N(E517)/60,2))</f>
        <v/>
      </c>
      <c r="G517" s="14" t="str">
        <f>IF(B517="","",IFERROR(VLOOKUP(B517,EmpTable,2,FALSE),""))</f>
        <v/>
      </c>
      <c r="H517" s="14" t="str">
        <f>IF(OR(F517="",G517=""),"",F517*G517)</f>
        <v/>
      </c>
      <c r="I517" s="10" t="n"/>
    </row>
    <row r="518">
      <c r="A518" s="9" t="n"/>
      <c r="B518" s="10" t="n"/>
      <c r="C518" s="11" t="n"/>
      <c r="D518" s="11" t="n"/>
      <c r="E518" s="12" t="n"/>
      <c r="F518" s="13" t="str">
        <f>IF(OR(C518="",D518=""),"",ROUND(MOD(D518-C518,1)*24-N(E518)/60,2))</f>
        <v/>
      </c>
      <c r="G518" s="14" t="str">
        <f>IF(B518="","",IFERROR(VLOOKUP(B518,EmpTable,2,FALSE),""))</f>
        <v/>
      </c>
      <c r="H518" s="14" t="str">
        <f>IF(OR(F518="",G518=""),"",F518*G518)</f>
        <v/>
      </c>
      <c r="I518" s="10" t="n"/>
    </row>
    <row r="519">
      <c r="A519" s="9" t="n"/>
      <c r="B519" s="10" t="n"/>
      <c r="C519" s="11" t="n"/>
      <c r="D519" s="11" t="n"/>
      <c r="E519" s="12" t="n"/>
      <c r="F519" s="13" t="str">
        <f>IF(OR(C519="",D519=""),"",ROUND(MOD(D519-C519,1)*24-N(E519)/60,2))</f>
        <v/>
      </c>
      <c r="G519" s="14" t="str">
        <f>IF(B519="","",IFERROR(VLOOKUP(B519,EmpTable,2,FALSE),""))</f>
        <v/>
      </c>
      <c r="H519" s="14" t="str">
        <f>IF(OR(F519="",G519=""),"",F519*G519)</f>
        <v/>
      </c>
      <c r="I519" s="10" t="n"/>
    </row>
    <row r="520">
      <c r="A520" s="9" t="n"/>
      <c r="B520" s="10" t="n"/>
      <c r="C520" s="11" t="n"/>
      <c r="D520" s="11" t="n"/>
      <c r="E520" s="12" t="n"/>
      <c r="F520" s="13" t="str">
        <f>IF(OR(C520="",D520=""),"",ROUND(MOD(D520-C520,1)*24-N(E520)/60,2))</f>
        <v/>
      </c>
      <c r="G520" s="14" t="str">
        <f>IF(B520="","",IFERROR(VLOOKUP(B520,EmpTable,2,FALSE),""))</f>
        <v/>
      </c>
      <c r="H520" s="14" t="str">
        <f>IF(OR(F520="",G520=""),"",F520*G520)</f>
        <v/>
      </c>
      <c r="I520" s="10" t="n"/>
    </row>
    <row r="521">
      <c r="A521" s="9" t="n"/>
      <c r="B521" s="10" t="n"/>
      <c r="C521" s="11" t="n"/>
      <c r="D521" s="11" t="n"/>
      <c r="E521" s="12" t="n"/>
      <c r="F521" s="13" t="str">
        <f>IF(OR(C521="",D521=""),"",ROUND(MOD(D521-C521,1)*24-N(E521)/60,2))</f>
        <v/>
      </c>
      <c r="G521" s="14" t="str">
        <f>IF(B521="","",IFERROR(VLOOKUP(B521,EmpTable,2,FALSE),""))</f>
        <v/>
      </c>
      <c r="H521" s="14" t="str">
        <f>IF(OR(F521="",G521=""),"",F521*G521)</f>
        <v/>
      </c>
      <c r="I521" s="10" t="n"/>
    </row>
    <row r="522">
      <c r="A522" s="9" t="n"/>
      <c r="B522" s="10" t="n"/>
      <c r="C522" s="11" t="n"/>
      <c r="D522" s="11" t="n"/>
      <c r="E522" s="12" t="n"/>
      <c r="F522" s="13" t="str">
        <f>IF(OR(C522="",D522=""),"",ROUND(MOD(D522-C522,1)*24-N(E522)/60,2))</f>
        <v/>
      </c>
      <c r="G522" s="14" t="str">
        <f>IF(B522="","",IFERROR(VLOOKUP(B522,EmpTable,2,FALSE),""))</f>
        <v/>
      </c>
      <c r="H522" s="14" t="str">
        <f>IF(OR(F522="",G522=""),"",F522*G522)</f>
        <v/>
      </c>
      <c r="I522" s="10" t="n"/>
    </row>
    <row r="523">
      <c r="A523" s="9" t="n"/>
      <c r="B523" s="10" t="n"/>
      <c r="C523" s="11" t="n"/>
      <c r="D523" s="11" t="n"/>
      <c r="E523" s="12" t="n"/>
      <c r="F523" s="13" t="str">
        <f>IF(OR(C523="",D523=""),"",ROUND(MOD(D523-C523,1)*24-N(E523)/60,2))</f>
        <v/>
      </c>
      <c r="G523" s="14" t="str">
        <f>IF(B523="","",IFERROR(VLOOKUP(B523,EmpTable,2,FALSE),""))</f>
        <v/>
      </c>
      <c r="H523" s="14" t="str">
        <f>IF(OR(F523="",G523=""),"",F523*G523)</f>
        <v/>
      </c>
      <c r="I523" s="10" t="n"/>
    </row>
    <row r="524">
      <c r="A524" s="9" t="n"/>
      <c r="B524" s="10" t="n"/>
      <c r="C524" s="11" t="n"/>
      <c r="D524" s="11" t="n"/>
      <c r="E524" s="12" t="n"/>
      <c r="F524" s="13" t="str">
        <f>IF(OR(C524="",D524=""),"",ROUND(MOD(D524-C524,1)*24-N(E524)/60,2))</f>
        <v/>
      </c>
      <c r="G524" s="14" t="str">
        <f>IF(B524="","",IFERROR(VLOOKUP(B524,EmpTable,2,FALSE),""))</f>
        <v/>
      </c>
      <c r="H524" s="14" t="str">
        <f>IF(OR(F524="",G524=""),"",F524*G524)</f>
        <v/>
      </c>
      <c r="I524" s="10" t="n"/>
    </row>
    <row r="525">
      <c r="A525" s="9" t="n"/>
      <c r="B525" s="10" t="n"/>
      <c r="C525" s="11" t="n"/>
      <c r="D525" s="11" t="n"/>
      <c r="E525" s="12" t="n"/>
      <c r="F525" s="13" t="str">
        <f>IF(OR(C525="",D525=""),"",ROUND(MOD(D525-C525,1)*24-N(E525)/60,2))</f>
        <v/>
      </c>
      <c r="G525" s="14" t="str">
        <f>IF(B525="","",IFERROR(VLOOKUP(B525,EmpTable,2,FALSE),""))</f>
        <v/>
      </c>
      <c r="H525" s="14" t="str">
        <f>IF(OR(F525="",G525=""),"",F525*G525)</f>
        <v/>
      </c>
      <c r="I525" s="10" t="n"/>
    </row>
    <row r="526">
      <c r="A526" s="9" t="n"/>
      <c r="B526" s="10" t="n"/>
      <c r="C526" s="11" t="n"/>
      <c r="D526" s="11" t="n"/>
      <c r="E526" s="12" t="n"/>
      <c r="F526" s="13" t="str">
        <f>IF(OR(C526="",D526=""),"",ROUND(MOD(D526-C526,1)*24-N(E526)/60,2))</f>
        <v/>
      </c>
      <c r="G526" s="14" t="str">
        <f>IF(B526="","",IFERROR(VLOOKUP(B526,EmpTable,2,FALSE),""))</f>
        <v/>
      </c>
      <c r="H526" s="14" t="str">
        <f>IF(OR(F526="",G526=""),"",F526*G526)</f>
        <v/>
      </c>
      <c r="I526" s="10" t="n"/>
    </row>
    <row r="527">
      <c r="A527" s="9" t="n"/>
      <c r="B527" s="10" t="n"/>
      <c r="C527" s="11" t="n"/>
      <c r="D527" s="11" t="n"/>
      <c r="E527" s="12" t="n"/>
      <c r="F527" s="13" t="str">
        <f>IF(OR(C527="",D527=""),"",ROUND(MOD(D527-C527,1)*24-N(E527)/60,2))</f>
        <v/>
      </c>
      <c r="G527" s="14" t="str">
        <f>IF(B527="","",IFERROR(VLOOKUP(B527,EmpTable,2,FALSE),""))</f>
        <v/>
      </c>
      <c r="H527" s="14" t="str">
        <f>IF(OR(F527="",G527=""),"",F527*G527)</f>
        <v/>
      </c>
      <c r="I527" s="10" t="n"/>
    </row>
    <row r="528">
      <c r="A528" s="9" t="n"/>
      <c r="B528" s="10" t="n"/>
      <c r="C528" s="11" t="n"/>
      <c r="D528" s="11" t="n"/>
      <c r="E528" s="12" t="n"/>
      <c r="F528" s="13" t="str">
        <f>IF(OR(C528="",D528=""),"",ROUND(MOD(D528-C528,1)*24-N(E528)/60,2))</f>
        <v/>
      </c>
      <c r="G528" s="14" t="str">
        <f>IF(B528="","",IFERROR(VLOOKUP(B528,EmpTable,2,FALSE),""))</f>
        <v/>
      </c>
      <c r="H528" s="14" t="str">
        <f>IF(OR(F528="",G528=""),"",F528*G528)</f>
        <v/>
      </c>
      <c r="I528" s="10" t="n"/>
    </row>
    <row r="529">
      <c r="A529" s="9" t="n"/>
      <c r="B529" s="10" t="n"/>
      <c r="C529" s="11" t="n"/>
      <c r="D529" s="11" t="n"/>
      <c r="E529" s="12" t="n"/>
      <c r="F529" s="13" t="str">
        <f>IF(OR(C529="",D529=""),"",ROUND(MOD(D529-C529,1)*24-N(E529)/60,2))</f>
        <v/>
      </c>
      <c r="G529" s="14" t="str">
        <f>IF(B529="","",IFERROR(VLOOKUP(B529,EmpTable,2,FALSE),""))</f>
        <v/>
      </c>
      <c r="H529" s="14" t="str">
        <f>IF(OR(F529="",G529=""),"",F529*G529)</f>
        <v/>
      </c>
      <c r="I529" s="10" t="n"/>
    </row>
    <row r="530">
      <c r="A530" s="9" t="n"/>
      <c r="B530" s="10" t="n"/>
      <c r="C530" s="11" t="n"/>
      <c r="D530" s="11" t="n"/>
      <c r="E530" s="12" t="n"/>
      <c r="F530" s="13" t="str">
        <f>IF(OR(C530="",D530=""),"",ROUND(MOD(D530-C530,1)*24-N(E530)/60,2))</f>
        <v/>
      </c>
      <c r="G530" s="14" t="str">
        <f>IF(B530="","",IFERROR(VLOOKUP(B530,EmpTable,2,FALSE),""))</f>
        <v/>
      </c>
      <c r="H530" s="14" t="str">
        <f>IF(OR(F530="",G530=""),"",F530*G530)</f>
        <v/>
      </c>
      <c r="I530" s="10" t="n"/>
    </row>
    <row r="531">
      <c r="A531" s="9" t="n"/>
      <c r="B531" s="10" t="n"/>
      <c r="C531" s="11" t="n"/>
      <c r="D531" s="11" t="n"/>
      <c r="E531" s="12" t="n"/>
      <c r="F531" s="13" t="str">
        <f>IF(OR(C531="",D531=""),"",ROUND(MOD(D531-C531,1)*24-N(E531)/60,2))</f>
        <v/>
      </c>
      <c r="G531" s="14" t="str">
        <f>IF(B531="","",IFERROR(VLOOKUP(B531,EmpTable,2,FALSE),""))</f>
        <v/>
      </c>
      <c r="H531" s="14" t="str">
        <f>IF(OR(F531="",G531=""),"",F531*G531)</f>
        <v/>
      </c>
      <c r="I531" s="10" t="n"/>
    </row>
    <row r="532">
      <c r="A532" s="9" t="n"/>
      <c r="B532" s="10" t="n"/>
      <c r="C532" s="11" t="n"/>
      <c r="D532" s="11" t="n"/>
      <c r="E532" s="12" t="n"/>
      <c r="F532" s="13" t="str">
        <f>IF(OR(C532="",D532=""),"",ROUND(MOD(D532-C532,1)*24-N(E532)/60,2))</f>
        <v/>
      </c>
      <c r="G532" s="14" t="str">
        <f>IF(B532="","",IFERROR(VLOOKUP(B532,EmpTable,2,FALSE),""))</f>
        <v/>
      </c>
      <c r="H532" s="14" t="str">
        <f>IF(OR(F532="",G532=""),"",F532*G532)</f>
        <v/>
      </c>
      <c r="I532" s="10" t="n"/>
    </row>
    <row r="533">
      <c r="A533" s="9" t="n"/>
      <c r="B533" s="10" t="n"/>
      <c r="C533" s="11" t="n"/>
      <c r="D533" s="11" t="n"/>
      <c r="E533" s="12" t="n"/>
      <c r="F533" s="13" t="str">
        <f>IF(OR(C533="",D533=""),"",ROUND(MOD(D533-C533,1)*24-N(E533)/60,2))</f>
        <v/>
      </c>
      <c r="G533" s="14" t="str">
        <f>IF(B533="","",IFERROR(VLOOKUP(B533,EmpTable,2,FALSE),""))</f>
        <v/>
      </c>
      <c r="H533" s="14" t="str">
        <f>IF(OR(F533="",G533=""),"",F533*G533)</f>
        <v/>
      </c>
      <c r="I533" s="10" t="n"/>
    </row>
    <row r="534">
      <c r="A534" s="9" t="n"/>
      <c r="B534" s="10" t="n"/>
      <c r="C534" s="11" t="n"/>
      <c r="D534" s="11" t="n"/>
      <c r="E534" s="12" t="n"/>
      <c r="F534" s="13" t="str">
        <f>IF(OR(C534="",D534=""),"",ROUND(MOD(D534-C534,1)*24-N(E534)/60,2))</f>
        <v/>
      </c>
      <c r="G534" s="14" t="str">
        <f>IF(B534="","",IFERROR(VLOOKUP(B534,EmpTable,2,FALSE),""))</f>
        <v/>
      </c>
      <c r="H534" s="14" t="str">
        <f>IF(OR(F534="",G534=""),"",F534*G534)</f>
        <v/>
      </c>
      <c r="I534" s="10" t="n"/>
    </row>
    <row r="535">
      <c r="A535" s="9" t="n"/>
      <c r="B535" s="10" t="n"/>
      <c r="C535" s="11" t="n"/>
      <c r="D535" s="11" t="n"/>
      <c r="E535" s="12" t="n"/>
      <c r="F535" s="13" t="str">
        <f>IF(OR(C535="",D535=""),"",ROUND(MOD(D535-C535,1)*24-N(E535)/60,2))</f>
        <v/>
      </c>
      <c r="G535" s="14" t="str">
        <f>IF(B535="","",IFERROR(VLOOKUP(B535,EmpTable,2,FALSE),""))</f>
        <v/>
      </c>
      <c r="H535" s="14" t="str">
        <f>IF(OR(F535="",G535=""),"",F535*G535)</f>
        <v/>
      </c>
      <c r="I535" s="10" t="n"/>
    </row>
    <row r="536">
      <c r="A536" s="9" t="n"/>
      <c r="B536" s="10" t="n"/>
      <c r="C536" s="11" t="n"/>
      <c r="D536" s="11" t="n"/>
      <c r="E536" s="12" t="n"/>
      <c r="F536" s="13" t="str">
        <f>IF(OR(C536="",D536=""),"",ROUND(MOD(D536-C536,1)*24-N(E536)/60,2))</f>
        <v/>
      </c>
      <c r="G536" s="14" t="str">
        <f>IF(B536="","",IFERROR(VLOOKUP(B536,EmpTable,2,FALSE),""))</f>
        <v/>
      </c>
      <c r="H536" s="14" t="str">
        <f>IF(OR(F536="",G536=""),"",F536*G536)</f>
        <v/>
      </c>
      <c r="I536" s="10" t="n"/>
    </row>
    <row r="537">
      <c r="A537" s="9" t="n"/>
      <c r="B537" s="10" t="n"/>
      <c r="C537" s="11" t="n"/>
      <c r="D537" s="11" t="n"/>
      <c r="E537" s="12" t="n"/>
      <c r="F537" s="13" t="str">
        <f>IF(OR(C537="",D537=""),"",ROUND(MOD(D537-C537,1)*24-N(E537)/60,2))</f>
        <v/>
      </c>
      <c r="G537" s="14" t="str">
        <f>IF(B537="","",IFERROR(VLOOKUP(B537,EmpTable,2,FALSE),""))</f>
        <v/>
      </c>
      <c r="H537" s="14" t="str">
        <f>IF(OR(F537="",G537=""),"",F537*G537)</f>
        <v/>
      </c>
      <c r="I537" s="10" t="n"/>
    </row>
    <row r="538">
      <c r="A538" s="9" t="n"/>
      <c r="B538" s="10" t="n"/>
      <c r="C538" s="11" t="n"/>
      <c r="D538" s="11" t="n"/>
      <c r="E538" s="12" t="n"/>
      <c r="F538" s="13" t="str">
        <f>IF(OR(C538="",D538=""),"",ROUND(MOD(D538-C538,1)*24-N(E538)/60,2))</f>
        <v/>
      </c>
      <c r="G538" s="14" t="str">
        <f>IF(B538="","",IFERROR(VLOOKUP(B538,EmpTable,2,FALSE),""))</f>
        <v/>
      </c>
      <c r="H538" s="14" t="str">
        <f>IF(OR(F538="",G538=""),"",F538*G538)</f>
        <v/>
      </c>
      <c r="I538" s="10" t="n"/>
    </row>
    <row r="539">
      <c r="A539" s="9" t="n"/>
      <c r="B539" s="10" t="n"/>
      <c r="C539" s="11" t="n"/>
      <c r="D539" s="11" t="n"/>
      <c r="E539" s="12" t="n"/>
      <c r="F539" s="13" t="str">
        <f>IF(OR(C539="",D539=""),"",ROUND(MOD(D539-C539,1)*24-N(E539)/60,2))</f>
        <v/>
      </c>
      <c r="G539" s="14" t="str">
        <f>IF(B539="","",IFERROR(VLOOKUP(B539,EmpTable,2,FALSE),""))</f>
        <v/>
      </c>
      <c r="H539" s="14" t="str">
        <f>IF(OR(F539="",G539=""),"",F539*G539)</f>
        <v/>
      </c>
      <c r="I539" s="10" t="n"/>
    </row>
    <row r="540">
      <c r="A540" s="9" t="n"/>
      <c r="B540" s="10" t="n"/>
      <c r="C540" s="11" t="n"/>
      <c r="D540" s="11" t="n"/>
      <c r="E540" s="12" t="n"/>
      <c r="F540" s="13" t="str">
        <f>IF(OR(C540="",D540=""),"",ROUND(MOD(D540-C540,1)*24-N(E540)/60,2))</f>
        <v/>
      </c>
      <c r="G540" s="14" t="str">
        <f>IF(B540="","",IFERROR(VLOOKUP(B540,EmpTable,2,FALSE),""))</f>
        <v/>
      </c>
      <c r="H540" s="14" t="str">
        <f>IF(OR(F540="",G540=""),"",F540*G540)</f>
        <v/>
      </c>
      <c r="I540" s="10" t="n"/>
    </row>
    <row r="541">
      <c r="A541" s="9" t="n"/>
      <c r="B541" s="10" t="n"/>
      <c r="C541" s="11" t="n"/>
      <c r="D541" s="11" t="n"/>
      <c r="E541" s="12" t="n"/>
      <c r="F541" s="13" t="str">
        <f>IF(OR(C541="",D541=""),"",ROUND(MOD(D541-C541,1)*24-N(E541)/60,2))</f>
        <v/>
      </c>
      <c r="G541" s="14" t="str">
        <f>IF(B541="","",IFERROR(VLOOKUP(B541,EmpTable,2,FALSE),""))</f>
        <v/>
      </c>
      <c r="H541" s="14" t="str">
        <f>IF(OR(F541="",G541=""),"",F541*G541)</f>
        <v/>
      </c>
      <c r="I541" s="10" t="n"/>
    </row>
    <row r="542">
      <c r="A542" s="9" t="n"/>
      <c r="B542" s="10" t="n"/>
      <c r="C542" s="11" t="n"/>
      <c r="D542" s="11" t="n"/>
      <c r="E542" s="12" t="n"/>
      <c r="F542" s="13" t="str">
        <f>IF(OR(C542="",D542=""),"",ROUND(MOD(D542-C542,1)*24-N(E542)/60,2))</f>
        <v/>
      </c>
      <c r="G542" s="14" t="str">
        <f>IF(B542="","",IFERROR(VLOOKUP(B542,EmpTable,2,FALSE),""))</f>
        <v/>
      </c>
      <c r="H542" s="14" t="str">
        <f>IF(OR(F542="",G542=""),"",F542*G542)</f>
        <v/>
      </c>
      <c r="I542" s="10" t="n"/>
    </row>
    <row r="543">
      <c r="A543" s="9" t="n"/>
      <c r="B543" s="10" t="n"/>
      <c r="C543" s="11" t="n"/>
      <c r="D543" s="11" t="n"/>
      <c r="E543" s="12" t="n"/>
      <c r="F543" s="13" t="str">
        <f>IF(OR(C543="",D543=""),"",ROUND(MOD(D543-C543,1)*24-N(E543)/60,2))</f>
        <v/>
      </c>
      <c r="G543" s="14" t="str">
        <f>IF(B543="","",IFERROR(VLOOKUP(B543,EmpTable,2,FALSE),""))</f>
        <v/>
      </c>
      <c r="H543" s="14" t="str">
        <f>IF(OR(F543="",G543=""),"",F543*G543)</f>
        <v/>
      </c>
      <c r="I543" s="10" t="n"/>
    </row>
    <row r="544">
      <c r="A544" s="9" t="n"/>
      <c r="B544" s="10" t="n"/>
      <c r="C544" s="11" t="n"/>
      <c r="D544" s="11" t="n"/>
      <c r="E544" s="12" t="n"/>
      <c r="F544" s="13" t="str">
        <f>IF(OR(C544="",D544=""),"",ROUND(MOD(D544-C544,1)*24-N(E544)/60,2))</f>
        <v/>
      </c>
      <c r="G544" s="14" t="str">
        <f>IF(B544="","",IFERROR(VLOOKUP(B544,EmpTable,2,FALSE),""))</f>
        <v/>
      </c>
      <c r="H544" s="14" t="str">
        <f>IF(OR(F544="",G544=""),"",F544*G544)</f>
        <v/>
      </c>
      <c r="I544" s="10" t="n"/>
    </row>
    <row r="545">
      <c r="A545" s="9" t="n"/>
      <c r="B545" s="10" t="n"/>
      <c r="C545" s="11" t="n"/>
      <c r="D545" s="11" t="n"/>
      <c r="E545" s="12" t="n"/>
      <c r="F545" s="13" t="str">
        <f>IF(OR(C545="",D545=""),"",ROUND(MOD(D545-C545,1)*24-N(E545)/60,2))</f>
        <v/>
      </c>
      <c r="G545" s="14" t="str">
        <f>IF(B545="","",IFERROR(VLOOKUP(B545,EmpTable,2,FALSE),""))</f>
        <v/>
      </c>
      <c r="H545" s="14" t="str">
        <f>IF(OR(F545="",G545=""),"",F545*G545)</f>
        <v/>
      </c>
      <c r="I545" s="10" t="n"/>
    </row>
    <row r="546">
      <c r="A546" s="9" t="n"/>
      <c r="B546" s="10" t="n"/>
      <c r="C546" s="11" t="n"/>
      <c r="D546" s="11" t="n"/>
      <c r="E546" s="12" t="n"/>
      <c r="F546" s="13" t="str">
        <f>IF(OR(C546="",D546=""),"",ROUND(MOD(D546-C546,1)*24-N(E546)/60,2))</f>
        <v/>
      </c>
      <c r="G546" s="14" t="str">
        <f>IF(B546="","",IFERROR(VLOOKUP(B546,EmpTable,2,FALSE),""))</f>
        <v/>
      </c>
      <c r="H546" s="14" t="str">
        <f>IF(OR(F546="",G546=""),"",F546*G546)</f>
        <v/>
      </c>
      <c r="I546" s="10" t="n"/>
    </row>
    <row r="547">
      <c r="A547" s="9" t="n"/>
      <c r="B547" s="10" t="n"/>
      <c r="C547" s="11" t="n"/>
      <c r="D547" s="11" t="n"/>
      <c r="E547" s="12" t="n"/>
      <c r="F547" s="13" t="str">
        <f>IF(OR(C547="",D547=""),"",ROUND(MOD(D547-C547,1)*24-N(E547)/60,2))</f>
        <v/>
      </c>
      <c r="G547" s="14" t="str">
        <f>IF(B547="","",IFERROR(VLOOKUP(B547,EmpTable,2,FALSE),""))</f>
        <v/>
      </c>
      <c r="H547" s="14" t="str">
        <f>IF(OR(F547="",G547=""),"",F547*G547)</f>
        <v/>
      </c>
      <c r="I547" s="10" t="n"/>
    </row>
    <row r="548">
      <c r="A548" s="9" t="n"/>
      <c r="B548" s="10" t="n"/>
      <c r="C548" s="11" t="n"/>
      <c r="D548" s="11" t="n"/>
      <c r="E548" s="12" t="n"/>
      <c r="F548" s="13" t="str">
        <f>IF(OR(C548="",D548=""),"",ROUND(MOD(D548-C548,1)*24-N(E548)/60,2))</f>
        <v/>
      </c>
      <c r="G548" s="14" t="str">
        <f>IF(B548="","",IFERROR(VLOOKUP(B548,EmpTable,2,FALSE),""))</f>
        <v/>
      </c>
      <c r="H548" s="14" t="str">
        <f>IF(OR(F548="",G548=""),"",F548*G548)</f>
        <v/>
      </c>
      <c r="I548" s="10" t="n"/>
    </row>
    <row r="549">
      <c r="A549" s="9" t="n"/>
      <c r="B549" s="10" t="n"/>
      <c r="C549" s="11" t="n"/>
      <c r="D549" s="11" t="n"/>
      <c r="E549" s="12" t="n"/>
      <c r="F549" s="13" t="str">
        <f>IF(OR(C549="",D549=""),"",ROUND(MOD(D549-C549,1)*24-N(E549)/60,2))</f>
        <v/>
      </c>
      <c r="G549" s="14" t="str">
        <f>IF(B549="","",IFERROR(VLOOKUP(B549,EmpTable,2,FALSE),""))</f>
        <v/>
      </c>
      <c r="H549" s="14" t="str">
        <f>IF(OR(F549="",G549=""),"",F549*G549)</f>
        <v/>
      </c>
      <c r="I549" s="10" t="n"/>
    </row>
    <row r="550">
      <c r="A550" s="9" t="n"/>
      <c r="B550" s="10" t="n"/>
      <c r="C550" s="11" t="n"/>
      <c r="D550" s="11" t="n"/>
      <c r="E550" s="12" t="n"/>
      <c r="F550" s="13" t="str">
        <f>IF(OR(C550="",D550=""),"",ROUND(MOD(D550-C550,1)*24-N(E550)/60,2))</f>
        <v/>
      </c>
      <c r="G550" s="14" t="str">
        <f>IF(B550="","",IFERROR(VLOOKUP(B550,EmpTable,2,FALSE),""))</f>
        <v/>
      </c>
      <c r="H550" s="14" t="str">
        <f>IF(OR(F550="",G550=""),"",F550*G550)</f>
        <v/>
      </c>
      <c r="I550" s="10" t="n"/>
    </row>
    <row r="551">
      <c r="A551" s="9" t="n"/>
      <c r="B551" s="10" t="n"/>
      <c r="C551" s="11" t="n"/>
      <c r="D551" s="11" t="n"/>
      <c r="E551" s="12" t="n"/>
      <c r="F551" s="13" t="str">
        <f>IF(OR(C551="",D551=""),"",ROUND(MOD(D551-C551,1)*24-N(E551)/60,2))</f>
        <v/>
      </c>
      <c r="G551" s="14" t="str">
        <f>IF(B551="","",IFERROR(VLOOKUP(B551,EmpTable,2,FALSE),""))</f>
        <v/>
      </c>
      <c r="H551" s="14" t="str">
        <f>IF(OR(F551="",G551=""),"",F551*G551)</f>
        <v/>
      </c>
      <c r="I551" s="10" t="n"/>
    </row>
    <row r="552">
      <c r="A552" s="9" t="n"/>
      <c r="B552" s="10" t="n"/>
      <c r="C552" s="11" t="n"/>
      <c r="D552" s="11" t="n"/>
      <c r="E552" s="12" t="n"/>
      <c r="F552" s="13" t="str">
        <f>IF(OR(C552="",D552=""),"",ROUND(MOD(D552-C552,1)*24-N(E552)/60,2))</f>
        <v/>
      </c>
      <c r="G552" s="14" t="str">
        <f>IF(B552="","",IFERROR(VLOOKUP(B552,EmpTable,2,FALSE),""))</f>
        <v/>
      </c>
      <c r="H552" s="14" t="str">
        <f>IF(OR(F552="",G552=""),"",F552*G552)</f>
        <v/>
      </c>
      <c r="I552" s="10" t="n"/>
    </row>
    <row r="553">
      <c r="A553" s="9" t="n"/>
      <c r="B553" s="10" t="n"/>
      <c r="C553" s="11" t="n"/>
      <c r="D553" s="11" t="n"/>
      <c r="E553" s="12" t="n"/>
      <c r="F553" s="13" t="str">
        <f>IF(OR(C553="",D553=""),"",ROUND(MOD(D553-C553,1)*24-N(E553)/60,2))</f>
        <v/>
      </c>
      <c r="G553" s="14" t="str">
        <f>IF(B553="","",IFERROR(VLOOKUP(B553,EmpTable,2,FALSE),""))</f>
        <v/>
      </c>
      <c r="H553" s="14" t="str">
        <f>IF(OR(F553="",G553=""),"",F553*G553)</f>
        <v/>
      </c>
      <c r="I553" s="10" t="n"/>
    </row>
    <row r="554">
      <c r="A554" s="9" t="n"/>
      <c r="B554" s="10" t="n"/>
      <c r="C554" s="11" t="n"/>
      <c r="D554" s="11" t="n"/>
      <c r="E554" s="12" t="n"/>
      <c r="F554" s="13" t="str">
        <f>IF(OR(C554="",D554=""),"",ROUND(MOD(D554-C554,1)*24-N(E554)/60,2))</f>
        <v/>
      </c>
      <c r="G554" s="14" t="str">
        <f>IF(B554="","",IFERROR(VLOOKUP(B554,EmpTable,2,FALSE),""))</f>
        <v/>
      </c>
      <c r="H554" s="14" t="str">
        <f>IF(OR(F554="",G554=""),"",F554*G554)</f>
        <v/>
      </c>
      <c r="I554" s="10" t="n"/>
    </row>
    <row r="555">
      <c r="A555" s="9" t="n"/>
      <c r="B555" s="10" t="n"/>
      <c r="C555" s="11" t="n"/>
      <c r="D555" s="11" t="n"/>
      <c r="E555" s="12" t="n"/>
      <c r="F555" s="13" t="str">
        <f>IF(OR(C555="",D555=""),"",ROUND(MOD(D555-C555,1)*24-N(E555)/60,2))</f>
        <v/>
      </c>
      <c r="G555" s="14" t="str">
        <f>IF(B555="","",IFERROR(VLOOKUP(B555,EmpTable,2,FALSE),""))</f>
        <v/>
      </c>
      <c r="H555" s="14" t="str">
        <f>IF(OR(F555="",G555=""),"",F555*G555)</f>
        <v/>
      </c>
      <c r="I555" s="10" t="n"/>
    </row>
    <row r="556">
      <c r="A556" s="9" t="n"/>
      <c r="B556" s="10" t="n"/>
      <c r="C556" s="11" t="n"/>
      <c r="D556" s="11" t="n"/>
      <c r="E556" s="12" t="n"/>
      <c r="F556" s="13" t="str">
        <f>IF(OR(C556="",D556=""),"",ROUND(MOD(D556-C556,1)*24-N(E556)/60,2))</f>
        <v/>
      </c>
      <c r="G556" s="14" t="str">
        <f>IF(B556="","",IFERROR(VLOOKUP(B556,EmpTable,2,FALSE),""))</f>
        <v/>
      </c>
      <c r="H556" s="14" t="str">
        <f>IF(OR(F556="",G556=""),"",F556*G556)</f>
        <v/>
      </c>
      <c r="I556" s="10" t="n"/>
    </row>
    <row r="557">
      <c r="A557" s="9" t="n"/>
      <c r="B557" s="10" t="n"/>
      <c r="C557" s="11" t="n"/>
      <c r="D557" s="11" t="n"/>
      <c r="E557" s="12" t="n"/>
      <c r="F557" s="13" t="str">
        <f>IF(OR(C557="",D557=""),"",ROUND(MOD(D557-C557,1)*24-N(E557)/60,2))</f>
        <v/>
      </c>
      <c r="G557" s="14" t="str">
        <f>IF(B557="","",IFERROR(VLOOKUP(B557,EmpTable,2,FALSE),""))</f>
        <v/>
      </c>
      <c r="H557" s="14" t="str">
        <f>IF(OR(F557="",G557=""),"",F557*G557)</f>
        <v/>
      </c>
      <c r="I557" s="10" t="n"/>
    </row>
    <row r="558">
      <c r="A558" s="9" t="n"/>
      <c r="B558" s="10" t="n"/>
      <c r="C558" s="11" t="n"/>
      <c r="D558" s="11" t="n"/>
      <c r="E558" s="12" t="n"/>
      <c r="F558" s="13" t="str">
        <f>IF(OR(C558="",D558=""),"",ROUND(MOD(D558-C558,1)*24-N(E558)/60,2))</f>
        <v/>
      </c>
      <c r="G558" s="14" t="str">
        <f>IF(B558="","",IFERROR(VLOOKUP(B558,EmpTable,2,FALSE),""))</f>
        <v/>
      </c>
      <c r="H558" s="14" t="str">
        <f>IF(OR(F558="",G558=""),"",F558*G558)</f>
        <v/>
      </c>
      <c r="I558" s="10" t="n"/>
    </row>
    <row r="559">
      <c r="A559" s="9" t="n"/>
      <c r="B559" s="10" t="n"/>
      <c r="C559" s="11" t="n"/>
      <c r="D559" s="11" t="n"/>
      <c r="E559" s="12" t="n"/>
      <c r="F559" s="13" t="str">
        <f>IF(OR(C559="",D559=""),"",ROUND(MOD(D559-C559,1)*24-N(E559)/60,2))</f>
        <v/>
      </c>
      <c r="G559" s="14" t="str">
        <f>IF(B559="","",IFERROR(VLOOKUP(B559,EmpTable,2,FALSE),""))</f>
        <v/>
      </c>
      <c r="H559" s="14" t="str">
        <f>IF(OR(F559="",G559=""),"",F559*G559)</f>
        <v/>
      </c>
      <c r="I559" s="10" t="n"/>
    </row>
    <row r="560">
      <c r="A560" s="9" t="n"/>
      <c r="B560" s="10" t="n"/>
      <c r="C560" s="11" t="n"/>
      <c r="D560" s="11" t="n"/>
      <c r="E560" s="12" t="n"/>
      <c r="F560" s="13" t="str">
        <f>IF(OR(C560="",D560=""),"",ROUND(MOD(D560-C560,1)*24-N(E560)/60,2))</f>
        <v/>
      </c>
      <c r="G560" s="14" t="str">
        <f>IF(B560="","",IFERROR(VLOOKUP(B560,EmpTable,2,FALSE),""))</f>
        <v/>
      </c>
      <c r="H560" s="14" t="str">
        <f>IF(OR(F560="",G560=""),"",F560*G560)</f>
        <v/>
      </c>
      <c r="I560" s="10" t="n"/>
    </row>
    <row r="561">
      <c r="A561" s="9" t="n"/>
      <c r="B561" s="10" t="n"/>
      <c r="C561" s="11" t="n"/>
      <c r="D561" s="11" t="n"/>
      <c r="E561" s="12" t="n"/>
      <c r="F561" s="13" t="str">
        <f>IF(OR(C561="",D561=""),"",ROUND(MOD(D561-C561,1)*24-N(E561)/60,2))</f>
        <v/>
      </c>
      <c r="G561" s="14" t="str">
        <f>IF(B561="","",IFERROR(VLOOKUP(B561,EmpTable,2,FALSE),""))</f>
        <v/>
      </c>
      <c r="H561" s="14" t="str">
        <f>IF(OR(F561="",G561=""),"",F561*G561)</f>
        <v/>
      </c>
      <c r="I561" s="10" t="n"/>
    </row>
    <row r="562">
      <c r="A562" s="9" t="n"/>
      <c r="B562" s="10" t="n"/>
      <c r="C562" s="11" t="n"/>
      <c r="D562" s="11" t="n"/>
      <c r="E562" s="12" t="n"/>
      <c r="F562" s="13" t="str">
        <f>IF(OR(C562="",D562=""),"",ROUND(MOD(D562-C562,1)*24-N(E562)/60,2))</f>
        <v/>
      </c>
      <c r="G562" s="14" t="str">
        <f>IF(B562="","",IFERROR(VLOOKUP(B562,EmpTable,2,FALSE),""))</f>
        <v/>
      </c>
      <c r="H562" s="14" t="str">
        <f>IF(OR(F562="",G562=""),"",F562*G562)</f>
        <v/>
      </c>
      <c r="I562" s="10" t="n"/>
    </row>
    <row r="563">
      <c r="A563" s="9" t="n"/>
      <c r="B563" s="10" t="n"/>
      <c r="C563" s="11" t="n"/>
      <c r="D563" s="11" t="n"/>
      <c r="E563" s="12" t="n"/>
      <c r="F563" s="13" t="str">
        <f>IF(OR(C563="",D563=""),"",ROUND(MOD(D563-C563,1)*24-N(E563)/60,2))</f>
        <v/>
      </c>
      <c r="G563" s="14" t="str">
        <f>IF(B563="","",IFERROR(VLOOKUP(B563,EmpTable,2,FALSE),""))</f>
        <v/>
      </c>
      <c r="H563" s="14" t="str">
        <f>IF(OR(F563="",G563=""),"",F563*G563)</f>
        <v/>
      </c>
      <c r="I563" s="10" t="n"/>
    </row>
    <row r="564">
      <c r="A564" s="9" t="n"/>
      <c r="B564" s="10" t="n"/>
      <c r="C564" s="11" t="n"/>
      <c r="D564" s="11" t="n"/>
      <c r="E564" s="12" t="n"/>
      <c r="F564" s="13" t="str">
        <f>IF(OR(C564="",D564=""),"",ROUND(MOD(D564-C564,1)*24-N(E564)/60,2))</f>
        <v/>
      </c>
      <c r="G564" s="14" t="str">
        <f>IF(B564="","",IFERROR(VLOOKUP(B564,EmpTable,2,FALSE),""))</f>
        <v/>
      </c>
      <c r="H564" s="14" t="str">
        <f>IF(OR(F564="",G564=""),"",F564*G564)</f>
        <v/>
      </c>
      <c r="I564" s="10" t="n"/>
    </row>
    <row r="565">
      <c r="A565" s="9" t="n"/>
      <c r="B565" s="10" t="n"/>
      <c r="C565" s="11" t="n"/>
      <c r="D565" s="11" t="n"/>
      <c r="E565" s="12" t="n"/>
      <c r="F565" s="13" t="str">
        <f>IF(OR(C565="",D565=""),"",ROUND(MOD(D565-C565,1)*24-N(E565)/60,2))</f>
        <v/>
      </c>
      <c r="G565" s="14" t="str">
        <f>IF(B565="","",IFERROR(VLOOKUP(B565,EmpTable,2,FALSE),""))</f>
        <v/>
      </c>
      <c r="H565" s="14" t="str">
        <f>IF(OR(F565="",G565=""),"",F565*G565)</f>
        <v/>
      </c>
      <c r="I565" s="10" t="n"/>
    </row>
    <row r="566">
      <c r="A566" s="9" t="n"/>
      <c r="B566" s="10" t="n"/>
      <c r="C566" s="11" t="n"/>
      <c r="D566" s="11" t="n"/>
      <c r="E566" s="12" t="n"/>
      <c r="F566" s="13" t="str">
        <f>IF(OR(C566="",D566=""),"",ROUND(MOD(D566-C566,1)*24-N(E566)/60,2))</f>
        <v/>
      </c>
      <c r="G566" s="14" t="str">
        <f>IF(B566="","",IFERROR(VLOOKUP(B566,EmpTable,2,FALSE),""))</f>
        <v/>
      </c>
      <c r="H566" s="14" t="str">
        <f>IF(OR(F566="",G566=""),"",F566*G566)</f>
        <v/>
      </c>
      <c r="I566" s="10" t="n"/>
    </row>
    <row r="567">
      <c r="A567" s="9" t="n"/>
      <c r="B567" s="10" t="n"/>
      <c r="C567" s="11" t="n"/>
      <c r="D567" s="11" t="n"/>
      <c r="E567" s="12" t="n"/>
      <c r="F567" s="13" t="str">
        <f>IF(OR(C567="",D567=""),"",ROUND(MOD(D567-C567,1)*24-N(E567)/60,2))</f>
        <v/>
      </c>
      <c r="G567" s="14" t="str">
        <f>IF(B567="","",IFERROR(VLOOKUP(B567,EmpTable,2,FALSE),""))</f>
        <v/>
      </c>
      <c r="H567" s="14" t="str">
        <f>IF(OR(F567="",G567=""),"",F567*G567)</f>
        <v/>
      </c>
      <c r="I567" s="10" t="n"/>
    </row>
    <row r="568">
      <c r="A568" s="9" t="n"/>
      <c r="B568" s="10" t="n"/>
      <c r="C568" s="11" t="n"/>
      <c r="D568" s="11" t="n"/>
      <c r="E568" s="12" t="n"/>
      <c r="F568" s="13" t="str">
        <f>IF(OR(C568="",D568=""),"",ROUND(MOD(D568-C568,1)*24-N(E568)/60,2))</f>
        <v/>
      </c>
      <c r="G568" s="14" t="str">
        <f>IF(B568="","",IFERROR(VLOOKUP(B568,EmpTable,2,FALSE),""))</f>
        <v/>
      </c>
      <c r="H568" s="14" t="str">
        <f>IF(OR(F568="",G568=""),"",F568*G568)</f>
        <v/>
      </c>
      <c r="I568" s="10" t="n"/>
    </row>
    <row r="569">
      <c r="A569" s="9" t="n"/>
      <c r="B569" s="10" t="n"/>
      <c r="C569" s="11" t="n"/>
      <c r="D569" s="11" t="n"/>
      <c r="E569" s="12" t="n"/>
      <c r="F569" s="13" t="str">
        <f>IF(OR(C569="",D569=""),"",ROUND(MOD(D569-C569,1)*24-N(E569)/60,2))</f>
        <v/>
      </c>
      <c r="G569" s="14" t="str">
        <f>IF(B569="","",IFERROR(VLOOKUP(B569,EmpTable,2,FALSE),""))</f>
        <v/>
      </c>
      <c r="H569" s="14" t="str">
        <f>IF(OR(F569="",G569=""),"",F569*G569)</f>
        <v/>
      </c>
      <c r="I569" s="10" t="n"/>
    </row>
    <row r="570">
      <c r="A570" s="9" t="n"/>
      <c r="B570" s="10" t="n"/>
      <c r="C570" s="11" t="n"/>
      <c r="D570" s="11" t="n"/>
      <c r="E570" s="12" t="n"/>
      <c r="F570" s="13" t="str">
        <f>IF(OR(C570="",D570=""),"",ROUND(MOD(D570-C570,1)*24-N(E570)/60,2))</f>
        <v/>
      </c>
      <c r="G570" s="14" t="str">
        <f>IF(B570="","",IFERROR(VLOOKUP(B570,EmpTable,2,FALSE),""))</f>
        <v/>
      </c>
      <c r="H570" s="14" t="str">
        <f>IF(OR(F570="",G570=""),"",F570*G570)</f>
        <v/>
      </c>
      <c r="I570" s="10" t="n"/>
    </row>
    <row r="571">
      <c r="A571" s="9" t="n"/>
      <c r="B571" s="10" t="n"/>
      <c r="C571" s="11" t="n"/>
      <c r="D571" s="11" t="n"/>
      <c r="E571" s="12" t="n"/>
      <c r="F571" s="13" t="str">
        <f>IF(OR(C571="",D571=""),"",ROUND(MOD(D571-C571,1)*24-N(E571)/60,2))</f>
        <v/>
      </c>
      <c r="G571" s="14" t="str">
        <f>IF(B571="","",IFERROR(VLOOKUP(B571,EmpTable,2,FALSE),""))</f>
        <v/>
      </c>
      <c r="H571" s="14" t="str">
        <f>IF(OR(F571="",G571=""),"",F571*G571)</f>
        <v/>
      </c>
      <c r="I571" s="10" t="n"/>
    </row>
    <row r="572">
      <c r="A572" s="9" t="n"/>
      <c r="B572" s="10" t="n"/>
      <c r="C572" s="11" t="n"/>
      <c r="D572" s="11" t="n"/>
      <c r="E572" s="12" t="n"/>
      <c r="F572" s="13" t="str">
        <f>IF(OR(C572="",D572=""),"",ROUND(MOD(D572-C572,1)*24-N(E572)/60,2))</f>
        <v/>
      </c>
      <c r="G572" s="14" t="str">
        <f>IF(B572="","",IFERROR(VLOOKUP(B572,EmpTable,2,FALSE),""))</f>
        <v/>
      </c>
      <c r="H572" s="14" t="str">
        <f>IF(OR(F572="",G572=""),"",F572*G572)</f>
        <v/>
      </c>
      <c r="I572" s="10" t="n"/>
    </row>
    <row r="573">
      <c r="A573" s="9" t="n"/>
      <c r="B573" s="10" t="n"/>
      <c r="C573" s="11" t="n"/>
      <c r="D573" s="11" t="n"/>
      <c r="E573" s="12" t="n"/>
      <c r="F573" s="13" t="str">
        <f>IF(OR(C573="",D573=""),"",ROUND(MOD(D573-C573,1)*24-N(E573)/60,2))</f>
        <v/>
      </c>
      <c r="G573" s="14" t="str">
        <f>IF(B573="","",IFERROR(VLOOKUP(B573,EmpTable,2,FALSE),""))</f>
        <v/>
      </c>
      <c r="H573" s="14" t="str">
        <f>IF(OR(F573="",G573=""),"",F573*G573)</f>
        <v/>
      </c>
      <c r="I573" s="10" t="n"/>
    </row>
    <row r="574">
      <c r="A574" s="9" t="n"/>
      <c r="B574" s="10" t="n"/>
      <c r="C574" s="11" t="n"/>
      <c r="D574" s="11" t="n"/>
      <c r="E574" s="12" t="n"/>
      <c r="F574" s="13" t="str">
        <f>IF(OR(C574="",D574=""),"",ROUND(MOD(D574-C574,1)*24-N(E574)/60,2))</f>
        <v/>
      </c>
      <c r="G574" s="14" t="str">
        <f>IF(B574="","",IFERROR(VLOOKUP(B574,EmpTable,2,FALSE),""))</f>
        <v/>
      </c>
      <c r="H574" s="14" t="str">
        <f>IF(OR(F574="",G574=""),"",F574*G574)</f>
        <v/>
      </c>
      <c r="I574" s="10" t="n"/>
    </row>
    <row r="575">
      <c r="A575" s="9" t="n"/>
      <c r="B575" s="10" t="n"/>
      <c r="C575" s="11" t="n"/>
      <c r="D575" s="11" t="n"/>
      <c r="E575" s="12" t="n"/>
      <c r="F575" s="13" t="str">
        <f>IF(OR(C575="",D575=""),"",ROUND(MOD(D575-C575,1)*24-N(E575)/60,2))</f>
        <v/>
      </c>
      <c r="G575" s="14" t="str">
        <f>IF(B575="","",IFERROR(VLOOKUP(B575,EmpTable,2,FALSE),""))</f>
        <v/>
      </c>
      <c r="H575" s="14" t="str">
        <f>IF(OR(F575="",G575=""),"",F575*G575)</f>
        <v/>
      </c>
      <c r="I575" s="10" t="n"/>
    </row>
    <row r="576">
      <c r="A576" s="9" t="n"/>
      <c r="B576" s="10" t="n"/>
      <c r="C576" s="11" t="n"/>
      <c r="D576" s="11" t="n"/>
      <c r="E576" s="12" t="n"/>
      <c r="F576" s="13" t="str">
        <f>IF(OR(C576="",D576=""),"",ROUND(MOD(D576-C576,1)*24-N(E576)/60,2))</f>
        <v/>
      </c>
      <c r="G576" s="14" t="str">
        <f>IF(B576="","",IFERROR(VLOOKUP(B576,EmpTable,2,FALSE),""))</f>
        <v/>
      </c>
      <c r="H576" s="14" t="str">
        <f>IF(OR(F576="",G576=""),"",F576*G576)</f>
        <v/>
      </c>
      <c r="I576" s="10" t="n"/>
    </row>
    <row r="577">
      <c r="A577" s="9" t="n"/>
      <c r="B577" s="10" t="n"/>
      <c r="C577" s="11" t="n"/>
      <c r="D577" s="11" t="n"/>
      <c r="E577" s="12" t="n"/>
      <c r="F577" s="13" t="str">
        <f>IF(OR(C577="",D577=""),"",ROUND(MOD(D577-C577,1)*24-N(E577)/60,2))</f>
        <v/>
      </c>
      <c r="G577" s="14" t="str">
        <f>IF(B577="","",IFERROR(VLOOKUP(B577,EmpTable,2,FALSE),""))</f>
        <v/>
      </c>
      <c r="H577" s="14" t="str">
        <f>IF(OR(F577="",G577=""),"",F577*G577)</f>
        <v/>
      </c>
      <c r="I577" s="10" t="n"/>
    </row>
    <row r="578">
      <c r="A578" s="9" t="n"/>
      <c r="B578" s="10" t="n"/>
      <c r="C578" s="11" t="n"/>
      <c r="D578" s="11" t="n"/>
      <c r="E578" s="12" t="n"/>
      <c r="F578" s="13" t="str">
        <f>IF(OR(C578="",D578=""),"",ROUND(MOD(D578-C578,1)*24-N(E578)/60,2))</f>
        <v/>
      </c>
      <c r="G578" s="14" t="str">
        <f>IF(B578="","",IFERROR(VLOOKUP(B578,EmpTable,2,FALSE),""))</f>
        <v/>
      </c>
      <c r="H578" s="14" t="str">
        <f>IF(OR(F578="",G578=""),"",F578*G578)</f>
        <v/>
      </c>
      <c r="I578" s="10" t="n"/>
    </row>
    <row r="579">
      <c r="A579" s="9" t="n"/>
      <c r="B579" s="10" t="n"/>
      <c r="C579" s="11" t="n"/>
      <c r="D579" s="11" t="n"/>
      <c r="E579" s="12" t="n"/>
      <c r="F579" s="13" t="str">
        <f>IF(OR(C579="",D579=""),"",ROUND(MOD(D579-C579,1)*24-N(E579)/60,2))</f>
        <v/>
      </c>
      <c r="G579" s="14" t="str">
        <f>IF(B579="","",IFERROR(VLOOKUP(B579,EmpTable,2,FALSE),""))</f>
        <v/>
      </c>
      <c r="H579" s="14" t="str">
        <f>IF(OR(F579="",G579=""),"",F579*G579)</f>
        <v/>
      </c>
      <c r="I579" s="10" t="n"/>
    </row>
    <row r="580">
      <c r="A580" s="9" t="n"/>
      <c r="B580" s="10" t="n"/>
      <c r="C580" s="11" t="n"/>
      <c r="D580" s="11" t="n"/>
      <c r="E580" s="12" t="n"/>
      <c r="F580" s="13" t="str">
        <f>IF(OR(C580="",D580=""),"",ROUND(MOD(D580-C580,1)*24-N(E580)/60,2))</f>
        <v/>
      </c>
      <c r="G580" s="14" t="str">
        <f>IF(B580="","",IFERROR(VLOOKUP(B580,EmpTable,2,FALSE),""))</f>
        <v/>
      </c>
      <c r="H580" s="14" t="str">
        <f>IF(OR(F580="",G580=""),"",F580*G580)</f>
        <v/>
      </c>
      <c r="I580" s="10" t="n"/>
    </row>
    <row r="581">
      <c r="A581" s="9" t="n"/>
      <c r="B581" s="10" t="n"/>
      <c r="C581" s="11" t="n"/>
      <c r="D581" s="11" t="n"/>
      <c r="E581" s="12" t="n"/>
      <c r="F581" s="13" t="str">
        <f>IF(OR(C581="",D581=""),"",ROUND(MOD(D581-C581,1)*24-N(E581)/60,2))</f>
        <v/>
      </c>
      <c r="G581" s="14" t="str">
        <f>IF(B581="","",IFERROR(VLOOKUP(B581,EmpTable,2,FALSE),""))</f>
        <v/>
      </c>
      <c r="H581" s="14" t="str">
        <f>IF(OR(F581="",G581=""),"",F581*G581)</f>
        <v/>
      </c>
      <c r="I581" s="10" t="n"/>
    </row>
    <row r="582">
      <c r="A582" s="9" t="n"/>
      <c r="B582" s="10" t="n"/>
      <c r="C582" s="11" t="n"/>
      <c r="D582" s="11" t="n"/>
      <c r="E582" s="12" t="n"/>
      <c r="F582" s="13" t="str">
        <f>IF(OR(C582="",D582=""),"",ROUND(MOD(D582-C582,1)*24-N(E582)/60,2))</f>
        <v/>
      </c>
      <c r="G582" s="14" t="str">
        <f>IF(B582="","",IFERROR(VLOOKUP(B582,EmpTable,2,FALSE),""))</f>
        <v/>
      </c>
      <c r="H582" s="14" t="str">
        <f>IF(OR(F582="",G582=""),"",F582*G582)</f>
        <v/>
      </c>
      <c r="I582" s="10" t="n"/>
    </row>
    <row r="583">
      <c r="A583" s="9" t="n"/>
      <c r="B583" s="10" t="n"/>
      <c r="C583" s="11" t="n"/>
      <c r="D583" s="11" t="n"/>
      <c r="E583" s="12" t="n"/>
      <c r="F583" s="13" t="str">
        <f>IF(OR(C583="",D583=""),"",ROUND(MOD(D583-C583,1)*24-N(E583)/60,2))</f>
        <v/>
      </c>
      <c r="G583" s="14" t="str">
        <f>IF(B583="","",IFERROR(VLOOKUP(B583,EmpTable,2,FALSE),""))</f>
        <v/>
      </c>
      <c r="H583" s="14" t="str">
        <f>IF(OR(F583="",G583=""),"",F583*G583)</f>
        <v/>
      </c>
      <c r="I583" s="10" t="n"/>
    </row>
    <row r="584">
      <c r="A584" s="9" t="n"/>
      <c r="B584" s="10" t="n"/>
      <c r="C584" s="11" t="n"/>
      <c r="D584" s="11" t="n"/>
      <c r="E584" s="12" t="n"/>
      <c r="F584" s="13" t="str">
        <f>IF(OR(C584="",D584=""),"",ROUND(MOD(D584-C584,1)*24-N(E584)/60,2))</f>
        <v/>
      </c>
      <c r="G584" s="14" t="str">
        <f>IF(B584="","",IFERROR(VLOOKUP(B584,EmpTable,2,FALSE),""))</f>
        <v/>
      </c>
      <c r="H584" s="14" t="str">
        <f>IF(OR(F584="",G584=""),"",F584*G584)</f>
        <v/>
      </c>
      <c r="I584" s="10" t="n"/>
    </row>
    <row r="585">
      <c r="A585" s="9" t="n"/>
      <c r="B585" s="10" t="n"/>
      <c r="C585" s="11" t="n"/>
      <c r="D585" s="11" t="n"/>
      <c r="E585" s="12" t="n"/>
      <c r="F585" s="13" t="str">
        <f>IF(OR(C585="",D585=""),"",ROUND(MOD(D585-C585,1)*24-N(E585)/60,2))</f>
        <v/>
      </c>
      <c r="G585" s="14" t="str">
        <f>IF(B585="","",IFERROR(VLOOKUP(B585,EmpTable,2,FALSE),""))</f>
        <v/>
      </c>
      <c r="H585" s="14" t="str">
        <f>IF(OR(F585="",G585=""),"",F585*G585)</f>
        <v/>
      </c>
      <c r="I585" s="10" t="n"/>
    </row>
    <row r="586">
      <c r="A586" s="9" t="n"/>
      <c r="B586" s="10" t="n"/>
      <c r="C586" s="11" t="n"/>
      <c r="D586" s="11" t="n"/>
      <c r="E586" s="12" t="n"/>
      <c r="F586" s="13" t="str">
        <f>IF(OR(C586="",D586=""),"",ROUND(MOD(D586-C586,1)*24-N(E586)/60,2))</f>
        <v/>
      </c>
      <c r="G586" s="14" t="str">
        <f>IF(B586="","",IFERROR(VLOOKUP(B586,EmpTable,2,FALSE),""))</f>
        <v/>
      </c>
      <c r="H586" s="14" t="str">
        <f>IF(OR(F586="",G586=""),"",F586*G586)</f>
        <v/>
      </c>
      <c r="I586" s="10" t="n"/>
    </row>
    <row r="587">
      <c r="A587" s="9" t="n"/>
      <c r="B587" s="10" t="n"/>
      <c r="C587" s="11" t="n"/>
      <c r="D587" s="11" t="n"/>
      <c r="E587" s="12" t="n"/>
      <c r="F587" s="13" t="str">
        <f>IF(OR(C587="",D587=""),"",ROUND(MOD(D587-C587,1)*24-N(E587)/60,2))</f>
        <v/>
      </c>
      <c r="G587" s="14" t="str">
        <f>IF(B587="","",IFERROR(VLOOKUP(B587,EmpTable,2,FALSE),""))</f>
        <v/>
      </c>
      <c r="H587" s="14" t="str">
        <f>IF(OR(F587="",G587=""),"",F587*G587)</f>
        <v/>
      </c>
      <c r="I587" s="10" t="n"/>
    </row>
    <row r="588">
      <c r="A588" s="9" t="n"/>
      <c r="B588" s="10" t="n"/>
      <c r="C588" s="11" t="n"/>
      <c r="D588" s="11" t="n"/>
      <c r="E588" s="12" t="n"/>
      <c r="F588" s="13" t="str">
        <f>IF(OR(C588="",D588=""),"",ROUND(MOD(D588-C588,1)*24-N(E588)/60,2))</f>
        <v/>
      </c>
      <c r="G588" s="14" t="str">
        <f>IF(B588="","",IFERROR(VLOOKUP(B588,EmpTable,2,FALSE),""))</f>
        <v/>
      </c>
      <c r="H588" s="14" t="str">
        <f>IF(OR(F588="",G588=""),"",F588*G588)</f>
        <v/>
      </c>
      <c r="I588" s="10" t="n"/>
    </row>
    <row r="589">
      <c r="A589" s="9" t="n"/>
      <c r="B589" s="10" t="n"/>
      <c r="C589" s="11" t="n"/>
      <c r="D589" s="11" t="n"/>
      <c r="E589" s="12" t="n"/>
      <c r="F589" s="13" t="str">
        <f>IF(OR(C589="",D589=""),"",ROUND(MOD(D589-C589,1)*24-N(E589)/60,2))</f>
        <v/>
      </c>
      <c r="G589" s="14" t="str">
        <f>IF(B589="","",IFERROR(VLOOKUP(B589,EmpTable,2,FALSE),""))</f>
        <v/>
      </c>
      <c r="H589" s="14" t="str">
        <f>IF(OR(F589="",G589=""),"",F589*G589)</f>
        <v/>
      </c>
      <c r="I589" s="10" t="n"/>
    </row>
    <row r="590">
      <c r="A590" s="9" t="n"/>
      <c r="B590" s="10" t="n"/>
      <c r="C590" s="11" t="n"/>
      <c r="D590" s="11" t="n"/>
      <c r="E590" s="12" t="n"/>
      <c r="F590" s="13" t="str">
        <f>IF(OR(C590="",D590=""),"",ROUND(MOD(D590-C590,1)*24-N(E590)/60,2))</f>
        <v/>
      </c>
      <c r="G590" s="14" t="str">
        <f>IF(B590="","",IFERROR(VLOOKUP(B590,EmpTable,2,FALSE),""))</f>
        <v/>
      </c>
      <c r="H590" s="14" t="str">
        <f>IF(OR(F590="",G590=""),"",F590*G590)</f>
        <v/>
      </c>
      <c r="I590" s="10" t="n"/>
    </row>
    <row r="591">
      <c r="A591" s="9" t="n"/>
      <c r="B591" s="10" t="n"/>
      <c r="C591" s="11" t="n"/>
      <c r="D591" s="11" t="n"/>
      <c r="E591" s="12" t="n"/>
      <c r="F591" s="13" t="str">
        <f>IF(OR(C591="",D591=""),"",ROUND(MOD(D591-C591,1)*24-N(E591)/60,2))</f>
        <v/>
      </c>
      <c r="G591" s="14" t="str">
        <f>IF(B591="","",IFERROR(VLOOKUP(B591,EmpTable,2,FALSE),""))</f>
        <v/>
      </c>
      <c r="H591" s="14" t="str">
        <f>IF(OR(F591="",G591=""),"",F591*G591)</f>
        <v/>
      </c>
      <c r="I591" s="10" t="n"/>
    </row>
    <row r="592">
      <c r="A592" s="9" t="n"/>
      <c r="B592" s="10" t="n"/>
      <c r="C592" s="11" t="n"/>
      <c r="D592" s="11" t="n"/>
      <c r="E592" s="12" t="n"/>
      <c r="F592" s="13" t="str">
        <f>IF(OR(C592="",D592=""),"",ROUND(MOD(D592-C592,1)*24-N(E592)/60,2))</f>
        <v/>
      </c>
      <c r="G592" s="14" t="str">
        <f>IF(B592="","",IFERROR(VLOOKUP(B592,EmpTable,2,FALSE),""))</f>
        <v/>
      </c>
      <c r="H592" s="14" t="str">
        <f>IF(OR(F592="",G592=""),"",F592*G592)</f>
        <v/>
      </c>
      <c r="I592" s="10" t="n"/>
    </row>
    <row r="593">
      <c r="A593" s="9" t="n"/>
      <c r="B593" s="10" t="n"/>
      <c r="C593" s="11" t="n"/>
      <c r="D593" s="11" t="n"/>
      <c r="E593" s="12" t="n"/>
      <c r="F593" s="13" t="str">
        <f>IF(OR(C593="",D593=""),"",ROUND(MOD(D593-C593,1)*24-N(E593)/60,2))</f>
        <v/>
      </c>
      <c r="G593" s="14" t="str">
        <f>IF(B593="","",IFERROR(VLOOKUP(B593,EmpTable,2,FALSE),""))</f>
        <v/>
      </c>
      <c r="H593" s="14" t="str">
        <f>IF(OR(F593="",G593=""),"",F593*G593)</f>
        <v/>
      </c>
      <c r="I593" s="10" t="n"/>
    </row>
    <row r="594">
      <c r="A594" s="9" t="n"/>
      <c r="B594" s="10" t="n"/>
      <c r="C594" s="11" t="n"/>
      <c r="D594" s="11" t="n"/>
      <c r="E594" s="12" t="n"/>
      <c r="F594" s="13" t="str">
        <f>IF(OR(C594="",D594=""),"",ROUND(MOD(D594-C594,1)*24-N(E594)/60,2))</f>
        <v/>
      </c>
      <c r="G594" s="14" t="str">
        <f>IF(B594="","",IFERROR(VLOOKUP(B594,EmpTable,2,FALSE),""))</f>
        <v/>
      </c>
      <c r="H594" s="14" t="str">
        <f>IF(OR(F594="",G594=""),"",F594*G594)</f>
        <v/>
      </c>
      <c r="I594" s="10" t="n"/>
    </row>
    <row r="595">
      <c r="A595" s="9" t="n"/>
      <c r="B595" s="10" t="n"/>
      <c r="C595" s="11" t="n"/>
      <c r="D595" s="11" t="n"/>
      <c r="E595" s="12" t="n"/>
      <c r="F595" s="13" t="str">
        <f>IF(OR(C595="",D595=""),"",ROUND(MOD(D595-C595,1)*24-N(E595)/60,2))</f>
        <v/>
      </c>
      <c r="G595" s="14" t="str">
        <f>IF(B595="","",IFERROR(VLOOKUP(B595,EmpTable,2,FALSE),""))</f>
        <v/>
      </c>
      <c r="H595" s="14" t="str">
        <f>IF(OR(F595="",G595=""),"",F595*G595)</f>
        <v/>
      </c>
      <c r="I595" s="10" t="n"/>
    </row>
    <row r="596">
      <c r="A596" s="9" t="n"/>
      <c r="B596" s="10" t="n"/>
      <c r="C596" s="11" t="n"/>
      <c r="D596" s="11" t="n"/>
      <c r="E596" s="12" t="n"/>
      <c r="F596" s="13" t="str">
        <f>IF(OR(C596="",D596=""),"",ROUND(MOD(D596-C596,1)*24-N(E596)/60,2))</f>
        <v/>
      </c>
      <c r="G596" s="14" t="str">
        <f>IF(B596="","",IFERROR(VLOOKUP(B596,EmpTable,2,FALSE),""))</f>
        <v/>
      </c>
      <c r="H596" s="14" t="str">
        <f>IF(OR(F596="",G596=""),"",F596*G596)</f>
        <v/>
      </c>
      <c r="I596" s="10" t="n"/>
    </row>
    <row r="597">
      <c r="A597" s="9" t="n"/>
      <c r="B597" s="10" t="n"/>
      <c r="C597" s="11" t="n"/>
      <c r="D597" s="11" t="n"/>
      <c r="E597" s="12" t="n"/>
      <c r="F597" s="13" t="str">
        <f>IF(OR(C597="",D597=""),"",ROUND(MOD(D597-C597,1)*24-N(E597)/60,2))</f>
        <v/>
      </c>
      <c r="G597" s="14" t="str">
        <f>IF(B597="","",IFERROR(VLOOKUP(B597,EmpTable,2,FALSE),""))</f>
        <v/>
      </c>
      <c r="H597" s="14" t="str">
        <f>IF(OR(F597="",G597=""),"",F597*G597)</f>
        <v/>
      </c>
      <c r="I597" s="10" t="n"/>
    </row>
    <row r="598">
      <c r="A598" s="9" t="n"/>
      <c r="B598" s="10" t="n"/>
      <c r="C598" s="11" t="n"/>
      <c r="D598" s="11" t="n"/>
      <c r="E598" s="12" t="n"/>
      <c r="F598" s="13" t="str">
        <f>IF(OR(C598="",D598=""),"",ROUND(MOD(D598-C598,1)*24-N(E598)/60,2))</f>
        <v/>
      </c>
      <c r="G598" s="14" t="str">
        <f>IF(B598="","",IFERROR(VLOOKUP(B598,EmpTable,2,FALSE),""))</f>
        <v/>
      </c>
      <c r="H598" s="14" t="str">
        <f>IF(OR(F598="",G598=""),"",F598*G598)</f>
        <v/>
      </c>
      <c r="I598" s="10" t="n"/>
    </row>
    <row r="599">
      <c r="A599" s="9" t="n"/>
      <c r="B599" s="10" t="n"/>
      <c r="C599" s="11" t="n"/>
      <c r="D599" s="11" t="n"/>
      <c r="E599" s="12" t="n"/>
      <c r="F599" s="13" t="str">
        <f>IF(OR(C599="",D599=""),"",ROUND(MOD(D599-C599,1)*24-N(E599)/60,2))</f>
        <v/>
      </c>
      <c r="G599" s="14" t="str">
        <f>IF(B599="","",IFERROR(VLOOKUP(B599,EmpTable,2,FALSE),""))</f>
        <v/>
      </c>
      <c r="H599" s="14" t="str">
        <f>IF(OR(F599="",G599=""),"",F599*G599)</f>
        <v/>
      </c>
      <c r="I599" s="10" t="n"/>
    </row>
    <row r="600">
      <c r="A600" s="9" t="n"/>
      <c r="B600" s="10" t="n"/>
      <c r="C600" s="11" t="n"/>
      <c r="D600" s="11" t="n"/>
      <c r="E600" s="12" t="n"/>
      <c r="F600" s="13" t="str">
        <f>IF(OR(C600="",D600=""),"",ROUND(MOD(D600-C600,1)*24-N(E600)/60,2))</f>
        <v/>
      </c>
      <c r="G600" s="14" t="str">
        <f>IF(B600="","",IFERROR(VLOOKUP(B600,EmpTable,2,FALSE),""))</f>
        <v/>
      </c>
      <c r="H600" s="14" t="str">
        <f>IF(OR(F600="",G600=""),"",F600*G600)</f>
        <v/>
      </c>
      <c r="I600" s="10" t="n"/>
    </row>
    <row r="601">
      <c r="A601" s="9" t="n"/>
      <c r="B601" s="10" t="n"/>
      <c r="C601" s="11" t="n"/>
      <c r="D601" s="11" t="n"/>
      <c r="E601" s="12" t="n"/>
      <c r="F601" s="13" t="str">
        <f>IF(OR(C601="",D601=""),"",ROUND(MOD(D601-C601,1)*24-N(E601)/60,2))</f>
        <v/>
      </c>
      <c r="G601" s="14" t="str">
        <f>IF(B601="","",IFERROR(VLOOKUP(B601,EmpTable,2,FALSE),""))</f>
        <v/>
      </c>
      <c r="H601" s="14" t="str">
        <f>IF(OR(F601="",G601=""),"",F601*G601)</f>
        <v/>
      </c>
      <c r="I601" s="10" t="n"/>
    </row>
    <row r="602">
      <c r="A602" s="9" t="n"/>
      <c r="B602" s="10" t="n"/>
      <c r="C602" s="11" t="n"/>
      <c r="D602" s="11" t="n"/>
      <c r="E602" s="12" t="n"/>
      <c r="F602" s="13" t="str">
        <f>IF(OR(C602="",D602=""),"",ROUND(MOD(D602-C602,1)*24-N(E602)/60,2))</f>
        <v/>
      </c>
      <c r="G602" s="14" t="str">
        <f>IF(B602="","",IFERROR(VLOOKUP(B602,EmpTable,2,FALSE),""))</f>
        <v/>
      </c>
      <c r="H602" s="14" t="str">
        <f>IF(OR(F602="",G602=""),"",F602*G602)</f>
        <v/>
      </c>
      <c r="I602" s="10" t="n"/>
    </row>
    <row r="603">
      <c r="A603" s="9" t="n"/>
      <c r="B603" s="10" t="n"/>
      <c r="C603" s="11" t="n"/>
      <c r="D603" s="11" t="n"/>
      <c r="E603" s="12" t="n"/>
      <c r="F603" s="13" t="str">
        <f>IF(OR(C603="",D603=""),"",ROUND(MOD(D603-C603,1)*24-N(E603)/60,2))</f>
        <v/>
      </c>
      <c r="G603" s="14" t="str">
        <f>IF(B603="","",IFERROR(VLOOKUP(B603,EmpTable,2,FALSE),""))</f>
        <v/>
      </c>
      <c r="H603" s="14" t="str">
        <f>IF(OR(F603="",G603=""),"",F603*G603)</f>
        <v/>
      </c>
      <c r="I603" s="10" t="n"/>
    </row>
    <row r="604">
      <c r="A604" s="9" t="n"/>
      <c r="B604" s="10" t="n"/>
      <c r="C604" s="11" t="n"/>
      <c r="D604" s="11" t="n"/>
      <c r="E604" s="12" t="n"/>
      <c r="F604" s="13" t="str">
        <f>IF(OR(C604="",D604=""),"",ROUND(MOD(D604-C604,1)*24-N(E604)/60,2))</f>
        <v/>
      </c>
      <c r="G604" s="14" t="str">
        <f>IF(B604="","",IFERROR(VLOOKUP(B604,EmpTable,2,FALSE),""))</f>
        <v/>
      </c>
      <c r="H604" s="14" t="str">
        <f>IF(OR(F604="",G604=""),"",F604*G604)</f>
        <v/>
      </c>
      <c r="I604" s="10" t="n"/>
    </row>
    <row r="605">
      <c r="A605" s="9" t="n"/>
      <c r="B605" s="10" t="n"/>
      <c r="C605" s="11" t="n"/>
      <c r="D605" s="11" t="n"/>
      <c r="E605" s="12" t="n"/>
      <c r="F605" s="13" t="str">
        <f>IF(OR(C605="",D605=""),"",ROUND(MOD(D605-C605,1)*24-N(E605)/60,2))</f>
        <v/>
      </c>
      <c r="G605" s="14" t="str">
        <f>IF(B605="","",IFERROR(VLOOKUP(B605,EmpTable,2,FALSE),""))</f>
        <v/>
      </c>
      <c r="H605" s="14" t="str">
        <f>IF(OR(F605="",G605=""),"",F605*G605)</f>
        <v/>
      </c>
      <c r="I605" s="10" t="n"/>
    </row>
    <row r="606">
      <c r="A606" s="9" t="n"/>
      <c r="B606" s="10" t="n"/>
      <c r="C606" s="11" t="n"/>
      <c r="D606" s="11" t="n"/>
      <c r="E606" s="12" t="n"/>
      <c r="F606" s="13" t="str">
        <f>IF(OR(C606="",D606=""),"",ROUND(MOD(D606-C606,1)*24-N(E606)/60,2))</f>
        <v/>
      </c>
      <c r="G606" s="14" t="str">
        <f>IF(B606="","",IFERROR(VLOOKUP(B606,EmpTable,2,FALSE),""))</f>
        <v/>
      </c>
      <c r="H606" s="14" t="str">
        <f>IF(OR(F606="",G606=""),"",F606*G606)</f>
        <v/>
      </c>
      <c r="I606" s="10" t="n"/>
    </row>
    <row r="607">
      <c r="A607" s="9" t="n"/>
      <c r="B607" s="10" t="n"/>
      <c r="C607" s="11" t="n"/>
      <c r="D607" s="11" t="n"/>
      <c r="E607" s="12" t="n"/>
      <c r="F607" s="13" t="str">
        <f>IF(OR(C607="",D607=""),"",ROUND(MOD(D607-C607,1)*24-N(E607)/60,2))</f>
        <v/>
      </c>
      <c r="G607" s="14" t="str">
        <f>IF(B607="","",IFERROR(VLOOKUP(B607,EmpTable,2,FALSE),""))</f>
        <v/>
      </c>
      <c r="H607" s="14" t="str">
        <f>IF(OR(F607="",G607=""),"",F607*G607)</f>
        <v/>
      </c>
      <c r="I607" s="10" t="n"/>
    </row>
    <row r="608">
      <c r="A608" s="9" t="n"/>
      <c r="B608" s="10" t="n"/>
      <c r="C608" s="11" t="n"/>
      <c r="D608" s="11" t="n"/>
      <c r="E608" s="12" t="n"/>
      <c r="F608" s="13" t="str">
        <f>IF(OR(C608="",D608=""),"",ROUND(MOD(D608-C608,1)*24-N(E608)/60,2))</f>
        <v/>
      </c>
      <c r="G608" s="14" t="str">
        <f>IF(B608="","",IFERROR(VLOOKUP(B608,EmpTable,2,FALSE),""))</f>
        <v/>
      </c>
      <c r="H608" s="14" t="str">
        <f>IF(OR(F608="",G608=""),"",F608*G608)</f>
        <v/>
      </c>
      <c r="I608" s="10" t="n"/>
    </row>
    <row r="609">
      <c r="A609" s="9" t="n"/>
      <c r="B609" s="10" t="n"/>
      <c r="C609" s="11" t="n"/>
      <c r="D609" s="11" t="n"/>
      <c r="E609" s="12" t="n"/>
      <c r="F609" s="13" t="str">
        <f>IF(OR(C609="",D609=""),"",ROUND(MOD(D609-C609,1)*24-N(E609)/60,2))</f>
        <v/>
      </c>
      <c r="G609" s="14" t="str">
        <f>IF(B609="","",IFERROR(VLOOKUP(B609,EmpTable,2,FALSE),""))</f>
        <v/>
      </c>
      <c r="H609" s="14" t="str">
        <f>IF(OR(F609="",G609=""),"",F609*G609)</f>
        <v/>
      </c>
      <c r="I609" s="10" t="n"/>
    </row>
    <row r="610">
      <c r="A610" s="9" t="n"/>
      <c r="B610" s="10" t="n"/>
      <c r="C610" s="11" t="n"/>
      <c r="D610" s="11" t="n"/>
      <c r="E610" s="12" t="n"/>
      <c r="F610" s="13" t="str">
        <f>IF(OR(C610="",D610=""),"",ROUND(MOD(D610-C610,1)*24-N(E610)/60,2))</f>
        <v/>
      </c>
      <c r="G610" s="14" t="str">
        <f>IF(B610="","",IFERROR(VLOOKUP(B610,EmpTable,2,FALSE),""))</f>
        <v/>
      </c>
      <c r="H610" s="14" t="str">
        <f>IF(OR(F610="",G610=""),"",F610*G610)</f>
        <v/>
      </c>
      <c r="I610" s="10" t="n"/>
    </row>
    <row r="611">
      <c r="A611" s="9" t="n"/>
      <c r="B611" s="10" t="n"/>
      <c r="C611" s="11" t="n"/>
      <c r="D611" s="11" t="n"/>
      <c r="E611" s="12" t="n"/>
      <c r="F611" s="13" t="str">
        <f>IF(OR(C611="",D611=""),"",ROUND(MOD(D611-C611,1)*24-N(E611)/60,2))</f>
        <v/>
      </c>
      <c r="G611" s="14" t="str">
        <f>IF(B611="","",IFERROR(VLOOKUP(B611,EmpTable,2,FALSE),""))</f>
        <v/>
      </c>
      <c r="H611" s="14" t="str">
        <f>IF(OR(F611="",G611=""),"",F611*G611)</f>
        <v/>
      </c>
      <c r="I611" s="10" t="n"/>
    </row>
    <row r="612">
      <c r="A612" s="9" t="n"/>
      <c r="B612" s="10" t="n"/>
      <c r="C612" s="11" t="n"/>
      <c r="D612" s="11" t="n"/>
      <c r="E612" s="12" t="n"/>
      <c r="F612" s="13" t="str">
        <f>IF(OR(C612="",D612=""),"",ROUND(MOD(D612-C612,1)*24-N(E612)/60,2))</f>
        <v/>
      </c>
      <c r="G612" s="14" t="str">
        <f>IF(B612="","",IFERROR(VLOOKUP(B612,EmpTable,2,FALSE),""))</f>
        <v/>
      </c>
      <c r="H612" s="14" t="str">
        <f>IF(OR(F612="",G612=""),"",F612*G612)</f>
        <v/>
      </c>
      <c r="I612" s="10" t="n"/>
    </row>
    <row r="613">
      <c r="A613" s="9" t="n"/>
      <c r="B613" s="10" t="n"/>
      <c r="C613" s="11" t="n"/>
      <c r="D613" s="11" t="n"/>
      <c r="E613" s="12" t="n"/>
      <c r="F613" s="13" t="str">
        <f>IF(OR(C613="",D613=""),"",ROUND(MOD(D613-C613,1)*24-N(E613)/60,2))</f>
        <v/>
      </c>
      <c r="G613" s="14" t="str">
        <f>IF(B613="","",IFERROR(VLOOKUP(B613,EmpTable,2,FALSE),""))</f>
        <v/>
      </c>
      <c r="H613" s="14" t="str">
        <f>IF(OR(F613="",G613=""),"",F613*G613)</f>
        <v/>
      </c>
      <c r="I613" s="10" t="n"/>
    </row>
    <row r="614">
      <c r="A614" s="9" t="n"/>
      <c r="B614" s="10" t="n"/>
      <c r="C614" s="11" t="n"/>
      <c r="D614" s="11" t="n"/>
      <c r="E614" s="12" t="n"/>
      <c r="F614" s="13" t="str">
        <f>IF(OR(C614="",D614=""),"",ROUND(MOD(D614-C614,1)*24-N(E614)/60,2))</f>
        <v/>
      </c>
      <c r="G614" s="14" t="str">
        <f>IF(B614="","",IFERROR(VLOOKUP(B614,EmpTable,2,FALSE),""))</f>
        <v/>
      </c>
      <c r="H614" s="14" t="str">
        <f>IF(OR(F614="",G614=""),"",F614*G614)</f>
        <v/>
      </c>
      <c r="I614" s="10" t="n"/>
    </row>
    <row r="615">
      <c r="A615" s="9" t="n"/>
      <c r="B615" s="10" t="n"/>
      <c r="C615" s="11" t="n"/>
      <c r="D615" s="11" t="n"/>
      <c r="E615" s="12" t="n"/>
      <c r="F615" s="13" t="str">
        <f>IF(OR(C615="",D615=""),"",ROUND(MOD(D615-C615,1)*24-N(E615)/60,2))</f>
        <v/>
      </c>
      <c r="G615" s="14" t="str">
        <f>IF(B615="","",IFERROR(VLOOKUP(B615,EmpTable,2,FALSE),""))</f>
        <v/>
      </c>
      <c r="H615" s="14" t="str">
        <f>IF(OR(F615="",G615=""),"",F615*G615)</f>
        <v/>
      </c>
      <c r="I615" s="10" t="n"/>
    </row>
    <row r="616">
      <c r="A616" s="9" t="n"/>
      <c r="B616" s="10" t="n"/>
      <c r="C616" s="11" t="n"/>
      <c r="D616" s="11" t="n"/>
      <c r="E616" s="12" t="n"/>
      <c r="F616" s="13" t="str">
        <f>IF(OR(C616="",D616=""),"",ROUND(MOD(D616-C616,1)*24-N(E616)/60,2))</f>
        <v/>
      </c>
      <c r="G616" s="14" t="str">
        <f>IF(B616="","",IFERROR(VLOOKUP(B616,EmpTable,2,FALSE),""))</f>
        <v/>
      </c>
      <c r="H616" s="14" t="str">
        <f>IF(OR(F616="",G616=""),"",F616*G616)</f>
        <v/>
      </c>
      <c r="I616" s="10" t="n"/>
    </row>
    <row r="617">
      <c r="A617" s="9" t="n"/>
      <c r="B617" s="10" t="n"/>
      <c r="C617" s="11" t="n"/>
      <c r="D617" s="11" t="n"/>
      <c r="E617" s="12" t="n"/>
      <c r="F617" s="13" t="str">
        <f>IF(OR(C617="",D617=""),"",ROUND(MOD(D617-C617,1)*24-N(E617)/60,2))</f>
        <v/>
      </c>
      <c r="G617" s="14" t="str">
        <f>IF(B617="","",IFERROR(VLOOKUP(B617,EmpTable,2,FALSE),""))</f>
        <v/>
      </c>
      <c r="H617" s="14" t="str">
        <f>IF(OR(F617="",G617=""),"",F617*G617)</f>
        <v/>
      </c>
      <c r="I617" s="10" t="n"/>
    </row>
    <row r="618">
      <c r="A618" s="9" t="n"/>
      <c r="B618" s="10" t="n"/>
      <c r="C618" s="11" t="n"/>
      <c r="D618" s="11" t="n"/>
      <c r="E618" s="12" t="n"/>
      <c r="F618" s="13" t="str">
        <f>IF(OR(C618="",D618=""),"",ROUND(MOD(D618-C618,1)*24-N(E618)/60,2))</f>
        <v/>
      </c>
      <c r="G618" s="14" t="str">
        <f>IF(B618="","",IFERROR(VLOOKUP(B618,EmpTable,2,FALSE),""))</f>
        <v/>
      </c>
      <c r="H618" s="14" t="str">
        <f>IF(OR(F618="",G618=""),"",F618*G618)</f>
        <v/>
      </c>
      <c r="I618" s="10" t="n"/>
    </row>
    <row r="619">
      <c r="A619" s="9" t="n"/>
      <c r="B619" s="10" t="n"/>
      <c r="C619" s="11" t="n"/>
      <c r="D619" s="11" t="n"/>
      <c r="E619" s="12" t="n"/>
      <c r="F619" s="13" t="str">
        <f>IF(OR(C619="",D619=""),"",ROUND(MOD(D619-C619,1)*24-N(E619)/60,2))</f>
        <v/>
      </c>
      <c r="G619" s="14" t="str">
        <f>IF(B619="","",IFERROR(VLOOKUP(B619,EmpTable,2,FALSE),""))</f>
        <v/>
      </c>
      <c r="H619" s="14" t="str">
        <f>IF(OR(F619="",G619=""),"",F619*G619)</f>
        <v/>
      </c>
      <c r="I619" s="10" t="n"/>
    </row>
    <row r="620">
      <c r="A620" s="9" t="n"/>
      <c r="B620" s="10" t="n"/>
      <c r="C620" s="11" t="n"/>
      <c r="D620" s="11" t="n"/>
      <c r="E620" s="12" t="n"/>
      <c r="F620" s="13" t="str">
        <f>IF(OR(C620="",D620=""),"",ROUND(MOD(D620-C620,1)*24-N(E620)/60,2))</f>
        <v/>
      </c>
      <c r="G620" s="14" t="str">
        <f>IF(B620="","",IFERROR(VLOOKUP(B620,EmpTable,2,FALSE),""))</f>
        <v/>
      </c>
      <c r="H620" s="14" t="str">
        <f>IF(OR(F620="",G620=""),"",F620*G620)</f>
        <v/>
      </c>
      <c r="I620" s="10" t="n"/>
    </row>
    <row r="621">
      <c r="A621" s="9" t="n"/>
      <c r="B621" s="10" t="n"/>
      <c r="C621" s="11" t="n"/>
      <c r="D621" s="11" t="n"/>
      <c r="E621" s="12" t="n"/>
      <c r="F621" s="13" t="str">
        <f>IF(OR(C621="",D621=""),"",ROUND(MOD(D621-C621,1)*24-N(E621)/60,2))</f>
        <v/>
      </c>
      <c r="G621" s="14" t="str">
        <f>IF(B621="","",IFERROR(VLOOKUP(B621,EmpTable,2,FALSE),""))</f>
        <v/>
      </c>
      <c r="H621" s="14" t="str">
        <f>IF(OR(F621="",G621=""),"",F621*G621)</f>
        <v/>
      </c>
      <c r="I621" s="10" t="n"/>
    </row>
    <row r="622">
      <c r="A622" s="9" t="n"/>
      <c r="B622" s="10" t="n"/>
      <c r="C622" s="11" t="n"/>
      <c r="D622" s="11" t="n"/>
      <c r="E622" s="12" t="n"/>
      <c r="F622" s="13" t="str">
        <f>IF(OR(C622="",D622=""),"",ROUND(MOD(D622-C622,1)*24-N(E622)/60,2))</f>
        <v/>
      </c>
      <c r="G622" s="14" t="str">
        <f>IF(B622="","",IFERROR(VLOOKUP(B622,EmpTable,2,FALSE),""))</f>
        <v/>
      </c>
      <c r="H622" s="14" t="str">
        <f>IF(OR(F622="",G622=""),"",F622*G622)</f>
        <v/>
      </c>
      <c r="I622" s="10" t="n"/>
    </row>
    <row r="623">
      <c r="A623" s="9" t="n"/>
      <c r="B623" s="10" t="n"/>
      <c r="C623" s="11" t="n"/>
      <c r="D623" s="11" t="n"/>
      <c r="E623" s="12" t="n"/>
      <c r="F623" s="13" t="str">
        <f>IF(OR(C623="",D623=""),"",ROUND(MOD(D623-C623,1)*24-N(E623)/60,2))</f>
        <v/>
      </c>
      <c r="G623" s="14" t="str">
        <f>IF(B623="","",IFERROR(VLOOKUP(B623,EmpTable,2,FALSE),""))</f>
        <v/>
      </c>
      <c r="H623" s="14" t="str">
        <f>IF(OR(F623="",G623=""),"",F623*G623)</f>
        <v/>
      </c>
      <c r="I623" s="10" t="n"/>
    </row>
    <row r="624">
      <c r="A624" s="9" t="n"/>
      <c r="B624" s="10" t="n"/>
      <c r="C624" s="11" t="n"/>
      <c r="D624" s="11" t="n"/>
      <c r="E624" s="12" t="n"/>
      <c r="F624" s="13" t="str">
        <f>IF(OR(C624="",D624=""),"",ROUND(MOD(D624-C624,1)*24-N(E624)/60,2))</f>
        <v/>
      </c>
      <c r="G624" s="14" t="str">
        <f>IF(B624="","",IFERROR(VLOOKUP(B624,EmpTable,2,FALSE),""))</f>
        <v/>
      </c>
      <c r="H624" s="14" t="str">
        <f>IF(OR(F624="",G624=""),"",F624*G624)</f>
        <v/>
      </c>
      <c r="I624" s="10" t="n"/>
    </row>
    <row r="625">
      <c r="A625" s="9" t="n"/>
      <c r="B625" s="10" t="n"/>
      <c r="C625" s="11" t="n"/>
      <c r="D625" s="11" t="n"/>
      <c r="E625" s="12" t="n"/>
      <c r="F625" s="13" t="str">
        <f>IF(OR(C625="",D625=""),"",ROUND(MOD(D625-C625,1)*24-N(E625)/60,2))</f>
        <v/>
      </c>
      <c r="G625" s="14" t="str">
        <f>IF(B625="","",IFERROR(VLOOKUP(B625,EmpTable,2,FALSE),""))</f>
        <v/>
      </c>
      <c r="H625" s="14" t="str">
        <f>IF(OR(F625="",G625=""),"",F625*G625)</f>
        <v/>
      </c>
      <c r="I625" s="10" t="n"/>
    </row>
    <row r="626">
      <c r="A626" s="9" t="n"/>
      <c r="B626" s="10" t="n"/>
      <c r="C626" s="11" t="n"/>
      <c r="D626" s="11" t="n"/>
      <c r="E626" s="12" t="n"/>
      <c r="F626" s="13" t="str">
        <f>IF(OR(C626="",D626=""),"",ROUND(MOD(D626-C626,1)*24-N(E626)/60,2))</f>
        <v/>
      </c>
      <c r="G626" s="14" t="str">
        <f>IF(B626="","",IFERROR(VLOOKUP(B626,EmpTable,2,FALSE),""))</f>
        <v/>
      </c>
      <c r="H626" s="14" t="str">
        <f>IF(OR(F626="",G626=""),"",F626*G626)</f>
        <v/>
      </c>
      <c r="I626" s="10" t="n"/>
    </row>
    <row r="627">
      <c r="A627" s="9" t="n"/>
      <c r="B627" s="10" t="n"/>
      <c r="C627" s="11" t="n"/>
      <c r="D627" s="11" t="n"/>
      <c r="E627" s="12" t="n"/>
      <c r="F627" s="13" t="str">
        <f>IF(OR(C627="",D627=""),"",ROUND(MOD(D627-C627,1)*24-N(E627)/60,2))</f>
        <v/>
      </c>
      <c r="G627" s="14" t="str">
        <f>IF(B627="","",IFERROR(VLOOKUP(B627,EmpTable,2,FALSE),""))</f>
        <v/>
      </c>
      <c r="H627" s="14" t="str">
        <f>IF(OR(F627="",G627=""),"",F627*G627)</f>
        <v/>
      </c>
      <c r="I627" s="10" t="n"/>
    </row>
    <row r="628">
      <c r="A628" s="9" t="n"/>
      <c r="B628" s="10" t="n"/>
      <c r="C628" s="11" t="n"/>
      <c r="D628" s="11" t="n"/>
      <c r="E628" s="12" t="n"/>
      <c r="F628" s="13" t="str">
        <f>IF(OR(C628="",D628=""),"",ROUND(MOD(D628-C628,1)*24-N(E628)/60,2))</f>
        <v/>
      </c>
      <c r="G628" s="14" t="str">
        <f>IF(B628="","",IFERROR(VLOOKUP(B628,EmpTable,2,FALSE),""))</f>
        <v/>
      </c>
      <c r="H628" s="14" t="str">
        <f>IF(OR(F628="",G628=""),"",F628*G628)</f>
        <v/>
      </c>
      <c r="I628" s="10" t="n"/>
    </row>
    <row r="629">
      <c r="A629" s="9" t="n"/>
      <c r="B629" s="10" t="n"/>
      <c r="C629" s="11" t="n"/>
      <c r="D629" s="11" t="n"/>
      <c r="E629" s="12" t="n"/>
      <c r="F629" s="13" t="str">
        <f>IF(OR(C629="",D629=""),"",ROUND(MOD(D629-C629,1)*24-N(E629)/60,2))</f>
        <v/>
      </c>
      <c r="G629" s="14" t="str">
        <f>IF(B629="","",IFERROR(VLOOKUP(B629,EmpTable,2,FALSE),""))</f>
        <v/>
      </c>
      <c r="H629" s="14" t="str">
        <f>IF(OR(F629="",G629=""),"",F629*G629)</f>
        <v/>
      </c>
      <c r="I629" s="10" t="n"/>
    </row>
    <row r="630">
      <c r="A630" s="9" t="n"/>
      <c r="B630" s="10" t="n"/>
      <c r="C630" s="11" t="n"/>
      <c r="D630" s="11" t="n"/>
      <c r="E630" s="12" t="n"/>
      <c r="F630" s="13" t="str">
        <f>IF(OR(C630="",D630=""),"",ROUND(MOD(D630-C630,1)*24-N(E630)/60,2))</f>
        <v/>
      </c>
      <c r="G630" s="14" t="str">
        <f>IF(B630="","",IFERROR(VLOOKUP(B630,EmpTable,2,FALSE),""))</f>
        <v/>
      </c>
      <c r="H630" s="14" t="str">
        <f>IF(OR(F630="",G630=""),"",F630*G630)</f>
        <v/>
      </c>
      <c r="I630" s="10" t="n"/>
    </row>
    <row r="631">
      <c r="A631" s="9" t="n"/>
      <c r="B631" s="10" t="n"/>
      <c r="C631" s="11" t="n"/>
      <c r="D631" s="11" t="n"/>
      <c r="E631" s="12" t="n"/>
      <c r="F631" s="13" t="str">
        <f>IF(OR(C631="",D631=""),"",ROUND(MOD(D631-C631,1)*24-N(E631)/60,2))</f>
        <v/>
      </c>
      <c r="G631" s="14" t="str">
        <f>IF(B631="","",IFERROR(VLOOKUP(B631,EmpTable,2,FALSE),""))</f>
        <v/>
      </c>
      <c r="H631" s="14" t="str">
        <f>IF(OR(F631="",G631=""),"",F631*G631)</f>
        <v/>
      </c>
      <c r="I631" s="10" t="n"/>
    </row>
    <row r="632">
      <c r="A632" s="9" t="n"/>
      <c r="B632" s="10" t="n"/>
      <c r="C632" s="11" t="n"/>
      <c r="D632" s="11" t="n"/>
      <c r="E632" s="12" t="n"/>
      <c r="F632" s="13" t="str">
        <f>IF(OR(C632="",D632=""),"",ROUND(MOD(D632-C632,1)*24-N(E632)/60,2))</f>
        <v/>
      </c>
      <c r="G632" s="14" t="str">
        <f>IF(B632="","",IFERROR(VLOOKUP(B632,EmpTable,2,FALSE),""))</f>
        <v/>
      </c>
      <c r="H632" s="14" t="str">
        <f>IF(OR(F632="",G632=""),"",F632*G632)</f>
        <v/>
      </c>
      <c r="I632" s="10" t="n"/>
    </row>
    <row r="633">
      <c r="A633" s="9" t="n"/>
      <c r="B633" s="10" t="n"/>
      <c r="C633" s="11" t="n"/>
      <c r="D633" s="11" t="n"/>
      <c r="E633" s="12" t="n"/>
      <c r="F633" s="13" t="str">
        <f>IF(OR(C633="",D633=""),"",ROUND(MOD(D633-C633,1)*24-N(E633)/60,2))</f>
        <v/>
      </c>
      <c r="G633" s="14" t="str">
        <f>IF(B633="","",IFERROR(VLOOKUP(B633,EmpTable,2,FALSE),""))</f>
        <v/>
      </c>
      <c r="H633" s="14" t="str">
        <f>IF(OR(F633="",G633=""),"",F633*G633)</f>
        <v/>
      </c>
      <c r="I633" s="10" t="n"/>
    </row>
    <row r="634">
      <c r="A634" s="9" t="n"/>
      <c r="B634" s="10" t="n"/>
      <c r="C634" s="11" t="n"/>
      <c r="D634" s="11" t="n"/>
      <c r="E634" s="12" t="n"/>
      <c r="F634" s="13" t="str">
        <f>IF(OR(C634="",D634=""),"",ROUND(MOD(D634-C634,1)*24-N(E634)/60,2))</f>
        <v/>
      </c>
      <c r="G634" s="14" t="str">
        <f>IF(B634="","",IFERROR(VLOOKUP(B634,EmpTable,2,FALSE),""))</f>
        <v/>
      </c>
      <c r="H634" s="14" t="str">
        <f>IF(OR(F634="",G634=""),"",F634*G634)</f>
        <v/>
      </c>
      <c r="I634" s="10" t="n"/>
    </row>
    <row r="635">
      <c r="A635" s="9" t="n"/>
      <c r="B635" s="10" t="n"/>
      <c r="C635" s="11" t="n"/>
      <c r="D635" s="11" t="n"/>
      <c r="E635" s="12" t="n"/>
      <c r="F635" s="13" t="str">
        <f>IF(OR(C635="",D635=""),"",ROUND(MOD(D635-C635,1)*24-N(E635)/60,2))</f>
        <v/>
      </c>
      <c r="G635" s="14" t="str">
        <f>IF(B635="","",IFERROR(VLOOKUP(B635,EmpTable,2,FALSE),""))</f>
        <v/>
      </c>
      <c r="H635" s="14" t="str">
        <f>IF(OR(F635="",G635=""),"",F635*G635)</f>
        <v/>
      </c>
      <c r="I635" s="10" t="n"/>
    </row>
    <row r="636">
      <c r="A636" s="9" t="n"/>
      <c r="B636" s="10" t="n"/>
      <c r="C636" s="11" t="n"/>
      <c r="D636" s="11" t="n"/>
      <c r="E636" s="12" t="n"/>
      <c r="F636" s="13" t="str">
        <f>IF(OR(C636="",D636=""),"",ROUND(MOD(D636-C636,1)*24-N(E636)/60,2))</f>
        <v/>
      </c>
      <c r="G636" s="14" t="str">
        <f>IF(B636="","",IFERROR(VLOOKUP(B636,EmpTable,2,FALSE),""))</f>
        <v/>
      </c>
      <c r="H636" s="14" t="str">
        <f>IF(OR(F636="",G636=""),"",F636*G636)</f>
        <v/>
      </c>
      <c r="I636" s="10" t="n"/>
    </row>
    <row r="637">
      <c r="A637" s="9" t="n"/>
      <c r="B637" s="10" t="n"/>
      <c r="C637" s="11" t="n"/>
      <c r="D637" s="11" t="n"/>
      <c r="E637" s="12" t="n"/>
      <c r="F637" s="13" t="str">
        <f>IF(OR(C637="",D637=""),"",ROUND(MOD(D637-C637,1)*24-N(E637)/60,2))</f>
        <v/>
      </c>
      <c r="G637" s="14" t="str">
        <f>IF(B637="","",IFERROR(VLOOKUP(B637,EmpTable,2,FALSE),""))</f>
        <v/>
      </c>
      <c r="H637" s="14" t="str">
        <f>IF(OR(F637="",G637=""),"",F637*G637)</f>
        <v/>
      </c>
      <c r="I637" s="10" t="n"/>
    </row>
    <row r="638">
      <c r="A638" s="9" t="n"/>
      <c r="B638" s="10" t="n"/>
      <c r="C638" s="11" t="n"/>
      <c r="D638" s="11" t="n"/>
      <c r="E638" s="12" t="n"/>
      <c r="F638" s="13" t="str">
        <f>IF(OR(C638="",D638=""),"",ROUND(MOD(D638-C638,1)*24-N(E638)/60,2))</f>
        <v/>
      </c>
      <c r="G638" s="14" t="str">
        <f>IF(B638="","",IFERROR(VLOOKUP(B638,EmpTable,2,FALSE),""))</f>
        <v/>
      </c>
      <c r="H638" s="14" t="str">
        <f>IF(OR(F638="",G638=""),"",F638*G638)</f>
        <v/>
      </c>
      <c r="I638" s="10" t="n"/>
    </row>
    <row r="639">
      <c r="A639" s="9" t="n"/>
      <c r="B639" s="10" t="n"/>
      <c r="C639" s="11" t="n"/>
      <c r="D639" s="11" t="n"/>
      <c r="E639" s="12" t="n"/>
      <c r="F639" s="13" t="str">
        <f>IF(OR(C639="",D639=""),"",ROUND(MOD(D639-C639,1)*24-N(E639)/60,2))</f>
        <v/>
      </c>
      <c r="G639" s="14" t="str">
        <f>IF(B639="","",IFERROR(VLOOKUP(B639,EmpTable,2,FALSE),""))</f>
        <v/>
      </c>
      <c r="H639" s="14" t="str">
        <f>IF(OR(F639="",G639=""),"",F639*G639)</f>
        <v/>
      </c>
      <c r="I639" s="10" t="n"/>
    </row>
    <row r="640">
      <c r="A640" s="9" t="n"/>
      <c r="B640" s="10" t="n"/>
      <c r="C640" s="11" t="n"/>
      <c r="D640" s="11" t="n"/>
      <c r="E640" s="12" t="n"/>
      <c r="F640" s="13" t="str">
        <f>IF(OR(C640="",D640=""),"",ROUND(MOD(D640-C640,1)*24-N(E640)/60,2))</f>
        <v/>
      </c>
      <c r="G640" s="14" t="str">
        <f>IF(B640="","",IFERROR(VLOOKUP(B640,EmpTable,2,FALSE),""))</f>
        <v/>
      </c>
      <c r="H640" s="14" t="str">
        <f>IF(OR(F640="",G640=""),"",F640*G640)</f>
        <v/>
      </c>
      <c r="I640" s="10" t="n"/>
    </row>
    <row r="641">
      <c r="A641" s="9" t="n"/>
      <c r="B641" s="10" t="n"/>
      <c r="C641" s="11" t="n"/>
      <c r="D641" s="11" t="n"/>
      <c r="E641" s="12" t="n"/>
      <c r="F641" s="13" t="str">
        <f>IF(OR(C641="",D641=""),"",ROUND(MOD(D641-C641,1)*24-N(E641)/60,2))</f>
        <v/>
      </c>
      <c r="G641" s="14" t="str">
        <f>IF(B641="","",IFERROR(VLOOKUP(B641,EmpTable,2,FALSE),""))</f>
        <v/>
      </c>
      <c r="H641" s="14" t="str">
        <f>IF(OR(F641="",G641=""),"",F641*G641)</f>
        <v/>
      </c>
      <c r="I641" s="10" t="n"/>
    </row>
    <row r="642">
      <c r="A642" s="9" t="n"/>
      <c r="B642" s="10" t="n"/>
      <c r="C642" s="11" t="n"/>
      <c r="D642" s="11" t="n"/>
      <c r="E642" s="12" t="n"/>
      <c r="F642" s="13" t="str">
        <f>IF(OR(C642="",D642=""),"",ROUND(MOD(D642-C642,1)*24-N(E642)/60,2))</f>
        <v/>
      </c>
      <c r="G642" s="14" t="str">
        <f>IF(B642="","",IFERROR(VLOOKUP(B642,EmpTable,2,FALSE),""))</f>
        <v/>
      </c>
      <c r="H642" s="14" t="str">
        <f>IF(OR(F642="",G642=""),"",F642*G642)</f>
        <v/>
      </c>
      <c r="I642" s="10" t="n"/>
    </row>
    <row r="643">
      <c r="A643" s="9" t="n"/>
      <c r="B643" s="10" t="n"/>
      <c r="C643" s="11" t="n"/>
      <c r="D643" s="11" t="n"/>
      <c r="E643" s="12" t="n"/>
      <c r="F643" s="13" t="str">
        <f>IF(OR(C643="",D643=""),"",ROUND(MOD(D643-C643,1)*24-N(E643)/60,2))</f>
        <v/>
      </c>
      <c r="G643" s="14" t="str">
        <f>IF(B643="","",IFERROR(VLOOKUP(B643,EmpTable,2,FALSE),""))</f>
        <v/>
      </c>
      <c r="H643" s="14" t="str">
        <f>IF(OR(F643="",G643=""),"",F643*G643)</f>
        <v/>
      </c>
      <c r="I643" s="10" t="n"/>
    </row>
    <row r="644">
      <c r="A644" s="9" t="n"/>
      <c r="B644" s="10" t="n"/>
      <c r="C644" s="11" t="n"/>
      <c r="D644" s="11" t="n"/>
      <c r="E644" s="12" t="n"/>
      <c r="F644" s="13" t="str">
        <f>IF(OR(C644="",D644=""),"",ROUND(MOD(D644-C644,1)*24-N(E644)/60,2))</f>
        <v/>
      </c>
      <c r="G644" s="14" t="str">
        <f>IF(B644="","",IFERROR(VLOOKUP(B644,EmpTable,2,FALSE),""))</f>
        <v/>
      </c>
      <c r="H644" s="14" t="str">
        <f>IF(OR(F644="",G644=""),"",F644*G644)</f>
        <v/>
      </c>
      <c r="I644" s="10" t="n"/>
    </row>
    <row r="645">
      <c r="A645" s="9" t="n"/>
      <c r="B645" s="10" t="n"/>
      <c r="C645" s="11" t="n"/>
      <c r="D645" s="11" t="n"/>
      <c r="E645" s="12" t="n"/>
      <c r="F645" s="13" t="str">
        <f>IF(OR(C645="",D645=""),"",ROUND(MOD(D645-C645,1)*24-N(E645)/60,2))</f>
        <v/>
      </c>
      <c r="G645" s="14" t="str">
        <f>IF(B645="","",IFERROR(VLOOKUP(B645,EmpTable,2,FALSE),""))</f>
        <v/>
      </c>
      <c r="H645" s="14" t="str">
        <f>IF(OR(F645="",G645=""),"",F645*G645)</f>
        <v/>
      </c>
      <c r="I645" s="10" t="n"/>
    </row>
    <row r="646">
      <c r="A646" s="9" t="n"/>
      <c r="B646" s="10" t="n"/>
      <c r="C646" s="11" t="n"/>
      <c r="D646" s="11" t="n"/>
      <c r="E646" s="12" t="n"/>
      <c r="F646" s="13" t="str">
        <f>IF(OR(C646="",D646=""),"",ROUND(MOD(D646-C646,1)*24-N(E646)/60,2))</f>
        <v/>
      </c>
      <c r="G646" s="14" t="str">
        <f>IF(B646="","",IFERROR(VLOOKUP(B646,EmpTable,2,FALSE),""))</f>
        <v/>
      </c>
      <c r="H646" s="14" t="str">
        <f>IF(OR(F646="",G646=""),"",F646*G646)</f>
        <v/>
      </c>
      <c r="I646" s="10" t="n"/>
    </row>
    <row r="647">
      <c r="A647" s="9" t="n"/>
      <c r="B647" s="10" t="n"/>
      <c r="C647" s="11" t="n"/>
      <c r="D647" s="11" t="n"/>
      <c r="E647" s="12" t="n"/>
      <c r="F647" s="13" t="str">
        <f>IF(OR(C647="",D647=""),"",ROUND(MOD(D647-C647,1)*24-N(E647)/60,2))</f>
        <v/>
      </c>
      <c r="G647" s="14" t="str">
        <f>IF(B647="","",IFERROR(VLOOKUP(B647,EmpTable,2,FALSE),""))</f>
        <v/>
      </c>
      <c r="H647" s="14" t="str">
        <f>IF(OR(F647="",G647=""),"",F647*G647)</f>
        <v/>
      </c>
      <c r="I647" s="10" t="n"/>
    </row>
    <row r="648">
      <c r="A648" s="9" t="n"/>
      <c r="B648" s="10" t="n"/>
      <c r="C648" s="11" t="n"/>
      <c r="D648" s="11" t="n"/>
      <c r="E648" s="12" t="n"/>
      <c r="F648" s="13" t="str">
        <f>IF(OR(C648="",D648=""),"",ROUND(MOD(D648-C648,1)*24-N(E648)/60,2))</f>
        <v/>
      </c>
      <c r="G648" s="14" t="str">
        <f>IF(B648="","",IFERROR(VLOOKUP(B648,EmpTable,2,FALSE),""))</f>
        <v/>
      </c>
      <c r="H648" s="14" t="str">
        <f>IF(OR(F648="",G648=""),"",F648*G648)</f>
        <v/>
      </c>
      <c r="I648" s="10" t="n"/>
    </row>
    <row r="649">
      <c r="A649" s="9" t="n"/>
      <c r="B649" s="10" t="n"/>
      <c r="C649" s="11" t="n"/>
      <c r="D649" s="11" t="n"/>
      <c r="E649" s="12" t="n"/>
      <c r="F649" s="13" t="str">
        <f>IF(OR(C649="",D649=""),"",ROUND(MOD(D649-C649,1)*24-N(E649)/60,2))</f>
        <v/>
      </c>
      <c r="G649" s="14" t="str">
        <f>IF(B649="","",IFERROR(VLOOKUP(B649,EmpTable,2,FALSE),""))</f>
        <v/>
      </c>
      <c r="H649" s="14" t="str">
        <f>IF(OR(F649="",G649=""),"",F649*G649)</f>
        <v/>
      </c>
      <c r="I649" s="10" t="n"/>
    </row>
    <row r="650">
      <c r="A650" s="9" t="n"/>
      <c r="B650" s="10" t="n"/>
      <c r="C650" s="11" t="n"/>
      <c r="D650" s="11" t="n"/>
      <c r="E650" s="12" t="n"/>
      <c r="F650" s="13" t="str">
        <f>IF(OR(C650="",D650=""),"",ROUND(MOD(D650-C650,1)*24-N(E650)/60,2))</f>
        <v/>
      </c>
      <c r="G650" s="14" t="str">
        <f>IF(B650="","",IFERROR(VLOOKUP(B650,EmpTable,2,FALSE),""))</f>
        <v/>
      </c>
      <c r="H650" s="14" t="str">
        <f>IF(OR(F650="",G650=""),"",F650*G650)</f>
        <v/>
      </c>
      <c r="I650" s="10" t="n"/>
    </row>
    <row r="651">
      <c r="A651" s="9" t="n"/>
      <c r="B651" s="10" t="n"/>
      <c r="C651" s="11" t="n"/>
      <c r="D651" s="11" t="n"/>
      <c r="E651" s="12" t="n"/>
      <c r="F651" s="13" t="str">
        <f>IF(OR(C651="",D651=""),"",ROUND(MOD(D651-C651,1)*24-N(E651)/60,2))</f>
        <v/>
      </c>
      <c r="G651" s="14" t="str">
        <f>IF(B651="","",IFERROR(VLOOKUP(B651,EmpTable,2,FALSE),""))</f>
        <v/>
      </c>
      <c r="H651" s="14" t="str">
        <f>IF(OR(F651="",G651=""),"",F651*G651)</f>
        <v/>
      </c>
      <c r="I651" s="10" t="n"/>
    </row>
    <row r="652">
      <c r="A652" s="9" t="n"/>
      <c r="B652" s="10" t="n"/>
      <c r="C652" s="11" t="n"/>
      <c r="D652" s="11" t="n"/>
      <c r="E652" s="12" t="n"/>
      <c r="F652" s="13" t="str">
        <f>IF(OR(C652="",D652=""),"",ROUND(MOD(D652-C652,1)*24-N(E652)/60,2))</f>
        <v/>
      </c>
      <c r="G652" s="14" t="str">
        <f>IF(B652="","",IFERROR(VLOOKUP(B652,EmpTable,2,FALSE),""))</f>
        <v/>
      </c>
      <c r="H652" s="14" t="str">
        <f>IF(OR(F652="",G652=""),"",F652*G652)</f>
        <v/>
      </c>
      <c r="I652" s="10" t="n"/>
    </row>
    <row r="653">
      <c r="A653" s="9" t="n"/>
      <c r="B653" s="10" t="n"/>
      <c r="C653" s="11" t="n"/>
      <c r="D653" s="11" t="n"/>
      <c r="E653" s="12" t="n"/>
      <c r="F653" s="13" t="str">
        <f>IF(OR(C653="",D653=""),"",ROUND(MOD(D653-C653,1)*24-N(E653)/60,2))</f>
        <v/>
      </c>
      <c r="G653" s="14" t="str">
        <f>IF(B653="","",IFERROR(VLOOKUP(B653,EmpTable,2,FALSE),""))</f>
        <v/>
      </c>
      <c r="H653" s="14" t="str">
        <f>IF(OR(F653="",G653=""),"",F653*G653)</f>
        <v/>
      </c>
      <c r="I653" s="10" t="n"/>
    </row>
    <row r="654">
      <c r="A654" s="9" t="n"/>
      <c r="B654" s="10" t="n"/>
      <c r="C654" s="11" t="n"/>
      <c r="D654" s="11" t="n"/>
      <c r="E654" s="12" t="n"/>
      <c r="F654" s="13" t="str">
        <f>IF(OR(C654="",D654=""),"",ROUND(MOD(D654-C654,1)*24-N(E654)/60,2))</f>
        <v/>
      </c>
      <c r="G654" s="14" t="str">
        <f>IF(B654="","",IFERROR(VLOOKUP(B654,EmpTable,2,FALSE),""))</f>
        <v/>
      </c>
      <c r="H654" s="14" t="str">
        <f>IF(OR(F654="",G654=""),"",F654*G654)</f>
        <v/>
      </c>
      <c r="I654" s="10" t="n"/>
    </row>
    <row r="655">
      <c r="A655" s="9" t="n"/>
      <c r="B655" s="10" t="n"/>
      <c r="C655" s="11" t="n"/>
      <c r="D655" s="11" t="n"/>
      <c r="E655" s="12" t="n"/>
      <c r="F655" s="13" t="str">
        <f>IF(OR(C655="",D655=""),"",ROUND(MOD(D655-C655,1)*24-N(E655)/60,2))</f>
        <v/>
      </c>
      <c r="G655" s="14" t="str">
        <f>IF(B655="","",IFERROR(VLOOKUP(B655,EmpTable,2,FALSE),""))</f>
        <v/>
      </c>
      <c r="H655" s="14" t="str">
        <f>IF(OR(F655="",G655=""),"",F655*G655)</f>
        <v/>
      </c>
      <c r="I655" s="10" t="n"/>
    </row>
    <row r="656">
      <c r="A656" s="9" t="n"/>
      <c r="B656" s="10" t="n"/>
      <c r="C656" s="11" t="n"/>
      <c r="D656" s="11" t="n"/>
      <c r="E656" s="12" t="n"/>
      <c r="F656" s="13" t="str">
        <f>IF(OR(C656="",D656=""),"",ROUND(MOD(D656-C656,1)*24-N(E656)/60,2))</f>
        <v/>
      </c>
      <c r="G656" s="14" t="str">
        <f>IF(B656="","",IFERROR(VLOOKUP(B656,EmpTable,2,FALSE),""))</f>
        <v/>
      </c>
      <c r="H656" s="14" t="str">
        <f>IF(OR(F656="",G656=""),"",F656*G656)</f>
        <v/>
      </c>
      <c r="I656" s="10" t="n"/>
    </row>
    <row r="657">
      <c r="A657" s="9" t="n"/>
      <c r="B657" s="10" t="n"/>
      <c r="C657" s="11" t="n"/>
      <c r="D657" s="11" t="n"/>
      <c r="E657" s="12" t="n"/>
      <c r="F657" s="13" t="str">
        <f>IF(OR(C657="",D657=""),"",ROUND(MOD(D657-C657,1)*24-N(E657)/60,2))</f>
        <v/>
      </c>
      <c r="G657" s="14" t="str">
        <f>IF(B657="","",IFERROR(VLOOKUP(B657,EmpTable,2,FALSE),""))</f>
        <v/>
      </c>
      <c r="H657" s="14" t="str">
        <f>IF(OR(F657="",G657=""),"",F657*G657)</f>
        <v/>
      </c>
      <c r="I657" s="10" t="n"/>
    </row>
    <row r="658">
      <c r="A658" s="9" t="n"/>
      <c r="B658" s="10" t="n"/>
      <c r="C658" s="11" t="n"/>
      <c r="D658" s="11" t="n"/>
      <c r="E658" s="12" t="n"/>
      <c r="F658" s="13" t="str">
        <f>IF(OR(C658="",D658=""),"",ROUND(MOD(D658-C658,1)*24-N(E658)/60,2))</f>
        <v/>
      </c>
      <c r="G658" s="14" t="str">
        <f>IF(B658="","",IFERROR(VLOOKUP(B658,EmpTable,2,FALSE),""))</f>
        <v/>
      </c>
      <c r="H658" s="14" t="str">
        <f>IF(OR(F658="",G658=""),"",F658*G658)</f>
        <v/>
      </c>
      <c r="I658" s="10" t="n"/>
    </row>
    <row r="659">
      <c r="A659" s="9" t="n"/>
      <c r="B659" s="10" t="n"/>
      <c r="C659" s="11" t="n"/>
      <c r="D659" s="11" t="n"/>
      <c r="E659" s="12" t="n"/>
      <c r="F659" s="13" t="str">
        <f>IF(OR(C659="",D659=""),"",ROUND(MOD(D659-C659,1)*24-N(E659)/60,2))</f>
        <v/>
      </c>
      <c r="G659" s="14" t="str">
        <f>IF(B659="","",IFERROR(VLOOKUP(B659,EmpTable,2,FALSE),""))</f>
        <v/>
      </c>
      <c r="H659" s="14" t="str">
        <f>IF(OR(F659="",G659=""),"",F659*G659)</f>
        <v/>
      </c>
      <c r="I659" s="10" t="n"/>
    </row>
    <row r="660">
      <c r="A660" s="9" t="n"/>
      <c r="B660" s="10" t="n"/>
      <c r="C660" s="11" t="n"/>
      <c r="D660" s="11" t="n"/>
      <c r="E660" s="12" t="n"/>
      <c r="F660" s="13" t="str">
        <f>IF(OR(C660="",D660=""),"",ROUND(MOD(D660-C660,1)*24-N(E660)/60,2))</f>
        <v/>
      </c>
      <c r="G660" s="14" t="str">
        <f>IF(B660="","",IFERROR(VLOOKUP(B660,EmpTable,2,FALSE),""))</f>
        <v/>
      </c>
      <c r="H660" s="14" t="str">
        <f>IF(OR(F660="",G660=""),"",F660*G660)</f>
        <v/>
      </c>
      <c r="I660" s="10" t="n"/>
    </row>
    <row r="661">
      <c r="A661" s="9" t="n"/>
      <c r="B661" s="10" t="n"/>
      <c r="C661" s="11" t="n"/>
      <c r="D661" s="11" t="n"/>
      <c r="E661" s="12" t="n"/>
      <c r="F661" s="13" t="str">
        <f>IF(OR(C661="",D661=""),"",ROUND(MOD(D661-C661,1)*24-N(E661)/60,2))</f>
        <v/>
      </c>
      <c r="G661" s="14" t="str">
        <f>IF(B661="","",IFERROR(VLOOKUP(B661,EmpTable,2,FALSE),""))</f>
        <v/>
      </c>
      <c r="H661" s="14" t="str">
        <f>IF(OR(F661="",G661=""),"",F661*G661)</f>
        <v/>
      </c>
      <c r="I661" s="10" t="n"/>
    </row>
    <row r="662">
      <c r="A662" s="9" t="n"/>
      <c r="B662" s="10" t="n"/>
      <c r="C662" s="11" t="n"/>
      <c r="D662" s="11" t="n"/>
      <c r="E662" s="12" t="n"/>
      <c r="F662" s="13" t="str">
        <f>IF(OR(C662="",D662=""),"",ROUND(MOD(D662-C662,1)*24-N(E662)/60,2))</f>
        <v/>
      </c>
      <c r="G662" s="14" t="str">
        <f>IF(B662="","",IFERROR(VLOOKUP(B662,EmpTable,2,FALSE),""))</f>
        <v/>
      </c>
      <c r="H662" s="14" t="str">
        <f>IF(OR(F662="",G662=""),"",F662*G662)</f>
        <v/>
      </c>
      <c r="I662" s="10" t="n"/>
    </row>
    <row r="663">
      <c r="A663" s="9" t="n"/>
      <c r="B663" s="10" t="n"/>
      <c r="C663" s="11" t="n"/>
      <c r="D663" s="11" t="n"/>
      <c r="E663" s="12" t="n"/>
      <c r="F663" s="13" t="str">
        <f>IF(OR(C663="",D663=""),"",ROUND(MOD(D663-C663,1)*24-N(E663)/60,2))</f>
        <v/>
      </c>
      <c r="G663" s="14" t="str">
        <f>IF(B663="","",IFERROR(VLOOKUP(B663,EmpTable,2,FALSE),""))</f>
        <v/>
      </c>
      <c r="H663" s="14" t="str">
        <f>IF(OR(F663="",G663=""),"",F663*G663)</f>
        <v/>
      </c>
      <c r="I663" s="10" t="n"/>
    </row>
    <row r="664">
      <c r="A664" s="9" t="n"/>
      <c r="B664" s="10" t="n"/>
      <c r="C664" s="11" t="n"/>
      <c r="D664" s="11" t="n"/>
      <c r="E664" s="12" t="n"/>
      <c r="F664" s="13" t="str">
        <f>IF(OR(C664="",D664=""),"",ROUND(MOD(D664-C664,1)*24-N(E664)/60,2))</f>
        <v/>
      </c>
      <c r="G664" s="14" t="str">
        <f>IF(B664="","",IFERROR(VLOOKUP(B664,EmpTable,2,FALSE),""))</f>
        <v/>
      </c>
      <c r="H664" s="14" t="str">
        <f>IF(OR(F664="",G664=""),"",F664*G664)</f>
        <v/>
      </c>
      <c r="I664" s="10" t="n"/>
    </row>
    <row r="665">
      <c r="A665" s="9" t="n"/>
      <c r="B665" s="10" t="n"/>
      <c r="C665" s="11" t="n"/>
      <c r="D665" s="11" t="n"/>
      <c r="E665" s="12" t="n"/>
      <c r="F665" s="13" t="str">
        <f>IF(OR(C665="",D665=""),"",ROUND(MOD(D665-C665,1)*24-N(E665)/60,2))</f>
        <v/>
      </c>
      <c r="G665" s="14" t="str">
        <f>IF(B665="","",IFERROR(VLOOKUP(B665,EmpTable,2,FALSE),""))</f>
        <v/>
      </c>
      <c r="H665" s="14" t="str">
        <f>IF(OR(F665="",G665=""),"",F665*G665)</f>
        <v/>
      </c>
      <c r="I665" s="10" t="n"/>
    </row>
    <row r="666">
      <c r="A666" s="9" t="n"/>
      <c r="B666" s="10" t="n"/>
      <c r="C666" s="11" t="n"/>
      <c r="D666" s="11" t="n"/>
      <c r="E666" s="12" t="n"/>
      <c r="F666" s="13" t="str">
        <f>IF(OR(C666="",D666=""),"",ROUND(MOD(D666-C666,1)*24-N(E666)/60,2))</f>
        <v/>
      </c>
      <c r="G666" s="14" t="str">
        <f>IF(B666="","",IFERROR(VLOOKUP(B666,EmpTable,2,FALSE),""))</f>
        <v/>
      </c>
      <c r="H666" s="14" t="str">
        <f>IF(OR(F666="",G666=""),"",F666*G666)</f>
        <v/>
      </c>
      <c r="I666" s="10" t="n"/>
    </row>
    <row r="667">
      <c r="A667" s="9" t="n"/>
      <c r="B667" s="10" t="n"/>
      <c r="C667" s="11" t="n"/>
      <c r="D667" s="11" t="n"/>
      <c r="E667" s="12" t="n"/>
      <c r="F667" s="13" t="str">
        <f>IF(OR(C667="",D667=""),"",ROUND(MOD(D667-C667,1)*24-N(E667)/60,2))</f>
        <v/>
      </c>
      <c r="G667" s="14" t="str">
        <f>IF(B667="","",IFERROR(VLOOKUP(B667,EmpTable,2,FALSE),""))</f>
        <v/>
      </c>
      <c r="H667" s="14" t="str">
        <f>IF(OR(F667="",G667=""),"",F667*G667)</f>
        <v/>
      </c>
      <c r="I667" s="10" t="n"/>
    </row>
    <row r="668">
      <c r="A668" s="9" t="n"/>
      <c r="B668" s="10" t="n"/>
      <c r="C668" s="11" t="n"/>
      <c r="D668" s="11" t="n"/>
      <c r="E668" s="12" t="n"/>
      <c r="F668" s="13" t="str">
        <f>IF(OR(C668="",D668=""),"",ROUND(MOD(D668-C668,1)*24-N(E668)/60,2))</f>
        <v/>
      </c>
      <c r="G668" s="14" t="str">
        <f>IF(B668="","",IFERROR(VLOOKUP(B668,EmpTable,2,FALSE),""))</f>
        <v/>
      </c>
      <c r="H668" s="14" t="str">
        <f>IF(OR(F668="",G668=""),"",F668*G668)</f>
        <v/>
      </c>
      <c r="I668" s="10" t="n"/>
    </row>
    <row r="669">
      <c r="A669" s="9" t="n"/>
      <c r="B669" s="10" t="n"/>
      <c r="C669" s="11" t="n"/>
      <c r="D669" s="11" t="n"/>
      <c r="E669" s="12" t="n"/>
      <c r="F669" s="13" t="str">
        <f>IF(OR(C669="",D669=""),"",ROUND(MOD(D669-C669,1)*24-N(E669)/60,2))</f>
        <v/>
      </c>
      <c r="G669" s="14" t="str">
        <f>IF(B669="","",IFERROR(VLOOKUP(B669,EmpTable,2,FALSE),""))</f>
        <v/>
      </c>
      <c r="H669" s="14" t="str">
        <f>IF(OR(F669="",G669=""),"",F669*G669)</f>
        <v/>
      </c>
      <c r="I669" s="10" t="n"/>
    </row>
    <row r="670">
      <c r="A670" s="9" t="n"/>
      <c r="B670" s="10" t="n"/>
      <c r="C670" s="11" t="n"/>
      <c r="D670" s="11" t="n"/>
      <c r="E670" s="12" t="n"/>
      <c r="F670" s="13" t="str">
        <f>IF(OR(C670="",D670=""),"",ROUND(MOD(D670-C670,1)*24-N(E670)/60,2))</f>
        <v/>
      </c>
      <c r="G670" s="14" t="str">
        <f>IF(B670="","",IFERROR(VLOOKUP(B670,EmpTable,2,FALSE),""))</f>
        <v/>
      </c>
      <c r="H670" s="14" t="str">
        <f>IF(OR(F670="",G670=""),"",F670*G670)</f>
        <v/>
      </c>
      <c r="I670" s="10" t="n"/>
    </row>
    <row r="671">
      <c r="A671" s="9" t="n"/>
      <c r="B671" s="10" t="n"/>
      <c r="C671" s="11" t="n"/>
      <c r="D671" s="11" t="n"/>
      <c r="E671" s="12" t="n"/>
      <c r="F671" s="13" t="str">
        <f>IF(OR(C671="",D671=""),"",ROUND(MOD(D671-C671,1)*24-N(E671)/60,2))</f>
        <v/>
      </c>
      <c r="G671" s="14" t="str">
        <f>IF(B671="","",IFERROR(VLOOKUP(B671,EmpTable,2,FALSE),""))</f>
        <v/>
      </c>
      <c r="H671" s="14" t="str">
        <f>IF(OR(F671="",G671=""),"",F671*G671)</f>
        <v/>
      </c>
      <c r="I671" s="10" t="n"/>
    </row>
    <row r="672">
      <c r="A672" s="9" t="n"/>
      <c r="B672" s="10" t="n"/>
      <c r="C672" s="11" t="n"/>
      <c r="D672" s="11" t="n"/>
      <c r="E672" s="12" t="n"/>
      <c r="F672" s="13" t="str">
        <f>IF(OR(C672="",D672=""),"",ROUND(MOD(D672-C672,1)*24-N(E672)/60,2))</f>
        <v/>
      </c>
      <c r="G672" s="14" t="str">
        <f>IF(B672="","",IFERROR(VLOOKUP(B672,EmpTable,2,FALSE),""))</f>
        <v/>
      </c>
      <c r="H672" s="14" t="str">
        <f>IF(OR(F672="",G672=""),"",F672*G672)</f>
        <v/>
      </c>
      <c r="I672" s="10" t="n"/>
    </row>
    <row r="673">
      <c r="A673" s="9" t="n"/>
      <c r="B673" s="10" t="n"/>
      <c r="C673" s="11" t="n"/>
      <c r="D673" s="11" t="n"/>
      <c r="E673" s="12" t="n"/>
      <c r="F673" s="13" t="str">
        <f>IF(OR(C673="",D673=""),"",ROUND(MOD(D673-C673,1)*24-N(E673)/60,2))</f>
        <v/>
      </c>
      <c r="G673" s="14" t="str">
        <f>IF(B673="","",IFERROR(VLOOKUP(B673,EmpTable,2,FALSE),""))</f>
        <v/>
      </c>
      <c r="H673" s="14" t="str">
        <f>IF(OR(F673="",G673=""),"",F673*G673)</f>
        <v/>
      </c>
      <c r="I673" s="10" t="n"/>
    </row>
    <row r="674">
      <c r="A674" s="9" t="n"/>
      <c r="B674" s="10" t="n"/>
      <c r="C674" s="11" t="n"/>
      <c r="D674" s="11" t="n"/>
      <c r="E674" s="12" t="n"/>
      <c r="F674" s="13" t="str">
        <f>IF(OR(C674="",D674=""),"",ROUND(MOD(D674-C674,1)*24-N(E674)/60,2))</f>
        <v/>
      </c>
      <c r="G674" s="14" t="str">
        <f>IF(B674="","",IFERROR(VLOOKUP(B674,EmpTable,2,FALSE),""))</f>
        <v/>
      </c>
      <c r="H674" s="14" t="str">
        <f>IF(OR(F674="",G674=""),"",F674*G674)</f>
        <v/>
      </c>
      <c r="I674" s="10" t="n"/>
    </row>
    <row r="675">
      <c r="A675" s="9" t="n"/>
      <c r="B675" s="10" t="n"/>
      <c r="C675" s="11" t="n"/>
      <c r="D675" s="11" t="n"/>
      <c r="E675" s="12" t="n"/>
      <c r="F675" s="13" t="str">
        <f>IF(OR(C675="",D675=""),"",ROUND(MOD(D675-C675,1)*24-N(E675)/60,2))</f>
        <v/>
      </c>
      <c r="G675" s="14" t="str">
        <f>IF(B675="","",IFERROR(VLOOKUP(B675,EmpTable,2,FALSE),""))</f>
        <v/>
      </c>
      <c r="H675" s="14" t="str">
        <f>IF(OR(F675="",G675=""),"",F675*G675)</f>
        <v/>
      </c>
      <c r="I675" s="10" t="n"/>
    </row>
    <row r="676">
      <c r="A676" s="9" t="n"/>
      <c r="B676" s="10" t="n"/>
      <c r="C676" s="11" t="n"/>
      <c r="D676" s="11" t="n"/>
      <c r="E676" s="12" t="n"/>
      <c r="F676" s="13" t="str">
        <f>IF(OR(C676="",D676=""),"",ROUND(MOD(D676-C676,1)*24-N(E676)/60,2))</f>
        <v/>
      </c>
      <c r="G676" s="14" t="str">
        <f>IF(B676="","",IFERROR(VLOOKUP(B676,EmpTable,2,FALSE),""))</f>
        <v/>
      </c>
      <c r="H676" s="14" t="str">
        <f>IF(OR(F676="",G676=""),"",F676*G676)</f>
        <v/>
      </c>
      <c r="I676" s="10" t="n"/>
    </row>
    <row r="677">
      <c r="A677" s="9" t="n"/>
      <c r="B677" s="10" t="n"/>
      <c r="C677" s="11" t="n"/>
      <c r="D677" s="11" t="n"/>
      <c r="E677" s="12" t="n"/>
      <c r="F677" s="13" t="str">
        <f>IF(OR(C677="",D677=""),"",ROUND(MOD(D677-C677,1)*24-N(E677)/60,2))</f>
        <v/>
      </c>
      <c r="G677" s="14" t="str">
        <f>IF(B677="","",IFERROR(VLOOKUP(B677,EmpTable,2,FALSE),""))</f>
        <v/>
      </c>
      <c r="H677" s="14" t="str">
        <f>IF(OR(F677="",G677=""),"",F677*G677)</f>
        <v/>
      </c>
      <c r="I677" s="10" t="n"/>
    </row>
    <row r="678">
      <c r="A678" s="9" t="n"/>
      <c r="B678" s="10" t="n"/>
      <c r="C678" s="11" t="n"/>
      <c r="D678" s="11" t="n"/>
      <c r="E678" s="12" t="n"/>
      <c r="F678" s="13" t="str">
        <f>IF(OR(C678="",D678=""),"",ROUND(MOD(D678-C678,1)*24-N(E678)/60,2))</f>
        <v/>
      </c>
      <c r="G678" s="14" t="str">
        <f>IF(B678="","",IFERROR(VLOOKUP(B678,EmpTable,2,FALSE),""))</f>
        <v/>
      </c>
      <c r="H678" s="14" t="str">
        <f>IF(OR(F678="",G678=""),"",F678*G678)</f>
        <v/>
      </c>
      <c r="I678" s="10" t="n"/>
    </row>
    <row r="679">
      <c r="A679" s="9" t="n"/>
      <c r="B679" s="10" t="n"/>
      <c r="C679" s="11" t="n"/>
      <c r="D679" s="11" t="n"/>
      <c r="E679" s="12" t="n"/>
      <c r="F679" s="13" t="str">
        <f>IF(OR(C679="",D679=""),"",ROUND(MOD(D679-C679,1)*24-N(E679)/60,2))</f>
        <v/>
      </c>
      <c r="G679" s="14" t="str">
        <f>IF(B679="","",IFERROR(VLOOKUP(B679,EmpTable,2,FALSE),""))</f>
        <v/>
      </c>
      <c r="H679" s="14" t="str">
        <f>IF(OR(F679="",G679=""),"",F679*G679)</f>
        <v/>
      </c>
      <c r="I679" s="10" t="n"/>
    </row>
    <row r="680">
      <c r="A680" s="9" t="n"/>
      <c r="B680" s="10" t="n"/>
      <c r="C680" s="11" t="n"/>
      <c r="D680" s="11" t="n"/>
      <c r="E680" s="12" t="n"/>
      <c r="F680" s="13" t="str">
        <f>IF(OR(C680="",D680=""),"",ROUND(MOD(D680-C680,1)*24-N(E680)/60,2))</f>
        <v/>
      </c>
      <c r="G680" s="14" t="str">
        <f>IF(B680="","",IFERROR(VLOOKUP(B680,EmpTable,2,FALSE),""))</f>
        <v/>
      </c>
      <c r="H680" s="14" t="str">
        <f>IF(OR(F680="",G680=""),"",F680*G680)</f>
        <v/>
      </c>
      <c r="I680" s="10" t="n"/>
    </row>
    <row r="681">
      <c r="A681" s="9" t="n"/>
      <c r="B681" s="10" t="n"/>
      <c r="C681" s="11" t="n"/>
      <c r="D681" s="11" t="n"/>
      <c r="E681" s="12" t="n"/>
      <c r="F681" s="13" t="str">
        <f>IF(OR(C681="",D681=""),"",ROUND(MOD(D681-C681,1)*24-N(E681)/60,2))</f>
        <v/>
      </c>
      <c r="G681" s="14" t="str">
        <f>IF(B681="","",IFERROR(VLOOKUP(B681,EmpTable,2,FALSE),""))</f>
        <v/>
      </c>
      <c r="H681" s="14" t="str">
        <f>IF(OR(F681="",G681=""),"",F681*G681)</f>
        <v/>
      </c>
      <c r="I681" s="10" t="n"/>
    </row>
    <row r="682">
      <c r="A682" s="9" t="n"/>
      <c r="B682" s="10" t="n"/>
      <c r="C682" s="11" t="n"/>
      <c r="D682" s="11" t="n"/>
      <c r="E682" s="12" t="n"/>
      <c r="F682" s="13" t="str">
        <f>IF(OR(C682="",D682=""),"",ROUND(MOD(D682-C682,1)*24-N(E682)/60,2))</f>
        <v/>
      </c>
      <c r="G682" s="14" t="str">
        <f>IF(B682="","",IFERROR(VLOOKUP(B682,EmpTable,2,FALSE),""))</f>
        <v/>
      </c>
      <c r="H682" s="14" t="str">
        <f>IF(OR(F682="",G682=""),"",F682*G682)</f>
        <v/>
      </c>
      <c r="I682" s="10" t="n"/>
    </row>
    <row r="683">
      <c r="A683" s="9" t="n"/>
      <c r="B683" s="10" t="n"/>
      <c r="C683" s="11" t="n"/>
      <c r="D683" s="11" t="n"/>
      <c r="E683" s="12" t="n"/>
      <c r="F683" s="13" t="str">
        <f>IF(OR(C683="",D683=""),"",ROUND(MOD(D683-C683,1)*24-N(E683)/60,2))</f>
        <v/>
      </c>
      <c r="G683" s="14" t="str">
        <f>IF(B683="","",IFERROR(VLOOKUP(B683,EmpTable,2,FALSE),""))</f>
        <v/>
      </c>
      <c r="H683" s="14" t="str">
        <f>IF(OR(F683="",G683=""),"",F683*G683)</f>
        <v/>
      </c>
      <c r="I683" s="10" t="n"/>
    </row>
    <row r="684">
      <c r="A684" s="9" t="n"/>
      <c r="B684" s="10" t="n"/>
      <c r="C684" s="11" t="n"/>
      <c r="D684" s="11" t="n"/>
      <c r="E684" s="12" t="n"/>
      <c r="F684" s="13" t="str">
        <f>IF(OR(C684="",D684=""),"",ROUND(MOD(D684-C684,1)*24-N(E684)/60,2))</f>
        <v/>
      </c>
      <c r="G684" s="14" t="str">
        <f>IF(B684="","",IFERROR(VLOOKUP(B684,EmpTable,2,FALSE),""))</f>
        <v/>
      </c>
      <c r="H684" s="14" t="str">
        <f>IF(OR(F684="",G684=""),"",F684*G684)</f>
        <v/>
      </c>
      <c r="I684" s="10" t="n"/>
    </row>
    <row r="685">
      <c r="A685" s="9" t="n"/>
      <c r="B685" s="10" t="n"/>
      <c r="C685" s="11" t="n"/>
      <c r="D685" s="11" t="n"/>
      <c r="E685" s="12" t="n"/>
      <c r="F685" s="13" t="str">
        <f>IF(OR(C685="",D685=""),"",ROUND(MOD(D685-C685,1)*24-N(E685)/60,2))</f>
        <v/>
      </c>
      <c r="G685" s="14" t="str">
        <f>IF(B685="","",IFERROR(VLOOKUP(B685,EmpTable,2,FALSE),""))</f>
        <v/>
      </c>
      <c r="H685" s="14" t="str">
        <f>IF(OR(F685="",G685=""),"",F685*G685)</f>
        <v/>
      </c>
      <c r="I685" s="10" t="n"/>
    </row>
    <row r="686">
      <c r="A686" s="9" t="n"/>
      <c r="B686" s="10" t="n"/>
      <c r="C686" s="11" t="n"/>
      <c r="D686" s="11" t="n"/>
      <c r="E686" s="12" t="n"/>
      <c r="F686" s="13" t="str">
        <f>IF(OR(C686="",D686=""),"",ROUND(MOD(D686-C686,1)*24-N(E686)/60,2))</f>
        <v/>
      </c>
      <c r="G686" s="14" t="str">
        <f>IF(B686="","",IFERROR(VLOOKUP(B686,EmpTable,2,FALSE),""))</f>
        <v/>
      </c>
      <c r="H686" s="14" t="str">
        <f>IF(OR(F686="",G686=""),"",F686*G686)</f>
        <v/>
      </c>
      <c r="I686" s="10" t="n"/>
    </row>
    <row r="687">
      <c r="A687" s="9" t="n"/>
      <c r="B687" s="10" t="n"/>
      <c r="C687" s="11" t="n"/>
      <c r="D687" s="11" t="n"/>
      <c r="E687" s="12" t="n"/>
      <c r="F687" s="13" t="str">
        <f>IF(OR(C687="",D687=""),"",ROUND(MOD(D687-C687,1)*24-N(E687)/60,2))</f>
        <v/>
      </c>
      <c r="G687" s="14" t="str">
        <f>IF(B687="","",IFERROR(VLOOKUP(B687,EmpTable,2,FALSE),""))</f>
        <v/>
      </c>
      <c r="H687" s="14" t="str">
        <f>IF(OR(F687="",G687=""),"",F687*G687)</f>
        <v/>
      </c>
      <c r="I687" s="10" t="n"/>
    </row>
    <row r="688">
      <c r="A688" s="9" t="n"/>
      <c r="B688" s="10" t="n"/>
      <c r="C688" s="11" t="n"/>
      <c r="D688" s="11" t="n"/>
      <c r="E688" s="12" t="n"/>
      <c r="F688" s="13" t="str">
        <f>IF(OR(C688="",D688=""),"",ROUND(MOD(D688-C688,1)*24-N(E688)/60,2))</f>
        <v/>
      </c>
      <c r="G688" s="14" t="str">
        <f>IF(B688="","",IFERROR(VLOOKUP(B688,EmpTable,2,FALSE),""))</f>
        <v/>
      </c>
      <c r="H688" s="14" t="str">
        <f>IF(OR(F688="",G688=""),"",F688*G688)</f>
        <v/>
      </c>
      <c r="I688" s="10" t="n"/>
    </row>
    <row r="689">
      <c r="A689" s="9" t="n"/>
      <c r="B689" s="10" t="n"/>
      <c r="C689" s="11" t="n"/>
      <c r="D689" s="11" t="n"/>
      <c r="E689" s="12" t="n"/>
      <c r="F689" s="13" t="str">
        <f>IF(OR(C689="",D689=""),"",ROUND(MOD(D689-C689,1)*24-N(E689)/60,2))</f>
        <v/>
      </c>
      <c r="G689" s="14" t="str">
        <f>IF(B689="","",IFERROR(VLOOKUP(B689,EmpTable,2,FALSE),""))</f>
        <v/>
      </c>
      <c r="H689" s="14" t="str">
        <f>IF(OR(F689="",G689=""),"",F689*G689)</f>
        <v/>
      </c>
      <c r="I689" s="10" t="n"/>
    </row>
    <row r="690">
      <c r="A690" s="9" t="n"/>
      <c r="B690" s="10" t="n"/>
      <c r="C690" s="11" t="n"/>
      <c r="D690" s="11" t="n"/>
      <c r="E690" s="12" t="n"/>
      <c r="F690" s="13" t="str">
        <f>IF(OR(C690="",D690=""),"",ROUND(MOD(D690-C690,1)*24-N(E690)/60,2))</f>
        <v/>
      </c>
      <c r="G690" s="14" t="str">
        <f>IF(B690="","",IFERROR(VLOOKUP(B690,EmpTable,2,FALSE),""))</f>
        <v/>
      </c>
      <c r="H690" s="14" t="str">
        <f>IF(OR(F690="",G690=""),"",F690*G690)</f>
        <v/>
      </c>
      <c r="I690" s="10" t="n"/>
    </row>
    <row r="691">
      <c r="A691" s="9" t="n"/>
      <c r="B691" s="10" t="n"/>
      <c r="C691" s="11" t="n"/>
      <c r="D691" s="11" t="n"/>
      <c r="E691" s="12" t="n"/>
      <c r="F691" s="13" t="str">
        <f>IF(OR(C691="",D691=""),"",ROUND(MOD(D691-C691,1)*24-N(E691)/60,2))</f>
        <v/>
      </c>
      <c r="G691" s="14" t="str">
        <f>IF(B691="","",IFERROR(VLOOKUP(B691,EmpTable,2,FALSE),""))</f>
        <v/>
      </c>
      <c r="H691" s="14" t="str">
        <f>IF(OR(F691="",G691=""),"",F691*G691)</f>
        <v/>
      </c>
      <c r="I691" s="10" t="n"/>
    </row>
    <row r="692">
      <c r="A692" s="9" t="n"/>
      <c r="B692" s="10" t="n"/>
      <c r="C692" s="11" t="n"/>
      <c r="D692" s="11" t="n"/>
      <c r="E692" s="12" t="n"/>
      <c r="F692" s="13" t="str">
        <f>IF(OR(C692="",D692=""),"",ROUND(MOD(D692-C692,1)*24-N(E692)/60,2))</f>
        <v/>
      </c>
      <c r="G692" s="14" t="str">
        <f>IF(B692="","",IFERROR(VLOOKUP(B692,EmpTable,2,FALSE),""))</f>
        <v/>
      </c>
      <c r="H692" s="14" t="str">
        <f>IF(OR(F692="",G692=""),"",F692*G692)</f>
        <v/>
      </c>
      <c r="I692" s="10" t="n"/>
    </row>
    <row r="693">
      <c r="A693" s="9" t="n"/>
      <c r="B693" s="10" t="n"/>
      <c r="C693" s="11" t="n"/>
      <c r="D693" s="11" t="n"/>
      <c r="E693" s="12" t="n"/>
      <c r="F693" s="13" t="str">
        <f>IF(OR(C693="",D693=""),"",ROUND(MOD(D693-C693,1)*24-N(E693)/60,2))</f>
        <v/>
      </c>
      <c r="G693" s="14" t="str">
        <f>IF(B693="","",IFERROR(VLOOKUP(B693,EmpTable,2,FALSE),""))</f>
        <v/>
      </c>
      <c r="H693" s="14" t="str">
        <f>IF(OR(F693="",G693=""),"",F693*G693)</f>
        <v/>
      </c>
      <c r="I693" s="10" t="n"/>
    </row>
    <row r="694">
      <c r="A694" s="9" t="n"/>
      <c r="B694" s="10" t="n"/>
      <c r="C694" s="11" t="n"/>
      <c r="D694" s="11" t="n"/>
      <c r="E694" s="12" t="n"/>
      <c r="F694" s="13" t="str">
        <f>IF(OR(C694="",D694=""),"",ROUND(MOD(D694-C694,1)*24-N(E694)/60,2))</f>
        <v/>
      </c>
      <c r="G694" s="14" t="str">
        <f>IF(B694="","",IFERROR(VLOOKUP(B694,EmpTable,2,FALSE),""))</f>
        <v/>
      </c>
      <c r="H694" s="14" t="str">
        <f>IF(OR(F694="",G694=""),"",F694*G694)</f>
        <v/>
      </c>
      <c r="I694" s="10" t="n"/>
    </row>
    <row r="695">
      <c r="A695" s="9" t="n"/>
      <c r="B695" s="10" t="n"/>
      <c r="C695" s="11" t="n"/>
      <c r="D695" s="11" t="n"/>
      <c r="E695" s="12" t="n"/>
      <c r="F695" s="13" t="str">
        <f>IF(OR(C695="",D695=""),"",ROUND(MOD(D695-C695,1)*24-N(E695)/60,2))</f>
        <v/>
      </c>
      <c r="G695" s="14" t="str">
        <f>IF(B695="","",IFERROR(VLOOKUP(B695,EmpTable,2,FALSE),""))</f>
        <v/>
      </c>
      <c r="H695" s="14" t="str">
        <f>IF(OR(F695="",G695=""),"",F695*G695)</f>
        <v/>
      </c>
      <c r="I695" s="10" t="n"/>
    </row>
    <row r="696">
      <c r="A696" s="9" t="n"/>
      <c r="B696" s="10" t="n"/>
      <c r="C696" s="11" t="n"/>
      <c r="D696" s="11" t="n"/>
      <c r="E696" s="12" t="n"/>
      <c r="F696" s="13" t="str">
        <f>IF(OR(C696="",D696=""),"",ROUND(MOD(D696-C696,1)*24-N(E696)/60,2))</f>
        <v/>
      </c>
      <c r="G696" s="14" t="str">
        <f>IF(B696="","",IFERROR(VLOOKUP(B696,EmpTable,2,FALSE),""))</f>
        <v/>
      </c>
      <c r="H696" s="14" t="str">
        <f>IF(OR(F696="",G696=""),"",F696*G696)</f>
        <v/>
      </c>
      <c r="I696" s="10" t="n"/>
    </row>
    <row r="697">
      <c r="A697" s="9" t="n"/>
      <c r="B697" s="10" t="n"/>
      <c r="C697" s="11" t="n"/>
      <c r="D697" s="11" t="n"/>
      <c r="E697" s="12" t="n"/>
      <c r="F697" s="13" t="str">
        <f>IF(OR(C697="",D697=""),"",ROUND(MOD(D697-C697,1)*24-N(E697)/60,2))</f>
        <v/>
      </c>
      <c r="G697" s="14" t="str">
        <f>IF(B697="","",IFERROR(VLOOKUP(B697,EmpTable,2,FALSE),""))</f>
        <v/>
      </c>
      <c r="H697" s="14" t="str">
        <f>IF(OR(F697="",G697=""),"",F697*G697)</f>
        <v/>
      </c>
      <c r="I697" s="10" t="n"/>
    </row>
    <row r="698">
      <c r="A698" s="9" t="n"/>
      <c r="B698" s="10" t="n"/>
      <c r="C698" s="11" t="n"/>
      <c r="D698" s="11" t="n"/>
      <c r="E698" s="12" t="n"/>
      <c r="F698" s="13" t="str">
        <f>IF(OR(C698="",D698=""),"",ROUND(MOD(D698-C698,1)*24-N(E698)/60,2))</f>
        <v/>
      </c>
      <c r="G698" s="14" t="str">
        <f>IF(B698="","",IFERROR(VLOOKUP(B698,EmpTable,2,FALSE),""))</f>
        <v/>
      </c>
      <c r="H698" s="14" t="str">
        <f>IF(OR(F698="",G698=""),"",F698*G698)</f>
        <v/>
      </c>
      <c r="I698" s="10" t="n"/>
    </row>
    <row r="699">
      <c r="A699" s="9" t="n"/>
      <c r="B699" s="10" t="n"/>
      <c r="C699" s="11" t="n"/>
      <c r="D699" s="11" t="n"/>
      <c r="E699" s="12" t="n"/>
      <c r="F699" s="13" t="str">
        <f>IF(OR(C699="",D699=""),"",ROUND(MOD(D699-C699,1)*24-N(E699)/60,2))</f>
        <v/>
      </c>
      <c r="G699" s="14" t="str">
        <f>IF(B699="","",IFERROR(VLOOKUP(B699,EmpTable,2,FALSE),""))</f>
        <v/>
      </c>
      <c r="H699" s="14" t="str">
        <f>IF(OR(F699="",G699=""),"",F699*G699)</f>
        <v/>
      </c>
      <c r="I699" s="10" t="n"/>
    </row>
    <row r="700">
      <c r="A700" s="9" t="n"/>
      <c r="B700" s="10" t="n"/>
      <c r="C700" s="11" t="n"/>
      <c r="D700" s="11" t="n"/>
      <c r="E700" s="12" t="n"/>
      <c r="F700" s="13" t="str">
        <f>IF(OR(C700="",D700=""),"",ROUND(MOD(D700-C700,1)*24-N(E700)/60,2))</f>
        <v/>
      </c>
      <c r="G700" s="14" t="str">
        <f>IF(B700="","",IFERROR(VLOOKUP(B700,EmpTable,2,FALSE),""))</f>
        <v/>
      </c>
      <c r="H700" s="14" t="str">
        <f>IF(OR(F700="",G700=""),"",F700*G700)</f>
        <v/>
      </c>
      <c r="I700" s="10" t="n"/>
    </row>
    <row r="701">
      <c r="A701" s="9" t="n"/>
      <c r="B701" s="10" t="n"/>
      <c r="C701" s="11" t="n"/>
      <c r="D701" s="11" t="n"/>
      <c r="E701" s="12" t="n"/>
      <c r="F701" s="13" t="str">
        <f>IF(OR(C701="",D701=""),"",ROUND(MOD(D701-C701,1)*24-N(E701)/60,2))</f>
        <v/>
      </c>
      <c r="G701" s="14" t="str">
        <f>IF(B701="","",IFERROR(VLOOKUP(B701,EmpTable,2,FALSE),""))</f>
        <v/>
      </c>
      <c r="H701" s="14" t="str">
        <f>IF(OR(F701="",G701=""),"",F701*G701)</f>
        <v/>
      </c>
      <c r="I701" s="10" t="n"/>
    </row>
    <row r="702">
      <c r="A702" s="9" t="n"/>
      <c r="B702" s="10" t="n"/>
      <c r="C702" s="11" t="n"/>
      <c r="D702" s="11" t="n"/>
      <c r="E702" s="12" t="n"/>
      <c r="F702" s="13" t="str">
        <f>IF(OR(C702="",D702=""),"",ROUND(MOD(D702-C702,1)*24-N(E702)/60,2))</f>
        <v/>
      </c>
      <c r="G702" s="14" t="str">
        <f>IF(B702="","",IFERROR(VLOOKUP(B702,EmpTable,2,FALSE),""))</f>
        <v/>
      </c>
      <c r="H702" s="14" t="str">
        <f>IF(OR(F702="",G702=""),"",F702*G702)</f>
        <v/>
      </c>
      <c r="I702" s="10" t="n"/>
    </row>
    <row r="703">
      <c r="A703" s="9" t="n"/>
      <c r="B703" s="10" t="n"/>
      <c r="C703" s="11" t="n"/>
      <c r="D703" s="11" t="n"/>
      <c r="E703" s="12" t="n"/>
      <c r="F703" s="13" t="str">
        <f>IF(OR(C703="",D703=""),"",ROUND(MOD(D703-C703,1)*24-N(E703)/60,2))</f>
        <v/>
      </c>
      <c r="G703" s="14" t="str">
        <f>IF(B703="","",IFERROR(VLOOKUP(B703,EmpTable,2,FALSE),""))</f>
        <v/>
      </c>
      <c r="H703" s="14" t="str">
        <f>IF(OR(F703="",G703=""),"",F703*G703)</f>
        <v/>
      </c>
      <c r="I703" s="10" t="n"/>
    </row>
    <row r="704">
      <c r="A704" s="9" t="n"/>
      <c r="B704" s="10" t="n"/>
      <c r="C704" s="11" t="n"/>
      <c r="D704" s="11" t="n"/>
      <c r="E704" s="12" t="n"/>
      <c r="F704" s="13" t="str">
        <f>IF(OR(C704="",D704=""),"",ROUND(MOD(D704-C704,1)*24-N(E704)/60,2))</f>
        <v/>
      </c>
      <c r="G704" s="14" t="str">
        <f>IF(B704="","",IFERROR(VLOOKUP(B704,EmpTable,2,FALSE),""))</f>
        <v/>
      </c>
      <c r="H704" s="14" t="str">
        <f>IF(OR(F704="",G704=""),"",F704*G704)</f>
        <v/>
      </c>
      <c r="I704" s="10" t="n"/>
    </row>
    <row r="705">
      <c r="A705" s="9" t="n"/>
      <c r="B705" s="10" t="n"/>
      <c r="C705" s="11" t="n"/>
      <c r="D705" s="11" t="n"/>
      <c r="E705" s="12" t="n"/>
      <c r="F705" s="13" t="str">
        <f>IF(OR(C705="",D705=""),"",ROUND(MOD(D705-C705,1)*24-N(E705)/60,2))</f>
        <v/>
      </c>
      <c r="G705" s="14" t="str">
        <f>IF(B705="","",IFERROR(VLOOKUP(B705,EmpTable,2,FALSE),""))</f>
        <v/>
      </c>
      <c r="H705" s="14" t="str">
        <f>IF(OR(F705="",G705=""),"",F705*G705)</f>
        <v/>
      </c>
      <c r="I705" s="10" t="n"/>
    </row>
    <row r="706">
      <c r="A706" s="9" t="n"/>
      <c r="B706" s="10" t="n"/>
      <c r="C706" s="11" t="n"/>
      <c r="D706" s="11" t="n"/>
      <c r="E706" s="12" t="n"/>
      <c r="F706" s="13" t="str">
        <f>IF(OR(C706="",D706=""),"",ROUND(MOD(D706-C706,1)*24-N(E706)/60,2))</f>
        <v/>
      </c>
      <c r="G706" s="14" t="str">
        <f>IF(B706="","",IFERROR(VLOOKUP(B706,EmpTable,2,FALSE),""))</f>
        <v/>
      </c>
      <c r="H706" s="14" t="str">
        <f>IF(OR(F706="",G706=""),"",F706*G706)</f>
        <v/>
      </c>
      <c r="I706" s="10" t="n"/>
    </row>
  </sheetData>
  <autoFilter ref="A6:I706"/>
  <mergeCells count="3">
    <mergeCell ref="A1:I1"/>
    <mergeCell ref="D4:E4"/>
    <mergeCell ref="A2:I2"/>
  </mergeCells>
  <dataValidations count="1">
    <dataValidation sqref="B7:B706" showDropDown="0" showInputMessage="0" showErrorMessage="0" allowBlank="1" errorTitle="Not in the list" error="Pick from the list (you can edit it on the Lists sheet)" type="list" errorStyle="warning">
      <formula1>=EmpNames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rightToLeft="0" zoomScale="10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6" customWidth="1" min="4" max="4"/>
    <col width="14" customWidth="1" min="5" max="5"/>
  </cols>
  <sheetData>
    <row r="1" ht="34" customHeight="1">
      <c r="A1" s="1" t="inlineStr">
        <is>
          <t>Employees &amp; rates</t>
        </is>
      </c>
      <c r="B1" s="2" t="n"/>
      <c r="C1" s="2" t="n"/>
      <c r="D1" s="2" t="n"/>
      <c r="E1" s="2" t="n"/>
    </row>
    <row r="2" ht="30" customHeight="1">
      <c r="A2" s="3" t="inlineStr">
        <is>
          <t>List employees and hourly rates here. On the Hours sheet pick an employee and the rate fills in. Choose a month to see monthly totals.</t>
        </is>
      </c>
    </row>
    <row r="4">
      <c r="A4" s="15" t="inlineStr">
        <is>
          <t>Month to sum:</t>
        </is>
      </c>
      <c r="B4" s="16" t="n">
        <v>46296</v>
      </c>
    </row>
    <row r="6" ht="32" customHeight="1">
      <c r="A6" s="8" t="inlineStr">
        <is>
          <t>Employee</t>
        </is>
      </c>
      <c r="B6" s="8" t="inlineStr">
        <is>
          <t>Hourly rate</t>
        </is>
      </c>
      <c r="C6" s="8" t="inlineStr">
        <is>
          <t>Hours this month</t>
        </is>
      </c>
      <c r="D6" s="8" t="inlineStr">
        <is>
          <t>Pay this month</t>
        </is>
      </c>
      <c r="E6" s="8" t="inlineStr">
        <is>
          <t>Shifts this month</t>
        </is>
      </c>
    </row>
    <row r="7">
      <c r="A7" s="10" t="inlineStr">
        <is>
          <t>Noa</t>
        </is>
      </c>
      <c r="B7" s="17" t="n">
        <v>55</v>
      </c>
      <c r="C7" s="18">
        <f>IF($A7="","",SUMIFS('Hours'!$F$7:$F$706,'Hours'!$B$7:$B$706,$A7,'Hours'!$A$7:$A$706,"&gt;="&amp;$B$4,'Hours'!$A$7:$A$706,"&lt;"&amp;DATE(YEAR($B$4),MONTH($B$4)+1,1)))</f>
        <v>14.5</v>
      </c>
      <c r="D7" s="19">
        <f>IF($A7="","",SUMIFS('Hours'!$H$7:$H$706,'Hours'!$B$7:$B$706,$A7,'Hours'!$A$7:$A$706,"&gt;="&amp;$B$4,'Hours'!$A$7:$A$706,"&lt;"&amp;DATE(YEAR($B$4),MONTH($B$4)+1,1)))</f>
        <v>797.5</v>
      </c>
      <c r="E7" s="20">
        <f>IF($A7="","",COUNTIFS('Hours'!$B$7:$B$706,$A7,'Hours'!$A$7:$A$706,"&gt;="&amp;$B$4,'Hours'!$A$7:$A$706,"&lt;"&amp;DATE(YEAR($B$4),MONTH($B$4)+1,1)))</f>
        <v>2</v>
      </c>
    </row>
    <row r="8">
      <c r="A8" s="10" t="inlineStr">
        <is>
          <t>Uri</t>
        </is>
      </c>
      <c r="B8" s="17" t="n">
        <v>60</v>
      </c>
      <c r="C8" s="18">
        <f>IF($A8="","",SUMIFS('Hours'!$F$7:$F$706,'Hours'!$B$7:$B$706,$A8,'Hours'!$A$7:$A$706,"&gt;="&amp;$B$4,'Hours'!$A$7:$A$706,"&lt;"&amp;DATE(YEAR($B$4),MONTH($B$4)+1,1)))</f>
        <v>12.5</v>
      </c>
      <c r="D8" s="19">
        <f>IF($A8="","",SUMIFS('Hours'!$H$7:$H$706,'Hours'!$B$7:$B$706,$A8,'Hours'!$A$7:$A$706,"&gt;="&amp;$B$4,'Hours'!$A$7:$A$706,"&lt;"&amp;DATE(YEAR($B$4),MONTH($B$4)+1,1)))</f>
        <v>750</v>
      </c>
      <c r="E8" s="20">
        <f>IF($A8="","",COUNTIFS('Hours'!$B$7:$B$706,$A8,'Hours'!$A$7:$A$706,"&gt;="&amp;$B$4,'Hours'!$A$7:$A$706,"&lt;"&amp;DATE(YEAR($B$4),MONTH($B$4)+1,1)))</f>
        <v>2</v>
      </c>
    </row>
    <row r="9">
      <c r="A9" s="10" t="inlineStr">
        <is>
          <t>Maya</t>
        </is>
      </c>
      <c r="B9" s="17" t="n">
        <v>50</v>
      </c>
      <c r="C9" s="18">
        <f>IF($A9="","",SUMIFS('Hours'!$F$7:$F$706,'Hours'!$B$7:$B$706,$A9,'Hours'!$A$7:$A$706,"&gt;="&amp;$B$4,'Hours'!$A$7:$A$706,"&lt;"&amp;DATE(YEAR($B$4),MONTH($B$4)+1,1)))</f>
        <v>4.75</v>
      </c>
      <c r="D9" s="19">
        <f>IF($A9="","",SUMIFS('Hours'!$H$7:$H$706,'Hours'!$B$7:$B$706,$A9,'Hours'!$A$7:$A$706,"&gt;="&amp;$B$4,'Hours'!$A$7:$A$706,"&lt;"&amp;DATE(YEAR($B$4),MONTH($B$4)+1,1)))</f>
        <v>237.5</v>
      </c>
      <c r="E9" s="20">
        <f>IF($A9="","",COUNTIFS('Hours'!$B$7:$B$706,$A9,'Hours'!$A$7:$A$706,"&gt;="&amp;$B$4,'Hours'!$A$7:$A$706,"&lt;"&amp;DATE(YEAR($B$4),MONTH($B$4)+1,1)))</f>
        <v>1</v>
      </c>
    </row>
    <row r="10">
      <c r="A10" s="10" t="n"/>
      <c r="B10" s="21" t="n"/>
      <c r="C10" s="18" t="str">
        <f>IF($A10="","",SUMIFS('Hours'!$F$7:$F$706,'Hours'!$B$7:$B$706,$A10,'Hours'!$A$7:$A$706,"&gt;="&amp;$B$4,'Hours'!$A$7:$A$706,"&lt;"&amp;DATE(YEAR($B$4),MONTH($B$4)+1,1)))</f>
        <v/>
      </c>
      <c r="D10" s="19" t="str">
        <f>IF($A10="","",SUMIFS('Hours'!$H$7:$H$706,'Hours'!$B$7:$B$706,$A10,'Hours'!$A$7:$A$706,"&gt;="&amp;$B$4,'Hours'!$A$7:$A$706,"&lt;"&amp;DATE(YEAR($B$4),MONTH($B$4)+1,1)))</f>
        <v/>
      </c>
      <c r="E10" s="20" t="str">
        <f>IF($A10="","",COUNTIFS('Hours'!$B$7:$B$706,$A10,'Hours'!$A$7:$A$706,"&gt;="&amp;$B$4,'Hours'!$A$7:$A$706,"&lt;"&amp;DATE(YEAR($B$4),MONTH($B$4)+1,1)))</f>
        <v/>
      </c>
    </row>
    <row r="11">
      <c r="A11" s="10" t="n"/>
      <c r="B11" s="21" t="n"/>
      <c r="C11" s="18" t="str">
        <f>IF($A11="","",SUMIFS('Hours'!$F$7:$F$706,'Hours'!$B$7:$B$706,$A11,'Hours'!$A$7:$A$706,"&gt;="&amp;$B$4,'Hours'!$A$7:$A$706,"&lt;"&amp;DATE(YEAR($B$4),MONTH($B$4)+1,1)))</f>
        <v/>
      </c>
      <c r="D11" s="19" t="str">
        <f>IF($A11="","",SUMIFS('Hours'!$H$7:$H$706,'Hours'!$B$7:$B$706,$A11,'Hours'!$A$7:$A$706,"&gt;="&amp;$B$4,'Hours'!$A$7:$A$706,"&lt;"&amp;DATE(YEAR($B$4),MONTH($B$4)+1,1)))</f>
        <v/>
      </c>
      <c r="E11" s="20" t="str">
        <f>IF($A11="","",COUNTIFS('Hours'!$B$7:$B$706,$A11,'Hours'!$A$7:$A$706,"&gt;="&amp;$B$4,'Hours'!$A$7:$A$706,"&lt;"&amp;DATE(YEAR($B$4),MONTH($B$4)+1,1)))</f>
        <v/>
      </c>
    </row>
    <row r="12">
      <c r="A12" s="10" t="n"/>
      <c r="B12" s="21" t="n"/>
      <c r="C12" s="18" t="str">
        <f>IF($A12="","",SUMIFS('Hours'!$F$7:$F$706,'Hours'!$B$7:$B$706,$A12,'Hours'!$A$7:$A$706,"&gt;="&amp;$B$4,'Hours'!$A$7:$A$706,"&lt;"&amp;DATE(YEAR($B$4),MONTH($B$4)+1,1)))</f>
        <v/>
      </c>
      <c r="D12" s="19" t="str">
        <f>IF($A12="","",SUMIFS('Hours'!$H$7:$H$706,'Hours'!$B$7:$B$706,$A12,'Hours'!$A$7:$A$706,"&gt;="&amp;$B$4,'Hours'!$A$7:$A$706,"&lt;"&amp;DATE(YEAR($B$4),MONTH($B$4)+1,1)))</f>
        <v/>
      </c>
      <c r="E12" s="20" t="str">
        <f>IF($A12="","",COUNTIFS('Hours'!$B$7:$B$706,$A12,'Hours'!$A$7:$A$706,"&gt;="&amp;$B$4,'Hours'!$A$7:$A$706,"&lt;"&amp;DATE(YEAR($B$4),MONTH($B$4)+1,1)))</f>
        <v/>
      </c>
    </row>
    <row r="13">
      <c r="A13" s="10" t="n"/>
      <c r="B13" s="21" t="n"/>
      <c r="C13" s="18" t="str">
        <f>IF($A13="","",SUMIFS('Hours'!$F$7:$F$706,'Hours'!$B$7:$B$706,$A13,'Hours'!$A$7:$A$706,"&gt;="&amp;$B$4,'Hours'!$A$7:$A$706,"&lt;"&amp;DATE(YEAR($B$4),MONTH($B$4)+1,1)))</f>
        <v/>
      </c>
      <c r="D13" s="19" t="str">
        <f>IF($A13="","",SUMIFS('Hours'!$H$7:$H$706,'Hours'!$B$7:$B$706,$A13,'Hours'!$A$7:$A$706,"&gt;="&amp;$B$4,'Hours'!$A$7:$A$706,"&lt;"&amp;DATE(YEAR($B$4),MONTH($B$4)+1,1)))</f>
        <v/>
      </c>
      <c r="E13" s="20" t="str">
        <f>IF($A13="","",COUNTIFS('Hours'!$B$7:$B$706,$A13,'Hours'!$A$7:$A$706,"&gt;="&amp;$B$4,'Hours'!$A$7:$A$706,"&lt;"&amp;DATE(YEAR($B$4),MONTH($B$4)+1,1)))</f>
        <v/>
      </c>
    </row>
    <row r="14">
      <c r="A14" s="10" t="n"/>
      <c r="B14" s="21" t="n"/>
      <c r="C14" s="18" t="str">
        <f>IF($A14="","",SUMIFS('Hours'!$F$7:$F$706,'Hours'!$B$7:$B$706,$A14,'Hours'!$A$7:$A$706,"&gt;="&amp;$B$4,'Hours'!$A$7:$A$706,"&lt;"&amp;DATE(YEAR($B$4),MONTH($B$4)+1,1)))</f>
        <v/>
      </c>
      <c r="D14" s="19" t="str">
        <f>IF($A14="","",SUMIFS('Hours'!$H$7:$H$706,'Hours'!$B$7:$B$706,$A14,'Hours'!$A$7:$A$706,"&gt;="&amp;$B$4,'Hours'!$A$7:$A$706,"&lt;"&amp;DATE(YEAR($B$4),MONTH($B$4)+1,1)))</f>
        <v/>
      </c>
      <c r="E14" s="20" t="str">
        <f>IF($A14="","",COUNTIFS('Hours'!$B$7:$B$706,$A14,'Hours'!$A$7:$A$706,"&gt;="&amp;$B$4,'Hours'!$A$7:$A$706,"&lt;"&amp;DATE(YEAR($B$4),MONTH($B$4)+1,1)))</f>
        <v/>
      </c>
    </row>
    <row r="15">
      <c r="A15" s="10" t="n"/>
      <c r="B15" s="21" t="n"/>
      <c r="C15" s="18" t="str">
        <f>IF($A15="","",SUMIFS('Hours'!$F$7:$F$706,'Hours'!$B$7:$B$706,$A15,'Hours'!$A$7:$A$706,"&gt;="&amp;$B$4,'Hours'!$A$7:$A$706,"&lt;"&amp;DATE(YEAR($B$4),MONTH($B$4)+1,1)))</f>
        <v/>
      </c>
      <c r="D15" s="19" t="str">
        <f>IF($A15="","",SUMIFS('Hours'!$H$7:$H$706,'Hours'!$B$7:$B$706,$A15,'Hours'!$A$7:$A$706,"&gt;="&amp;$B$4,'Hours'!$A$7:$A$706,"&lt;"&amp;DATE(YEAR($B$4),MONTH($B$4)+1,1)))</f>
        <v/>
      </c>
      <c r="E15" s="20" t="str">
        <f>IF($A15="","",COUNTIFS('Hours'!$B$7:$B$706,$A15,'Hours'!$A$7:$A$706,"&gt;="&amp;$B$4,'Hours'!$A$7:$A$706,"&lt;"&amp;DATE(YEAR($B$4),MONTH($B$4)+1,1)))</f>
        <v/>
      </c>
    </row>
    <row r="16">
      <c r="A16" s="10" t="n"/>
      <c r="B16" s="21" t="n"/>
      <c r="C16" s="18" t="str">
        <f>IF($A16="","",SUMIFS('Hours'!$F$7:$F$706,'Hours'!$B$7:$B$706,$A16,'Hours'!$A$7:$A$706,"&gt;="&amp;$B$4,'Hours'!$A$7:$A$706,"&lt;"&amp;DATE(YEAR($B$4),MONTH($B$4)+1,1)))</f>
        <v/>
      </c>
      <c r="D16" s="19" t="str">
        <f>IF($A16="","",SUMIFS('Hours'!$H$7:$H$706,'Hours'!$B$7:$B$706,$A16,'Hours'!$A$7:$A$706,"&gt;="&amp;$B$4,'Hours'!$A$7:$A$706,"&lt;"&amp;DATE(YEAR($B$4),MONTH($B$4)+1,1)))</f>
        <v/>
      </c>
      <c r="E16" s="20" t="str">
        <f>IF($A16="","",COUNTIFS('Hours'!$B$7:$B$706,$A16,'Hours'!$A$7:$A$706,"&gt;="&amp;$B$4,'Hours'!$A$7:$A$706,"&lt;"&amp;DATE(YEAR($B$4),MONTH($B$4)+1,1)))</f>
        <v/>
      </c>
    </row>
    <row r="17">
      <c r="A17" s="10" t="n"/>
      <c r="B17" s="21" t="n"/>
      <c r="C17" s="18" t="str">
        <f>IF($A17="","",SUMIFS('Hours'!$F$7:$F$706,'Hours'!$B$7:$B$706,$A17,'Hours'!$A$7:$A$706,"&gt;="&amp;$B$4,'Hours'!$A$7:$A$706,"&lt;"&amp;DATE(YEAR($B$4),MONTH($B$4)+1,1)))</f>
        <v/>
      </c>
      <c r="D17" s="19" t="str">
        <f>IF($A17="","",SUMIFS('Hours'!$H$7:$H$706,'Hours'!$B$7:$B$706,$A17,'Hours'!$A$7:$A$706,"&gt;="&amp;$B$4,'Hours'!$A$7:$A$706,"&lt;"&amp;DATE(YEAR($B$4),MONTH($B$4)+1,1)))</f>
        <v/>
      </c>
      <c r="E17" s="20" t="str">
        <f>IF($A17="","",COUNTIFS('Hours'!$B$7:$B$706,$A17,'Hours'!$A$7:$A$706,"&gt;="&amp;$B$4,'Hours'!$A$7:$A$706,"&lt;"&amp;DATE(YEAR($B$4),MONTH($B$4)+1,1)))</f>
        <v/>
      </c>
    </row>
    <row r="18">
      <c r="A18" s="10" t="n"/>
      <c r="B18" s="21" t="n"/>
      <c r="C18" s="18" t="str">
        <f>IF($A18="","",SUMIFS('Hours'!$F$7:$F$706,'Hours'!$B$7:$B$706,$A18,'Hours'!$A$7:$A$706,"&gt;="&amp;$B$4,'Hours'!$A$7:$A$706,"&lt;"&amp;DATE(YEAR($B$4),MONTH($B$4)+1,1)))</f>
        <v/>
      </c>
      <c r="D18" s="19" t="str">
        <f>IF($A18="","",SUMIFS('Hours'!$H$7:$H$706,'Hours'!$B$7:$B$706,$A18,'Hours'!$A$7:$A$706,"&gt;="&amp;$B$4,'Hours'!$A$7:$A$706,"&lt;"&amp;DATE(YEAR($B$4),MONTH($B$4)+1,1)))</f>
        <v/>
      </c>
      <c r="E18" s="20" t="str">
        <f>IF($A18="","",COUNTIFS('Hours'!$B$7:$B$706,$A18,'Hours'!$A$7:$A$706,"&gt;="&amp;$B$4,'Hours'!$A$7:$A$706,"&lt;"&amp;DATE(YEAR($B$4),MONTH($B$4)+1,1)))</f>
        <v/>
      </c>
    </row>
    <row r="19">
      <c r="A19" s="10" t="n"/>
      <c r="B19" s="21" t="n"/>
      <c r="C19" s="18" t="str">
        <f>IF($A19="","",SUMIFS('Hours'!$F$7:$F$706,'Hours'!$B$7:$B$706,$A19,'Hours'!$A$7:$A$706,"&gt;="&amp;$B$4,'Hours'!$A$7:$A$706,"&lt;"&amp;DATE(YEAR($B$4),MONTH($B$4)+1,1)))</f>
        <v/>
      </c>
      <c r="D19" s="19" t="str">
        <f>IF($A19="","",SUMIFS('Hours'!$H$7:$H$706,'Hours'!$B$7:$B$706,$A19,'Hours'!$A$7:$A$706,"&gt;="&amp;$B$4,'Hours'!$A$7:$A$706,"&lt;"&amp;DATE(YEAR($B$4),MONTH($B$4)+1,1)))</f>
        <v/>
      </c>
      <c r="E19" s="20" t="str">
        <f>IF($A19="","",COUNTIFS('Hours'!$B$7:$B$706,$A19,'Hours'!$A$7:$A$706,"&gt;="&amp;$B$4,'Hours'!$A$7:$A$706,"&lt;"&amp;DATE(YEAR($B$4),MONTH($B$4)+1,1)))</f>
        <v/>
      </c>
    </row>
    <row r="20">
      <c r="A20" s="10" t="n"/>
      <c r="B20" s="21" t="n"/>
      <c r="C20" s="18" t="str">
        <f>IF($A20="","",SUMIFS('Hours'!$F$7:$F$706,'Hours'!$B$7:$B$706,$A20,'Hours'!$A$7:$A$706,"&gt;="&amp;$B$4,'Hours'!$A$7:$A$706,"&lt;"&amp;DATE(YEAR($B$4),MONTH($B$4)+1,1)))</f>
        <v/>
      </c>
      <c r="D20" s="19" t="str">
        <f>IF($A20="","",SUMIFS('Hours'!$H$7:$H$706,'Hours'!$B$7:$B$706,$A20,'Hours'!$A$7:$A$706,"&gt;="&amp;$B$4,'Hours'!$A$7:$A$706,"&lt;"&amp;DATE(YEAR($B$4),MONTH($B$4)+1,1)))</f>
        <v/>
      </c>
      <c r="E20" s="20" t="str">
        <f>IF($A20="","",COUNTIFS('Hours'!$B$7:$B$706,$A20,'Hours'!$A$7:$A$706,"&gt;="&amp;$B$4,'Hours'!$A$7:$A$706,"&lt;"&amp;DATE(YEAR($B$4),MONTH($B$4)+1,1)))</f>
        <v/>
      </c>
    </row>
    <row r="21">
      <c r="A21" s="10" t="n"/>
      <c r="B21" s="21" t="n"/>
      <c r="C21" s="18" t="str">
        <f>IF($A21="","",SUMIFS('Hours'!$F$7:$F$706,'Hours'!$B$7:$B$706,$A21,'Hours'!$A$7:$A$706,"&gt;="&amp;$B$4,'Hours'!$A$7:$A$706,"&lt;"&amp;DATE(YEAR($B$4),MONTH($B$4)+1,1)))</f>
        <v/>
      </c>
      <c r="D21" s="19" t="str">
        <f>IF($A21="","",SUMIFS('Hours'!$H$7:$H$706,'Hours'!$B$7:$B$706,$A21,'Hours'!$A$7:$A$706,"&gt;="&amp;$B$4,'Hours'!$A$7:$A$706,"&lt;"&amp;DATE(YEAR($B$4),MONTH($B$4)+1,1)))</f>
        <v/>
      </c>
      <c r="E21" s="20" t="str">
        <f>IF($A21="","",COUNTIFS('Hours'!$B$7:$B$706,$A21,'Hours'!$A$7:$A$706,"&gt;="&amp;$B$4,'Hours'!$A$7:$A$706,"&lt;"&amp;DATE(YEAR($B$4),MONTH($B$4)+1,1)))</f>
        <v/>
      </c>
    </row>
    <row r="22">
      <c r="A22" s="10" t="n"/>
      <c r="B22" s="21" t="n"/>
      <c r="C22" s="18" t="str">
        <f>IF($A22="","",SUMIFS('Hours'!$F$7:$F$706,'Hours'!$B$7:$B$706,$A22,'Hours'!$A$7:$A$706,"&gt;="&amp;$B$4,'Hours'!$A$7:$A$706,"&lt;"&amp;DATE(YEAR($B$4),MONTH($B$4)+1,1)))</f>
        <v/>
      </c>
      <c r="D22" s="19" t="str">
        <f>IF($A22="","",SUMIFS('Hours'!$H$7:$H$706,'Hours'!$B$7:$B$706,$A22,'Hours'!$A$7:$A$706,"&gt;="&amp;$B$4,'Hours'!$A$7:$A$706,"&lt;"&amp;DATE(YEAR($B$4),MONTH($B$4)+1,1)))</f>
        <v/>
      </c>
      <c r="E22" s="20" t="str">
        <f>IF($A22="","",COUNTIFS('Hours'!$B$7:$B$706,$A22,'Hours'!$A$7:$A$706,"&gt;="&amp;$B$4,'Hours'!$A$7:$A$706,"&lt;"&amp;DATE(YEAR($B$4),MONTH($B$4)+1,1)))</f>
        <v/>
      </c>
    </row>
    <row r="23">
      <c r="A23" s="10" t="n"/>
      <c r="B23" s="21" t="n"/>
      <c r="C23" s="18" t="str">
        <f>IF($A23="","",SUMIFS('Hours'!$F$7:$F$706,'Hours'!$B$7:$B$706,$A23,'Hours'!$A$7:$A$706,"&gt;="&amp;$B$4,'Hours'!$A$7:$A$706,"&lt;"&amp;DATE(YEAR($B$4),MONTH($B$4)+1,1)))</f>
        <v/>
      </c>
      <c r="D23" s="19" t="str">
        <f>IF($A23="","",SUMIFS('Hours'!$H$7:$H$706,'Hours'!$B$7:$B$706,$A23,'Hours'!$A$7:$A$706,"&gt;="&amp;$B$4,'Hours'!$A$7:$A$706,"&lt;"&amp;DATE(YEAR($B$4),MONTH($B$4)+1,1)))</f>
        <v/>
      </c>
      <c r="E23" s="20" t="str">
        <f>IF($A23="","",COUNTIFS('Hours'!$B$7:$B$706,$A23,'Hours'!$A$7:$A$706,"&gt;="&amp;$B$4,'Hours'!$A$7:$A$706,"&lt;"&amp;DATE(YEAR($B$4),MONTH($B$4)+1,1)))</f>
        <v/>
      </c>
    </row>
    <row r="24">
      <c r="A24" s="10" t="n"/>
      <c r="B24" s="21" t="n"/>
      <c r="C24" s="18" t="str">
        <f>IF($A24="","",SUMIFS('Hours'!$F$7:$F$706,'Hours'!$B$7:$B$706,$A24,'Hours'!$A$7:$A$706,"&gt;="&amp;$B$4,'Hours'!$A$7:$A$706,"&lt;"&amp;DATE(YEAR($B$4),MONTH($B$4)+1,1)))</f>
        <v/>
      </c>
      <c r="D24" s="19" t="str">
        <f>IF($A24="","",SUMIFS('Hours'!$H$7:$H$706,'Hours'!$B$7:$B$706,$A24,'Hours'!$A$7:$A$706,"&gt;="&amp;$B$4,'Hours'!$A$7:$A$706,"&lt;"&amp;DATE(YEAR($B$4),MONTH($B$4)+1,1)))</f>
        <v/>
      </c>
      <c r="E24" s="20" t="str">
        <f>IF($A24="","",COUNTIFS('Hours'!$B$7:$B$706,$A24,'Hours'!$A$7:$A$706,"&gt;="&amp;$B$4,'Hours'!$A$7:$A$706,"&lt;"&amp;DATE(YEAR($B$4),MONTH($B$4)+1,1)))</f>
        <v/>
      </c>
    </row>
    <row r="25">
      <c r="A25" s="10" t="n"/>
      <c r="B25" s="21" t="n"/>
      <c r="C25" s="18" t="str">
        <f>IF($A25="","",SUMIFS('Hours'!$F$7:$F$706,'Hours'!$B$7:$B$706,$A25,'Hours'!$A$7:$A$706,"&gt;="&amp;$B$4,'Hours'!$A$7:$A$706,"&lt;"&amp;DATE(YEAR($B$4),MONTH($B$4)+1,1)))</f>
        <v/>
      </c>
      <c r="D25" s="19" t="str">
        <f>IF($A25="","",SUMIFS('Hours'!$H$7:$H$706,'Hours'!$B$7:$B$706,$A25,'Hours'!$A$7:$A$706,"&gt;="&amp;$B$4,'Hours'!$A$7:$A$706,"&lt;"&amp;DATE(YEAR($B$4),MONTH($B$4)+1,1)))</f>
        <v/>
      </c>
      <c r="E25" s="20" t="str">
        <f>IF($A25="","",COUNTIFS('Hours'!$B$7:$B$706,$A25,'Hours'!$A$7:$A$706,"&gt;="&amp;$B$4,'Hours'!$A$7:$A$706,"&lt;"&amp;DATE(YEAR($B$4),MONTH($B$4)+1,1)))</f>
        <v/>
      </c>
    </row>
    <row r="26">
      <c r="A26" s="10" t="n"/>
      <c r="B26" s="21" t="n"/>
      <c r="C26" s="18" t="str">
        <f>IF($A26="","",SUMIFS('Hours'!$F$7:$F$706,'Hours'!$B$7:$B$706,$A26,'Hours'!$A$7:$A$706,"&gt;="&amp;$B$4,'Hours'!$A$7:$A$706,"&lt;"&amp;DATE(YEAR($B$4),MONTH($B$4)+1,1)))</f>
        <v/>
      </c>
      <c r="D26" s="19" t="str">
        <f>IF($A26="","",SUMIFS('Hours'!$H$7:$H$706,'Hours'!$B$7:$B$706,$A26,'Hours'!$A$7:$A$706,"&gt;="&amp;$B$4,'Hours'!$A$7:$A$706,"&lt;"&amp;DATE(YEAR($B$4),MONTH($B$4)+1,1)))</f>
        <v/>
      </c>
      <c r="E26" s="20" t="str">
        <f>IF($A26="","",COUNTIFS('Hours'!$B$7:$B$706,$A26,'Hours'!$A$7:$A$706,"&gt;="&amp;$B$4,'Hours'!$A$7:$A$706,"&lt;"&amp;DATE(YEAR($B$4),MONTH($B$4)+1,1)))</f>
        <v/>
      </c>
    </row>
    <row r="27">
      <c r="A27" s="10" t="n"/>
      <c r="B27" s="21" t="n"/>
      <c r="C27" s="18" t="str">
        <f>IF($A27="","",SUMIFS('Hours'!$F$7:$F$706,'Hours'!$B$7:$B$706,$A27,'Hours'!$A$7:$A$706,"&gt;="&amp;$B$4,'Hours'!$A$7:$A$706,"&lt;"&amp;DATE(YEAR($B$4),MONTH($B$4)+1,1)))</f>
        <v/>
      </c>
      <c r="D27" s="19" t="str">
        <f>IF($A27="","",SUMIFS('Hours'!$H$7:$H$706,'Hours'!$B$7:$B$706,$A27,'Hours'!$A$7:$A$706,"&gt;="&amp;$B$4,'Hours'!$A$7:$A$706,"&lt;"&amp;DATE(YEAR($B$4),MONTH($B$4)+1,1)))</f>
        <v/>
      </c>
      <c r="E27" s="20" t="str">
        <f>IF($A27="","",COUNTIFS('Hours'!$B$7:$B$706,$A27,'Hours'!$A$7:$A$706,"&gt;="&amp;$B$4,'Hours'!$A$7:$A$706,"&lt;"&amp;DATE(YEAR($B$4),MONTH($B$4)+1,1)))</f>
        <v/>
      </c>
    </row>
    <row r="28">
      <c r="A28" s="10" t="n"/>
      <c r="B28" s="21" t="n"/>
      <c r="C28" s="18" t="str">
        <f>IF($A28="","",SUMIFS('Hours'!$F$7:$F$706,'Hours'!$B$7:$B$706,$A28,'Hours'!$A$7:$A$706,"&gt;="&amp;$B$4,'Hours'!$A$7:$A$706,"&lt;"&amp;DATE(YEAR($B$4),MONTH($B$4)+1,1)))</f>
        <v/>
      </c>
      <c r="D28" s="19" t="str">
        <f>IF($A28="","",SUMIFS('Hours'!$H$7:$H$706,'Hours'!$B$7:$B$706,$A28,'Hours'!$A$7:$A$706,"&gt;="&amp;$B$4,'Hours'!$A$7:$A$706,"&lt;"&amp;DATE(YEAR($B$4),MONTH($B$4)+1,1)))</f>
        <v/>
      </c>
      <c r="E28" s="20" t="str">
        <f>IF($A28="","",COUNTIFS('Hours'!$B$7:$B$706,$A28,'Hours'!$A$7:$A$706,"&gt;="&amp;$B$4,'Hours'!$A$7:$A$706,"&lt;"&amp;DATE(YEAR($B$4),MONTH($B$4)+1,1)))</f>
        <v/>
      </c>
    </row>
    <row r="29">
      <c r="A29" s="10" t="n"/>
      <c r="B29" s="21" t="n"/>
      <c r="C29" s="18" t="str">
        <f>IF($A29="","",SUMIFS('Hours'!$F$7:$F$706,'Hours'!$B$7:$B$706,$A29,'Hours'!$A$7:$A$706,"&gt;="&amp;$B$4,'Hours'!$A$7:$A$706,"&lt;"&amp;DATE(YEAR($B$4),MONTH($B$4)+1,1)))</f>
        <v/>
      </c>
      <c r="D29" s="19" t="str">
        <f>IF($A29="","",SUMIFS('Hours'!$H$7:$H$706,'Hours'!$B$7:$B$706,$A29,'Hours'!$A$7:$A$706,"&gt;="&amp;$B$4,'Hours'!$A$7:$A$706,"&lt;"&amp;DATE(YEAR($B$4),MONTH($B$4)+1,1)))</f>
        <v/>
      </c>
      <c r="E29" s="20" t="str">
        <f>IF($A29="","",COUNTIFS('Hours'!$B$7:$B$706,$A29,'Hours'!$A$7:$A$706,"&gt;="&amp;$B$4,'Hours'!$A$7:$A$706,"&lt;"&amp;DATE(YEAR($B$4),MONTH($B$4)+1,1)))</f>
        <v/>
      </c>
    </row>
    <row r="30">
      <c r="A30" s="10" t="n"/>
      <c r="B30" s="21" t="n"/>
      <c r="C30" s="18" t="str">
        <f>IF($A30="","",SUMIFS('Hours'!$F$7:$F$706,'Hours'!$B$7:$B$706,$A30,'Hours'!$A$7:$A$706,"&gt;="&amp;$B$4,'Hours'!$A$7:$A$706,"&lt;"&amp;DATE(YEAR($B$4),MONTH($B$4)+1,1)))</f>
        <v/>
      </c>
      <c r="D30" s="19" t="str">
        <f>IF($A30="","",SUMIFS('Hours'!$H$7:$H$706,'Hours'!$B$7:$B$706,$A30,'Hours'!$A$7:$A$706,"&gt;="&amp;$B$4,'Hours'!$A$7:$A$706,"&lt;"&amp;DATE(YEAR($B$4),MONTH($B$4)+1,1)))</f>
        <v/>
      </c>
      <c r="E30" s="20" t="str">
        <f>IF($A30="","",COUNTIFS('Hours'!$B$7:$B$706,$A30,'Hours'!$A$7:$A$706,"&gt;="&amp;$B$4,'Hours'!$A$7:$A$706,"&lt;"&amp;DATE(YEAR($B$4),MONTH($B$4)+1,1)))</f>
        <v/>
      </c>
    </row>
    <row r="31">
      <c r="A31" s="10" t="n"/>
      <c r="B31" s="21" t="n"/>
      <c r="C31" s="18" t="str">
        <f>IF($A31="","",SUMIFS('Hours'!$F$7:$F$706,'Hours'!$B$7:$B$706,$A31,'Hours'!$A$7:$A$706,"&gt;="&amp;$B$4,'Hours'!$A$7:$A$706,"&lt;"&amp;DATE(YEAR($B$4),MONTH($B$4)+1,1)))</f>
        <v/>
      </c>
      <c r="D31" s="19" t="str">
        <f>IF($A31="","",SUMIFS('Hours'!$H$7:$H$706,'Hours'!$B$7:$B$706,$A31,'Hours'!$A$7:$A$706,"&gt;="&amp;$B$4,'Hours'!$A$7:$A$706,"&lt;"&amp;DATE(YEAR($B$4),MONTH($B$4)+1,1)))</f>
        <v/>
      </c>
      <c r="E31" s="20" t="str">
        <f>IF($A31="","",COUNTIFS('Hours'!$B$7:$B$706,$A31,'Hours'!$A$7:$A$706,"&gt;="&amp;$B$4,'Hours'!$A$7:$A$706,"&lt;"&amp;DATE(YEAR($B$4),MONTH($B$4)+1,1)))</f>
        <v/>
      </c>
    </row>
    <row r="32">
      <c r="A32" s="10" t="n"/>
      <c r="B32" s="21" t="n"/>
      <c r="C32" s="18" t="str">
        <f>IF($A32="","",SUMIFS('Hours'!$F$7:$F$706,'Hours'!$B$7:$B$706,$A32,'Hours'!$A$7:$A$706,"&gt;="&amp;$B$4,'Hours'!$A$7:$A$706,"&lt;"&amp;DATE(YEAR($B$4),MONTH($B$4)+1,1)))</f>
        <v/>
      </c>
      <c r="D32" s="19" t="str">
        <f>IF($A32="","",SUMIFS('Hours'!$H$7:$H$706,'Hours'!$B$7:$B$706,$A32,'Hours'!$A$7:$A$706,"&gt;="&amp;$B$4,'Hours'!$A$7:$A$706,"&lt;"&amp;DATE(YEAR($B$4),MONTH($B$4)+1,1)))</f>
        <v/>
      </c>
      <c r="E32" s="20" t="str">
        <f>IF($A32="","",COUNTIFS('Hours'!$B$7:$B$706,$A32,'Hours'!$A$7:$A$706,"&gt;="&amp;$B$4,'Hours'!$A$7:$A$706,"&lt;"&amp;DATE(YEAR($B$4),MONTH($B$4)+1,1)))</f>
        <v/>
      </c>
    </row>
    <row r="33">
      <c r="A33" s="10" t="n"/>
      <c r="B33" s="21" t="n"/>
      <c r="C33" s="18" t="str">
        <f>IF($A33="","",SUMIFS('Hours'!$F$7:$F$706,'Hours'!$B$7:$B$706,$A33,'Hours'!$A$7:$A$706,"&gt;="&amp;$B$4,'Hours'!$A$7:$A$706,"&lt;"&amp;DATE(YEAR($B$4),MONTH($B$4)+1,1)))</f>
        <v/>
      </c>
      <c r="D33" s="19" t="str">
        <f>IF($A33="","",SUMIFS('Hours'!$H$7:$H$706,'Hours'!$B$7:$B$706,$A33,'Hours'!$A$7:$A$706,"&gt;="&amp;$B$4,'Hours'!$A$7:$A$706,"&lt;"&amp;DATE(YEAR($B$4),MONTH($B$4)+1,1)))</f>
        <v/>
      </c>
      <c r="E33" s="20" t="str">
        <f>IF($A33="","",COUNTIFS('Hours'!$B$7:$B$706,$A33,'Hours'!$A$7:$A$706,"&gt;="&amp;$B$4,'Hours'!$A$7:$A$706,"&lt;"&amp;DATE(YEAR($B$4),MONTH($B$4)+1,1)))</f>
        <v/>
      </c>
    </row>
    <row r="34">
      <c r="A34" s="10" t="n"/>
      <c r="B34" s="21" t="n"/>
      <c r="C34" s="18" t="str">
        <f>IF($A34="","",SUMIFS('Hours'!$F$7:$F$706,'Hours'!$B$7:$B$706,$A34,'Hours'!$A$7:$A$706,"&gt;="&amp;$B$4,'Hours'!$A$7:$A$706,"&lt;"&amp;DATE(YEAR($B$4),MONTH($B$4)+1,1)))</f>
        <v/>
      </c>
      <c r="D34" s="19" t="str">
        <f>IF($A34="","",SUMIFS('Hours'!$H$7:$H$706,'Hours'!$B$7:$B$706,$A34,'Hours'!$A$7:$A$706,"&gt;="&amp;$B$4,'Hours'!$A$7:$A$706,"&lt;"&amp;DATE(YEAR($B$4),MONTH($B$4)+1,1)))</f>
        <v/>
      </c>
      <c r="E34" s="20" t="str">
        <f>IF($A34="","",COUNTIFS('Hours'!$B$7:$B$706,$A34,'Hours'!$A$7:$A$706,"&gt;="&amp;$B$4,'Hours'!$A$7:$A$706,"&lt;"&amp;DATE(YEAR($B$4),MONTH($B$4)+1,1)))</f>
        <v/>
      </c>
    </row>
    <row r="35">
      <c r="A35" s="10" t="n"/>
      <c r="B35" s="21" t="n"/>
      <c r="C35" s="18" t="str">
        <f>IF($A35="","",SUMIFS('Hours'!$F$7:$F$706,'Hours'!$B$7:$B$706,$A35,'Hours'!$A$7:$A$706,"&gt;="&amp;$B$4,'Hours'!$A$7:$A$706,"&lt;"&amp;DATE(YEAR($B$4),MONTH($B$4)+1,1)))</f>
        <v/>
      </c>
      <c r="D35" s="19" t="str">
        <f>IF($A35="","",SUMIFS('Hours'!$H$7:$H$706,'Hours'!$B$7:$B$706,$A35,'Hours'!$A$7:$A$706,"&gt;="&amp;$B$4,'Hours'!$A$7:$A$706,"&lt;"&amp;DATE(YEAR($B$4),MONTH($B$4)+1,1)))</f>
        <v/>
      </c>
      <c r="E35" s="20" t="str">
        <f>IF($A35="","",COUNTIFS('Hours'!$B$7:$B$706,$A35,'Hours'!$A$7:$A$706,"&gt;="&amp;$B$4,'Hours'!$A$7:$A$706,"&lt;"&amp;DATE(YEAR($B$4),MONTH($B$4)+1,1)))</f>
        <v/>
      </c>
    </row>
    <row r="36">
      <c r="A36" s="10" t="n"/>
      <c r="B36" s="21" t="n"/>
      <c r="C36" s="18" t="str">
        <f>IF($A36="","",SUMIFS('Hours'!$F$7:$F$706,'Hours'!$B$7:$B$706,$A36,'Hours'!$A$7:$A$706,"&gt;="&amp;$B$4,'Hours'!$A$7:$A$706,"&lt;"&amp;DATE(YEAR($B$4),MONTH($B$4)+1,1)))</f>
        <v/>
      </c>
      <c r="D36" s="19" t="str">
        <f>IF($A36="","",SUMIFS('Hours'!$H$7:$H$706,'Hours'!$B$7:$B$706,$A36,'Hours'!$A$7:$A$706,"&gt;="&amp;$B$4,'Hours'!$A$7:$A$706,"&lt;"&amp;DATE(YEAR($B$4),MONTH($B$4)+1,1)))</f>
        <v/>
      </c>
      <c r="E36" s="20" t="str">
        <f>IF($A36="","",COUNTIFS('Hours'!$B$7:$B$706,$A36,'Hours'!$A$7:$A$706,"&gt;="&amp;$B$4,'Hours'!$A$7:$A$706,"&lt;"&amp;DATE(YEAR($B$4),MONTH($B$4)+1,1)))</f>
        <v/>
      </c>
    </row>
  </sheetData>
  <mergeCells count="2">
    <mergeCell ref="A2:E2"/>
    <mergeCell ref="A1:E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2026-10-13T06:02:28Z</dcterms:created>
  <dcterms:modified xmlns:dcterms="http://purl.org/dc/terms/" xmlns:xsi="http://www.w3.org/2001/XMLSchema-instance" xsi:type="dcterms:W3CDTF">2026-10-13T06:02:29Z</dcterms:modified>
</cp:coreProperties>
</file>