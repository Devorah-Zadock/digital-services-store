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it &amp; lo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-#,##0"/>
    <numFmt numFmtId="165" formatCode="0.0%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color rgb="00666666"/>
      <sz val="10"/>
    </font>
    <font>
      <name val="Arial"/>
      <b val="1"/>
      <color rgb="00222222"/>
      <sz val="11"/>
    </font>
    <font>
      <name val="Arial"/>
      <color rgb="000000CC"/>
      <sz val="11"/>
    </font>
    <font>
      <name val="Arial"/>
      <b val="1"/>
      <color rgb="00FFFFFF"/>
      <sz val="11"/>
    </font>
    <font>
      <name val="Arial"/>
      <b val="1"/>
      <color rgb="001F5C4E"/>
      <sz val="12"/>
    </font>
    <font>
      <name val="Arial"/>
      <color rgb="00222222"/>
      <sz val="11"/>
    </font>
  </fonts>
  <fills count="7">
    <fill>
      <patternFill/>
    </fill>
    <fill>
      <patternFill patternType="gray125"/>
    </fill>
    <fill>
      <patternFill patternType="solid">
        <fgColor rgb="001F5C4E"/>
      </patternFill>
    </fill>
    <fill>
      <patternFill patternType="solid">
        <fgColor rgb="00FFF9C4"/>
      </patternFill>
    </fill>
    <fill>
      <patternFill patternType="solid">
        <fgColor rgb="00E8F1EE"/>
      </patternFill>
    </fill>
    <fill>
      <patternFill patternType="solid">
        <fgColor rgb="00C9973A"/>
      </patternFill>
    </fill>
    <fill>
      <patternFill patternType="solid">
        <fgColor rgb="00F6EBD6"/>
      </patternFill>
    </fill>
  </fills>
  <borders count="2">
    <border>
      <left/>
      <right/>
      <top/>
      <bottom/>
      <diagonal/>
    </border>
    <border>
      <left style="thin">
        <color rgb="00D9DED9"/>
      </left>
      <right style="thin">
        <color rgb="00D9DED9"/>
      </right>
      <top style="thin">
        <color rgb="00D9DED9"/>
      </top>
      <bottom style="thin">
        <color rgb="00D9DE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left" vertical="center" readingOrder="1"/>
    </xf>
    <xf numFmtId="0" fontId="0" fillId="2" borderId="0" pivotButton="0" quotePrefix="0" xfId="0"/>
    <xf numFmtId="0" fontId="2" fillId="0" borderId="0" applyAlignment="1" pivotButton="0" quotePrefix="0" xfId="0">
      <alignment horizontal="left" vertical="center" wrapText="1" readingOrder="1"/>
    </xf>
    <xf numFmtId="0" fontId="3" fillId="0" borderId="1" applyAlignment="1" pivotButton="0" quotePrefix="0" xfId="0">
      <alignment horizontal="left" vertical="center" readingOrder="1"/>
    </xf>
    <xf numFmtId="1" fontId="4" fillId="3" borderId="1" applyAlignment="1" pivotButton="0" quotePrefix="0" xfId="0">
      <alignment vertical="center" readingOrder="1"/>
    </xf>
    <xf numFmtId="0" fontId="5" fillId="2" borderId="1" applyAlignment="1" pivotButton="0" quotePrefix="0" xfId="0">
      <alignment horizontal="center" vertical="center" wrapText="1" readingOrder="1"/>
    </xf>
    <xf numFmtId="0" fontId="6" fillId="0" borderId="0" applyAlignment="1" pivotButton="0" quotePrefix="0" xfId="0">
      <alignment horizontal="left" vertical="center" readingOrder="1"/>
    </xf>
    <xf numFmtId="0" fontId="4" fillId="3" borderId="1" applyAlignment="1" pivotButton="0" quotePrefix="0" xfId="0">
      <alignment horizontal="left" vertical="center" readingOrder="1"/>
    </xf>
    <xf numFmtId="164" fontId="4" fillId="3" borderId="1" applyAlignment="1" pivotButton="0" quotePrefix="0" xfId="0">
      <alignment vertical="center" readingOrder="1"/>
    </xf>
    <xf numFmtId="164" fontId="3" fillId="0" borderId="1" applyAlignment="1" pivotButton="0" quotePrefix="0" xfId="0">
      <alignment vertical="center" readingOrder="1"/>
    </xf>
    <xf numFmtId="9" fontId="7" fillId="0" borderId="1" applyAlignment="1" pivotButton="0" quotePrefix="0" xfId="0">
      <alignment vertical="center" readingOrder="1"/>
    </xf>
    <xf numFmtId="0" fontId="3" fillId="4" borderId="1" applyAlignment="1" pivotButton="0" quotePrefix="0" xfId="0">
      <alignment horizontal="left" vertical="center" readingOrder="1"/>
    </xf>
    <xf numFmtId="164" fontId="3" fillId="4" borderId="1" applyAlignment="1" pivotButton="0" quotePrefix="0" xfId="0">
      <alignment vertical="center" readingOrder="1"/>
    </xf>
    <xf numFmtId="9" fontId="3" fillId="0" borderId="1" applyAlignment="1" pivotButton="0" quotePrefix="0" xfId="0">
      <alignment vertical="center" readingOrder="1"/>
    </xf>
    <xf numFmtId="0" fontId="7" fillId="0" borderId="1" applyAlignment="1" pivotButton="0" quotePrefix="0" xfId="0">
      <alignment horizontal="left" vertical="center" readingOrder="1"/>
    </xf>
    <xf numFmtId="165" fontId="7" fillId="0" borderId="1" applyAlignment="1" pivotButton="0" quotePrefix="0" xfId="0">
      <alignment vertical="center" readingOrder="1"/>
    </xf>
    <xf numFmtId="0" fontId="5" fillId="5" borderId="1" applyAlignment="1" pivotButton="0" quotePrefix="0" xfId="0">
      <alignment horizontal="left" vertical="center" readingOrder="1"/>
    </xf>
    <xf numFmtId="164" fontId="3" fillId="6" borderId="1" applyAlignment="1" pivotButton="0" quotePrefix="0" xfId="0">
      <alignment vertical="center" readingOrder="1"/>
    </xf>
  </cellXfs>
  <cellStyles count="1">
    <cellStyle name="Normal" xfId="0" builtinId="0" hidden="0"/>
  </cellStyles>
  <dxfs count="1">
    <dxf>
      <font>
        <b val="1"/>
        <color rgb="00B42318"/>
      </font>
      <fill>
        <patternFill patternType="solid">
          <fgColor rgb="00FDE2E1"/>
          <bgColor rgb="00FDE2E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1"/>
  <sheetViews>
    <sheetView showGridLines="0" rightToLeft="0" zoomScale="10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3" customWidth="1" min="14" max="14"/>
    <col width="10" customWidth="1" min="15" max="15"/>
  </cols>
  <sheetData>
    <row r="1" ht="34" customHeight="1">
      <c r="A1" s="1" t="inlineStr">
        <is>
          <t>Profit &amp; loss — by month for a year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 ht="30" customHeight="1">
      <c r="A2" s="3" t="inlineStr">
        <is>
          <t>Enter revenue, cost of sales and expenses for each month (yellow cells). Gross profit, net profit and margins are calculated, with a yearly total.</t>
        </is>
      </c>
    </row>
    <row r="4">
      <c r="A4" s="4" t="inlineStr">
        <is>
          <t>Year:</t>
        </is>
      </c>
      <c r="B4" s="5" t="n">
        <v>2027</v>
      </c>
    </row>
    <row r="6" ht="32" customHeight="1">
      <c r="A6" s="6" t="inlineStr">
        <is>
          <t>Line</t>
        </is>
      </c>
      <c r="B6" s="6" t="inlineStr">
        <is>
          <t>January</t>
        </is>
      </c>
      <c r="C6" s="6" t="inlineStr">
        <is>
          <t>February</t>
        </is>
      </c>
      <c r="D6" s="6" t="inlineStr">
        <is>
          <t>March</t>
        </is>
      </c>
      <c r="E6" s="6" t="inlineStr">
        <is>
          <t>April</t>
        </is>
      </c>
      <c r="F6" s="6" t="inlineStr">
        <is>
          <t>May</t>
        </is>
      </c>
      <c r="G6" s="6" t="inlineStr">
        <is>
          <t>June</t>
        </is>
      </c>
      <c r="H6" s="6" t="inlineStr">
        <is>
          <t>July</t>
        </is>
      </c>
      <c r="I6" s="6" t="inlineStr">
        <is>
          <t>August</t>
        </is>
      </c>
      <c r="J6" s="6" t="inlineStr">
        <is>
          <t>September</t>
        </is>
      </c>
      <c r="K6" s="6" t="inlineStr">
        <is>
          <t>October</t>
        </is>
      </c>
      <c r="L6" s="6" t="inlineStr">
        <is>
          <t>November</t>
        </is>
      </c>
      <c r="M6" s="6" t="inlineStr">
        <is>
          <t>December</t>
        </is>
      </c>
      <c r="N6" s="6" t="inlineStr">
        <is>
          <t>Total</t>
        </is>
      </c>
      <c r="O6" s="6" t="inlineStr">
        <is>
          <t>% of revenue</t>
        </is>
      </c>
    </row>
    <row r="7">
      <c r="A7" s="7" t="inlineStr">
        <is>
          <t>Revenue</t>
        </is>
      </c>
    </row>
    <row r="8">
      <c r="A8" s="8" t="inlineStr">
        <is>
          <t>Product sales</t>
        </is>
      </c>
      <c r="B8" s="9" t="n">
        <v>42000</v>
      </c>
      <c r="C8" s="9" t="n">
        <v>43260</v>
      </c>
      <c r="D8" s="9" t="n">
        <v>44520</v>
      </c>
      <c r="E8" s="9" t="n">
        <v>45780</v>
      </c>
      <c r="F8" s="9" t="n">
        <v>47040</v>
      </c>
      <c r="G8" s="9" t="n">
        <v>48300</v>
      </c>
      <c r="H8" s="9" t="n">
        <v>49560</v>
      </c>
      <c r="I8" s="9" t="n">
        <v>50820</v>
      </c>
      <c r="J8" s="9" t="n">
        <v>52080</v>
      </c>
      <c r="K8" s="9" t="n">
        <v>53340</v>
      </c>
      <c r="L8" s="9" t="n">
        <v>54600</v>
      </c>
      <c r="M8" s="9" t="n">
        <v>55860</v>
      </c>
      <c r="N8" s="10">
        <f>SUM(B8:M8)</f>
        <v>587160</v>
      </c>
      <c r="O8" s="11">
        <f>IFERROR(N8/$N$11,"")</f>
        <v>0.7</v>
      </c>
    </row>
    <row r="9">
      <c r="A9" s="8" t="inlineStr">
        <is>
          <t>Services</t>
        </is>
      </c>
      <c r="B9" s="9" t="n">
        <v>18000</v>
      </c>
      <c r="C9" s="9" t="n">
        <v>18540</v>
      </c>
      <c r="D9" s="9" t="n">
        <v>19080</v>
      </c>
      <c r="E9" s="9" t="n">
        <v>19620</v>
      </c>
      <c r="F9" s="9" t="n">
        <v>20160</v>
      </c>
      <c r="G9" s="9" t="n">
        <v>20700</v>
      </c>
      <c r="H9" s="9" t="n">
        <v>21240</v>
      </c>
      <c r="I9" s="9" t="n">
        <v>21780</v>
      </c>
      <c r="J9" s="9" t="n">
        <v>22320</v>
      </c>
      <c r="K9" s="9" t="n">
        <v>22860</v>
      </c>
      <c r="L9" s="9" t="n">
        <v>23400</v>
      </c>
      <c r="M9" s="9" t="n">
        <v>23940</v>
      </c>
      <c r="N9" s="10">
        <f>SUM(B9:M9)</f>
        <v>251640</v>
      </c>
      <c r="O9" s="11">
        <f>IFERROR(N9/$N$11,"")</f>
        <v>0.3</v>
      </c>
    </row>
    <row r="10">
      <c r="A10" s="8" t="inlineStr">
        <is>
          <t>Other revenue</t>
        </is>
      </c>
      <c r="B10" s="9" t="n">
        <v>0</v>
      </c>
      <c r="C10" s="9" t="n">
        <v>0</v>
      </c>
      <c r="D10" s="9" t="n">
        <v>0</v>
      </c>
      <c r="E10" s="9" t="n">
        <v>0</v>
      </c>
      <c r="F10" s="9" t="n">
        <v>0</v>
      </c>
      <c r="G10" s="9" t="n">
        <v>0</v>
      </c>
      <c r="H10" s="9" t="n">
        <v>0</v>
      </c>
      <c r="I10" s="9" t="n">
        <v>0</v>
      </c>
      <c r="J10" s="9" t="n">
        <v>0</v>
      </c>
      <c r="K10" s="9" t="n">
        <v>0</v>
      </c>
      <c r="L10" s="9" t="n">
        <v>0</v>
      </c>
      <c r="M10" s="9" t="n">
        <v>0</v>
      </c>
      <c r="N10" s="10">
        <f>SUM(B10:M10)</f>
        <v>0</v>
      </c>
      <c r="O10" s="11">
        <f>IFERROR(N10/$N$11,"")</f>
        <v>0</v>
      </c>
    </row>
    <row r="11">
      <c r="A11" s="12" t="inlineStr">
        <is>
          <t>Total revenue</t>
        </is>
      </c>
      <c r="B11" s="13">
        <f>SUM(B8:B10)</f>
        <v>60000</v>
      </c>
      <c r="C11" s="13">
        <f>SUM(C8:C10)</f>
        <v>61800</v>
      </c>
      <c r="D11" s="13">
        <f>SUM(D8:D10)</f>
        <v>63600</v>
      </c>
      <c r="E11" s="13">
        <f>SUM(E8:E10)</f>
        <v>65400</v>
      </c>
      <c r="F11" s="13">
        <f>SUM(F8:F10)</f>
        <v>67200</v>
      </c>
      <c r="G11" s="13">
        <f>SUM(G8:G10)</f>
        <v>69000</v>
      </c>
      <c r="H11" s="13">
        <f>SUM(H8:H10)</f>
        <v>70800</v>
      </c>
      <c r="I11" s="13">
        <f>SUM(I8:I10)</f>
        <v>72600</v>
      </c>
      <c r="J11" s="13">
        <f>SUM(J8:J10)</f>
        <v>74400</v>
      </c>
      <c r="K11" s="13">
        <f>SUM(K8:K10)</f>
        <v>76200</v>
      </c>
      <c r="L11" s="13">
        <f>SUM(L8:L10)</f>
        <v>78000</v>
      </c>
      <c r="M11" s="13">
        <f>SUM(M8:M10)</f>
        <v>79800</v>
      </c>
      <c r="N11" s="13">
        <f>SUM(N8:N10)</f>
        <v>838800</v>
      </c>
      <c r="O11" s="14">
        <f>IFERROR(N11/$N$11,"")</f>
        <v>1</v>
      </c>
    </row>
    <row r="12"/>
    <row r="13">
      <c r="A13" s="7" t="inlineStr">
        <is>
          <t>Cost of sales</t>
        </is>
      </c>
    </row>
    <row r="14">
      <c r="A14" s="8" t="inlineStr">
        <is>
          <t>Materials / purchases</t>
        </is>
      </c>
      <c r="B14" s="9" t="n">
        <v>9000</v>
      </c>
      <c r="C14" s="9" t="n">
        <v>9270</v>
      </c>
      <c r="D14" s="9" t="n">
        <v>9540</v>
      </c>
      <c r="E14" s="9" t="n">
        <v>9810</v>
      </c>
      <c r="F14" s="9" t="n">
        <v>10080</v>
      </c>
      <c r="G14" s="9" t="n">
        <v>10350</v>
      </c>
      <c r="H14" s="9" t="n">
        <v>10620</v>
      </c>
      <c r="I14" s="9" t="n">
        <v>10890</v>
      </c>
      <c r="J14" s="9" t="n">
        <v>11160</v>
      </c>
      <c r="K14" s="9" t="n">
        <v>11430</v>
      </c>
      <c r="L14" s="9" t="n">
        <v>11700</v>
      </c>
      <c r="M14" s="9" t="n">
        <v>11970</v>
      </c>
      <c r="N14" s="10">
        <f>SUM(B14:M14)</f>
        <v>125820</v>
      </c>
      <c r="O14" s="11">
        <f>IFERROR(N14/$N$11,"")</f>
        <v>0.15</v>
      </c>
    </row>
    <row r="15">
      <c r="A15" s="8" t="inlineStr">
        <is>
          <t>Direct labour</t>
        </is>
      </c>
      <c r="B15" s="9" t="n">
        <v>7000</v>
      </c>
      <c r="C15" s="9" t="n">
        <v>7210</v>
      </c>
      <c r="D15" s="9" t="n">
        <v>7420</v>
      </c>
      <c r="E15" s="9" t="n">
        <v>7630</v>
      </c>
      <c r="F15" s="9" t="n">
        <v>7840</v>
      </c>
      <c r="G15" s="9" t="n">
        <v>8050</v>
      </c>
      <c r="H15" s="9" t="n">
        <v>8260</v>
      </c>
      <c r="I15" s="9" t="n">
        <v>8470</v>
      </c>
      <c r="J15" s="9" t="n">
        <v>8680</v>
      </c>
      <c r="K15" s="9" t="n">
        <v>8890</v>
      </c>
      <c r="L15" s="9" t="n">
        <v>9100</v>
      </c>
      <c r="M15" s="9" t="n">
        <v>9310</v>
      </c>
      <c r="N15" s="10">
        <f>SUM(B15:M15)</f>
        <v>97860</v>
      </c>
      <c r="O15" s="11">
        <f>IFERROR(N15/$N$11,"")</f>
        <v>0.116666666666667</v>
      </c>
    </row>
    <row r="16">
      <c r="A16" s="8" t="inlineStr">
        <is>
          <t>Shipping</t>
        </is>
      </c>
      <c r="B16" s="9" t="n">
        <v>1200</v>
      </c>
      <c r="C16" s="9" t="n">
        <v>1236</v>
      </c>
      <c r="D16" s="9" t="n">
        <v>1272</v>
      </c>
      <c r="E16" s="9" t="n">
        <v>1308</v>
      </c>
      <c r="F16" s="9" t="n">
        <v>1344</v>
      </c>
      <c r="G16" s="9" t="n">
        <v>1380</v>
      </c>
      <c r="H16" s="9" t="n">
        <v>1416</v>
      </c>
      <c r="I16" s="9" t="n">
        <v>1452</v>
      </c>
      <c r="J16" s="9" t="n">
        <v>1488</v>
      </c>
      <c r="K16" s="9" t="n">
        <v>1524</v>
      </c>
      <c r="L16" s="9" t="n">
        <v>1560</v>
      </c>
      <c r="M16" s="9" t="n">
        <v>1596</v>
      </c>
      <c r="N16" s="10">
        <f>SUM(B16:M16)</f>
        <v>16776</v>
      </c>
      <c r="O16" s="11">
        <f>IFERROR(N16/$N$11,"")</f>
        <v>0.02</v>
      </c>
    </row>
    <row r="17">
      <c r="A17" s="12" t="inlineStr">
        <is>
          <t>Total cost of sales</t>
        </is>
      </c>
      <c r="B17" s="13">
        <f>SUM(B14:B16)</f>
        <v>17200</v>
      </c>
      <c r="C17" s="13">
        <f>SUM(C14:C16)</f>
        <v>17716</v>
      </c>
      <c r="D17" s="13">
        <f>SUM(D14:D16)</f>
        <v>18232</v>
      </c>
      <c r="E17" s="13">
        <f>SUM(E14:E16)</f>
        <v>18748</v>
      </c>
      <c r="F17" s="13">
        <f>SUM(F14:F16)</f>
        <v>19264</v>
      </c>
      <c r="G17" s="13">
        <f>SUM(G14:G16)</f>
        <v>19780</v>
      </c>
      <c r="H17" s="13">
        <f>SUM(H14:H16)</f>
        <v>20296</v>
      </c>
      <c r="I17" s="13">
        <f>SUM(I14:I16)</f>
        <v>20812</v>
      </c>
      <c r="J17" s="13">
        <f>SUM(J14:J16)</f>
        <v>21328</v>
      </c>
      <c r="K17" s="13">
        <f>SUM(K14:K16)</f>
        <v>21844</v>
      </c>
      <c r="L17" s="13">
        <f>SUM(L14:L16)</f>
        <v>22360</v>
      </c>
      <c r="M17" s="13">
        <f>SUM(M14:M16)</f>
        <v>22876</v>
      </c>
      <c r="N17" s="13">
        <f>SUM(N14:N16)</f>
        <v>240456</v>
      </c>
      <c r="O17" s="14">
        <f>IFERROR(N17/$N$11,"")</f>
        <v>0.286666666666667</v>
      </c>
    </row>
    <row r="18">
      <c r="A18" s="4" t="inlineStr">
        <is>
          <t>Gross profit</t>
        </is>
      </c>
      <c r="B18" s="10">
        <f>B11-B17</f>
        <v>42800</v>
      </c>
      <c r="C18" s="10">
        <f>C11-C17</f>
        <v>44084</v>
      </c>
      <c r="D18" s="10">
        <f>D11-D17</f>
        <v>45368</v>
      </c>
      <c r="E18" s="10">
        <f>E11-E17</f>
        <v>46652</v>
      </c>
      <c r="F18" s="10">
        <f>F11-F17</f>
        <v>47936</v>
      </c>
      <c r="G18" s="10">
        <f>G11-G17</f>
        <v>49220</v>
      </c>
      <c r="H18" s="10">
        <f>H11-H17</f>
        <v>50504</v>
      </c>
      <c r="I18" s="10">
        <f>I11-I17</f>
        <v>51788</v>
      </c>
      <c r="J18" s="10">
        <f>J11-J17</f>
        <v>53072</v>
      </c>
      <c r="K18" s="10">
        <f>K11-K17</f>
        <v>54356</v>
      </c>
      <c r="L18" s="10">
        <f>L11-L17</f>
        <v>55640</v>
      </c>
      <c r="M18" s="10">
        <f>M11-M17</f>
        <v>56924</v>
      </c>
      <c r="N18" s="10">
        <f>N11-N17</f>
        <v>598344</v>
      </c>
      <c r="O18" s="14">
        <f>IFERROR(N18/$N$11,"")</f>
        <v>0.713333333333333</v>
      </c>
    </row>
    <row r="19">
      <c r="A19" s="15" t="inlineStr">
        <is>
          <t>Gross margin</t>
        </is>
      </c>
      <c r="B19" s="16">
        <f>IFERROR(B18/B11,"")</f>
        <v>0.713333333333333</v>
      </c>
      <c r="C19" s="16">
        <f>IFERROR(C18/C11,"")</f>
        <v>0.713333333333333</v>
      </c>
      <c r="D19" s="16">
        <f>IFERROR(D18/D11,"")</f>
        <v>0.713333333333333</v>
      </c>
      <c r="E19" s="16">
        <f>IFERROR(E18/E11,"")</f>
        <v>0.713333333333333</v>
      </c>
      <c r="F19" s="16">
        <f>IFERROR(F18/F11,"")</f>
        <v>0.713333333333333</v>
      </c>
      <c r="G19" s="16">
        <f>IFERROR(G18/G11,"")</f>
        <v>0.713333333333333</v>
      </c>
      <c r="H19" s="16">
        <f>IFERROR(H18/H11,"")</f>
        <v>0.713333333333333</v>
      </c>
      <c r="I19" s="16">
        <f>IFERROR(I18/I11,"")</f>
        <v>0.713333333333333</v>
      </c>
      <c r="J19" s="16">
        <f>IFERROR(J18/J11,"")</f>
        <v>0.713333333333333</v>
      </c>
      <c r="K19" s="16">
        <f>IFERROR(K18/K11,"")</f>
        <v>0.713333333333333</v>
      </c>
      <c r="L19" s="16">
        <f>IFERROR(L18/L11,"")</f>
        <v>0.713333333333333</v>
      </c>
      <c r="M19" s="16">
        <f>IFERROR(M18/M11,"")</f>
        <v>0.713333333333333</v>
      </c>
      <c r="N19" s="16">
        <f>IFERROR(N18/N11,"")</f>
        <v>0.713333333333333</v>
      </c>
    </row>
    <row r="20"/>
    <row r="21">
      <c r="A21" s="7" t="inlineStr">
        <is>
          <t>Operating expenses</t>
        </is>
      </c>
    </row>
    <row r="22">
      <c r="A22" s="8" t="inlineStr">
        <is>
          <t>Rent</t>
        </is>
      </c>
      <c r="B22" s="9" t="n">
        <v>4500</v>
      </c>
      <c r="C22" s="9" t="n">
        <v>4635</v>
      </c>
      <c r="D22" s="9" t="n">
        <v>4770</v>
      </c>
      <c r="E22" s="9" t="n">
        <v>4905</v>
      </c>
      <c r="F22" s="9" t="n">
        <v>5040</v>
      </c>
      <c r="G22" s="9" t="n">
        <v>5175</v>
      </c>
      <c r="H22" s="9" t="n">
        <v>5310</v>
      </c>
      <c r="I22" s="9" t="n">
        <v>5445</v>
      </c>
      <c r="J22" s="9" t="n">
        <v>5580</v>
      </c>
      <c r="K22" s="9" t="n">
        <v>5715</v>
      </c>
      <c r="L22" s="9" t="n">
        <v>5850</v>
      </c>
      <c r="M22" s="9" t="n">
        <v>5985</v>
      </c>
      <c r="N22" s="10">
        <f>SUM(B22:M22)</f>
        <v>62910</v>
      </c>
      <c r="O22" s="11">
        <f>IFERROR(N22/$N$11,"")</f>
        <v>0.075</v>
      </c>
    </row>
    <row r="23">
      <c r="A23" s="8" t="inlineStr">
        <is>
          <t>Salaries</t>
        </is>
      </c>
      <c r="B23" s="9" t="n">
        <v>12000</v>
      </c>
      <c r="C23" s="9" t="n">
        <v>12360</v>
      </c>
      <c r="D23" s="9" t="n">
        <v>12720</v>
      </c>
      <c r="E23" s="9" t="n">
        <v>13080</v>
      </c>
      <c r="F23" s="9" t="n">
        <v>13440</v>
      </c>
      <c r="G23" s="9" t="n">
        <v>13800</v>
      </c>
      <c r="H23" s="9" t="n">
        <v>14160</v>
      </c>
      <c r="I23" s="9" t="n">
        <v>14520</v>
      </c>
      <c r="J23" s="9" t="n">
        <v>14880</v>
      </c>
      <c r="K23" s="9" t="n">
        <v>15240</v>
      </c>
      <c r="L23" s="9" t="n">
        <v>15600</v>
      </c>
      <c r="M23" s="9" t="n">
        <v>15960</v>
      </c>
      <c r="N23" s="10">
        <f>SUM(B23:M23)</f>
        <v>167760</v>
      </c>
      <c r="O23" s="11">
        <f>IFERROR(N23/$N$11,"")</f>
        <v>0.2</v>
      </c>
    </row>
    <row r="24">
      <c r="A24" s="8" t="inlineStr">
        <is>
          <t>Marketing</t>
        </is>
      </c>
      <c r="B24" s="9" t="n">
        <v>3000</v>
      </c>
      <c r="C24" s="9" t="n">
        <v>3090</v>
      </c>
      <c r="D24" s="9" t="n">
        <v>3180</v>
      </c>
      <c r="E24" s="9" t="n">
        <v>3270</v>
      </c>
      <c r="F24" s="9" t="n">
        <v>3360</v>
      </c>
      <c r="G24" s="9" t="n">
        <v>3450</v>
      </c>
      <c r="H24" s="9" t="n">
        <v>3540</v>
      </c>
      <c r="I24" s="9" t="n">
        <v>3630</v>
      </c>
      <c r="J24" s="9" t="n">
        <v>3720</v>
      </c>
      <c r="K24" s="9" t="n">
        <v>3810</v>
      </c>
      <c r="L24" s="9" t="n">
        <v>3900</v>
      </c>
      <c r="M24" s="9" t="n">
        <v>3990</v>
      </c>
      <c r="N24" s="10">
        <f>SUM(B24:M24)</f>
        <v>41940</v>
      </c>
      <c r="O24" s="11">
        <f>IFERROR(N24/$N$11,"")</f>
        <v>0.05</v>
      </c>
    </row>
    <row r="25">
      <c r="A25" s="8" t="inlineStr">
        <is>
          <t>Software</t>
        </is>
      </c>
      <c r="B25" s="9" t="n">
        <v>600</v>
      </c>
      <c r="C25" s="9" t="n">
        <v>618</v>
      </c>
      <c r="D25" s="9" t="n">
        <v>636</v>
      </c>
      <c r="E25" s="9" t="n">
        <v>654</v>
      </c>
      <c r="F25" s="9" t="n">
        <v>672</v>
      </c>
      <c r="G25" s="9" t="n">
        <v>690</v>
      </c>
      <c r="H25" s="9" t="n">
        <v>708</v>
      </c>
      <c r="I25" s="9" t="n">
        <v>726</v>
      </c>
      <c r="J25" s="9" t="n">
        <v>744</v>
      </c>
      <c r="K25" s="9" t="n">
        <v>762</v>
      </c>
      <c r="L25" s="9" t="n">
        <v>780</v>
      </c>
      <c r="M25" s="9" t="n">
        <v>798</v>
      </c>
      <c r="N25" s="10">
        <f>SUM(B25:M25)</f>
        <v>8388</v>
      </c>
      <c r="O25" s="11">
        <f>IFERROR(N25/$N$11,"")</f>
        <v>0.01</v>
      </c>
    </row>
    <row r="26">
      <c r="A26" s="8" t="inlineStr">
        <is>
          <t>General &amp; admin</t>
        </is>
      </c>
      <c r="B26" s="9" t="n">
        <v>2000</v>
      </c>
      <c r="C26" s="9" t="n">
        <v>2060</v>
      </c>
      <c r="D26" s="9" t="n">
        <v>2120</v>
      </c>
      <c r="E26" s="9" t="n">
        <v>2180</v>
      </c>
      <c r="F26" s="9" t="n">
        <v>2240</v>
      </c>
      <c r="G26" s="9" t="n">
        <v>2300</v>
      </c>
      <c r="H26" s="9" t="n">
        <v>2360</v>
      </c>
      <c r="I26" s="9" t="n">
        <v>2420</v>
      </c>
      <c r="J26" s="9" t="n">
        <v>2480</v>
      </c>
      <c r="K26" s="9" t="n">
        <v>2540</v>
      </c>
      <c r="L26" s="9" t="n">
        <v>2600</v>
      </c>
      <c r="M26" s="9" t="n">
        <v>2660</v>
      </c>
      <c r="N26" s="10">
        <f>SUM(B26:M26)</f>
        <v>27960</v>
      </c>
      <c r="O26" s="11">
        <f>IFERROR(N26/$N$11,"")</f>
        <v>0.0333333333333333</v>
      </c>
    </row>
    <row r="27">
      <c r="A27" s="8" t="inlineStr">
        <is>
          <t>Depreciation / finance</t>
        </is>
      </c>
      <c r="B27" s="9" t="n">
        <v>500</v>
      </c>
      <c r="C27" s="9" t="n">
        <v>515</v>
      </c>
      <c r="D27" s="9" t="n">
        <v>530</v>
      </c>
      <c r="E27" s="9" t="n">
        <v>545</v>
      </c>
      <c r="F27" s="9" t="n">
        <v>560</v>
      </c>
      <c r="G27" s="9" t="n">
        <v>575</v>
      </c>
      <c r="H27" s="9" t="n">
        <v>590</v>
      </c>
      <c r="I27" s="9" t="n">
        <v>605</v>
      </c>
      <c r="J27" s="9" t="n">
        <v>620</v>
      </c>
      <c r="K27" s="9" t="n">
        <v>635</v>
      </c>
      <c r="L27" s="9" t="n">
        <v>650</v>
      </c>
      <c r="M27" s="9" t="n">
        <v>665</v>
      </c>
      <c r="N27" s="10">
        <f>SUM(B27:M27)</f>
        <v>6990</v>
      </c>
      <c r="O27" s="11">
        <f>IFERROR(N27/$N$11,"")</f>
        <v>0.00833333333333333</v>
      </c>
    </row>
    <row r="28">
      <c r="A28" s="12" t="inlineStr">
        <is>
          <t>Total operating expenses</t>
        </is>
      </c>
      <c r="B28" s="13">
        <f>SUM(B22:B27)</f>
        <v>22600</v>
      </c>
      <c r="C28" s="13">
        <f>SUM(C22:C27)</f>
        <v>23278</v>
      </c>
      <c r="D28" s="13">
        <f>SUM(D22:D27)</f>
        <v>23956</v>
      </c>
      <c r="E28" s="13">
        <f>SUM(E22:E27)</f>
        <v>24634</v>
      </c>
      <c r="F28" s="13">
        <f>SUM(F22:F27)</f>
        <v>25312</v>
      </c>
      <c r="G28" s="13">
        <f>SUM(G22:G27)</f>
        <v>25990</v>
      </c>
      <c r="H28" s="13">
        <f>SUM(H22:H27)</f>
        <v>26668</v>
      </c>
      <c r="I28" s="13">
        <f>SUM(I22:I27)</f>
        <v>27346</v>
      </c>
      <c r="J28" s="13">
        <f>SUM(J22:J27)</f>
        <v>28024</v>
      </c>
      <c r="K28" s="13">
        <f>SUM(K22:K27)</f>
        <v>28702</v>
      </c>
      <c r="L28" s="13">
        <f>SUM(L22:L27)</f>
        <v>29380</v>
      </c>
      <c r="M28" s="13">
        <f>SUM(M22:M27)</f>
        <v>30058</v>
      </c>
      <c r="N28" s="13">
        <f>SUM(N22:N27)</f>
        <v>315948</v>
      </c>
      <c r="O28" s="14">
        <f>IFERROR(N28/$N$11,"")</f>
        <v>0.376666666666667</v>
      </c>
    </row>
    <row r="29"/>
    <row r="30">
      <c r="A30" s="17" t="inlineStr">
        <is>
          <t>Profit before tax</t>
        </is>
      </c>
      <c r="B30" s="18">
        <f>B18-B28</f>
        <v>20200</v>
      </c>
      <c r="C30" s="18">
        <f>C18-C28</f>
        <v>20806</v>
      </c>
      <c r="D30" s="18">
        <f>D18-D28</f>
        <v>21412</v>
      </c>
      <c r="E30" s="18">
        <f>E18-E28</f>
        <v>22018</v>
      </c>
      <c r="F30" s="18">
        <f>F18-F28</f>
        <v>22624</v>
      </c>
      <c r="G30" s="18">
        <f>G18-G28</f>
        <v>23230</v>
      </c>
      <c r="H30" s="18">
        <f>H18-H28</f>
        <v>23836</v>
      </c>
      <c r="I30" s="18">
        <f>I18-I28</f>
        <v>24442</v>
      </c>
      <c r="J30" s="18">
        <f>J18-J28</f>
        <v>25048</v>
      </c>
      <c r="K30" s="18">
        <f>K18-K28</f>
        <v>25654</v>
      </c>
      <c r="L30" s="18">
        <f>L18-L28</f>
        <v>26260</v>
      </c>
      <c r="M30" s="18">
        <f>M18-M28</f>
        <v>26866</v>
      </c>
      <c r="N30" s="18">
        <f>N18-N28</f>
        <v>282396</v>
      </c>
      <c r="O30" s="14">
        <f>IFERROR(N30/$N$11,"")</f>
        <v>0.336666666666667</v>
      </c>
    </row>
    <row r="31">
      <c r="A31" s="15" t="inlineStr">
        <is>
          <t>Net margin</t>
        </is>
      </c>
      <c r="B31" s="16">
        <f>IFERROR(B30/B11,"")</f>
        <v>0.336666666666667</v>
      </c>
      <c r="C31" s="16">
        <f>IFERROR(C30/C11,"")</f>
        <v>0.336666666666667</v>
      </c>
      <c r="D31" s="16">
        <f>IFERROR(D30/D11,"")</f>
        <v>0.336666666666667</v>
      </c>
      <c r="E31" s="16">
        <f>IFERROR(E30/E11,"")</f>
        <v>0.336666666666667</v>
      </c>
      <c r="F31" s="16">
        <f>IFERROR(F30/F11,"")</f>
        <v>0.336666666666667</v>
      </c>
      <c r="G31" s="16">
        <f>IFERROR(G30/G11,"")</f>
        <v>0.336666666666667</v>
      </c>
      <c r="H31" s="16">
        <f>IFERROR(H30/H11,"")</f>
        <v>0.336666666666667</v>
      </c>
      <c r="I31" s="16">
        <f>IFERROR(I30/I11,"")</f>
        <v>0.336666666666667</v>
      </c>
      <c r="J31" s="16">
        <f>IFERROR(J30/J11,"")</f>
        <v>0.336666666666667</v>
      </c>
      <c r="K31" s="16">
        <f>IFERROR(K30/K11,"")</f>
        <v>0.336666666666667</v>
      </c>
      <c r="L31" s="16">
        <f>IFERROR(L30/L11,"")</f>
        <v>0.336666666666667</v>
      </c>
      <c r="M31" s="16">
        <f>IFERROR(M30/M11,"")</f>
        <v>0.336666666666667</v>
      </c>
      <c r="N31" s="16">
        <f>IFERROR(N30/N11,"")</f>
        <v>0.336666666666667</v>
      </c>
    </row>
  </sheetData>
  <mergeCells count="2">
    <mergeCell ref="A1:O1"/>
    <mergeCell ref="A2:O2"/>
  </mergeCells>
  <conditionalFormatting sqref="B30:N30">
    <cfRule type="cellIs" priority="1" operator="lessThan" dxfId="0">
      <formula>0</formula>
    </cfRule>
  </conditionalFormatting>
  <printOptions horizontalCentered="1"/>
  <pageMargins left="0.4" right="0.4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2026-10-13T06:02:27Z</dcterms:created>
  <dcterms:modified xmlns:dcterms="http://purl.org/dc/terms/" xmlns:xsi="http://www.w3.org/2001/XMLSchema-instance" xsi:type="dcterms:W3CDTF">2026-10-13T06:02:27Z</dcterms:modified>
</cp:coreProperties>
</file>