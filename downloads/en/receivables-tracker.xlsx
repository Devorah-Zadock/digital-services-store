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" sheetId="1" state="visible" r:id="rId1"/>
  </sheets>
  <definedNames>
    <definedName name="_xlnm._FilterDatabase" localSheetId="0" hidden="1">'Receivables'!$A$11:$K$411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  <font>
      <name val="Arial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3" borderId="1" applyAlignment="1" pivotButton="0" quotePrefix="0" xfId="0">
      <alignment horizontal="left" vertical="center" readingOrder="1"/>
    </xf>
    <xf numFmtId="0" fontId="0" fillId="0" borderId="4" pivotButton="0" quotePrefix="0" xfId="0"/>
    <xf numFmtId="164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164" fontId="6" fillId="0" borderId="1" applyAlignment="1" pivotButton="0" quotePrefix="0" xfId="0">
      <alignment vertical="center" readingOrder="1"/>
    </xf>
    <xf numFmtId="3" fontId="4" fillId="3" borderId="1" applyAlignment="1" pivotButton="0" quotePrefix="0" xfId="0">
      <alignment vertical="center" readingOrder="1"/>
    </xf>
    <xf numFmtId="0" fontId="7" fillId="4" borderId="1" applyAlignment="1" pivotButton="0" quotePrefix="0" xfId="0">
      <alignment horizontal="center" vertical="center" readingOrder="1"/>
    </xf>
    <xf numFmtId="0" fontId="7" fillId="4" borderId="1" applyAlignment="1" pivotButton="0" quotePrefix="0" xfId="0">
      <alignment horizontal="left" vertical="center" readingOrder="1"/>
    </xf>
    <xf numFmtId="166" fontId="7" fillId="4" borderId="1" applyAlignment="1" pivotButton="0" quotePrefix="0" xfId="0">
      <alignment horizontal="left" vertical="center" readingOrder="1"/>
    </xf>
    <xf numFmtId="1" fontId="7" fillId="4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vertical="center" readingOrder="1"/>
    </xf>
    <xf numFmtId="164" fontId="7" fillId="4" borderId="1" applyAlignment="1" pivotButton="0" quotePrefix="0" xfId="0">
      <alignment vertical="center" readingOrder="1"/>
    </xf>
    <xf numFmtId="1" fontId="6" fillId="0" borderId="1" applyAlignment="1" pivotButton="0" quotePrefix="0" xfId="0">
      <alignment horizontal="center" vertical="center" readingOrder="1"/>
    </xf>
    <xf numFmtId="0" fontId="6" fillId="0" borderId="1" applyAlignment="1" pivotButton="0" quotePrefix="0" xfId="0">
      <alignment horizontal="center" vertical="center" readingOrder="1"/>
    </xf>
    <xf numFmtId="164" fontId="7" fillId="4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4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1"/>
  <sheetViews>
    <sheetView showGridLines="0" rightToLeft="0" zoomScale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1" customWidth="1" min="4" max="4"/>
    <col width="13" customWidth="1" min="5" max="5"/>
    <col width="14" customWidth="1" min="6" max="6"/>
    <col width="14" customWidth="1" min="7" max="7"/>
    <col width="14" customWidth="1" min="8" max="8"/>
    <col width="11" customWidth="1" min="9" max="9"/>
    <col width="12" customWidth="1" min="10" max="10"/>
    <col width="24" customWidth="1" min="11" max="11"/>
  </cols>
  <sheetData>
    <row r="1" ht="34" customHeight="1">
      <c r="A1" s="1" t="inlineStr">
        <is>
          <t>Receivables — who owes me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" t="inlineStr">
        <is>
          <t>One invoice per row: client, date, payment terms (days), amount and how much was paid. Balance, days late and status are calculated — the top shows how much is open and late.</t>
        </is>
      </c>
    </row>
    <row r="4" ht="32" customHeight="1">
      <c r="A4" s="4" t="inlineStr">
        <is>
          <t>Total outstanding</t>
        </is>
      </c>
      <c r="B4" s="5" t="n"/>
      <c r="C4" s="6">
        <f>SUM($H$12:$H$411)</f>
        <v>14660</v>
      </c>
      <c r="E4" s="7" t="inlineStr">
        <is>
          <t>1–30 days late</t>
        </is>
      </c>
      <c r="F4" s="7" t="inlineStr">
        <is>
          <t>31–60</t>
        </is>
      </c>
      <c r="G4" s="7" t="inlineStr">
        <is>
          <t>61–90</t>
        </is>
      </c>
      <c r="H4" s="7" t="inlineStr">
        <is>
          <t>90+</t>
        </is>
      </c>
    </row>
    <row r="5">
      <c r="A5" s="4" t="inlineStr">
        <is>
          <t>Of which late</t>
        </is>
      </c>
      <c r="B5" s="5" t="n"/>
      <c r="C5" s="6">
        <f>SUMIF($J$12:$J$411,"Late",$H$12:$H$411)</f>
        <v>2860</v>
      </c>
      <c r="E5" s="8">
        <f>SUMIFS($H$12:$H$411,$I$12:$I$411,"&gt;=1",$I$12:$I$411,"&lt;=30")</f>
        <v>1360</v>
      </c>
      <c r="F5" s="8">
        <f>SUMIFS($H$12:$H$411,$I$12:$I$411,"&gt;=31",$I$12:$I$411,"&lt;=60")</f>
        <v>1500</v>
      </c>
      <c r="G5" s="8">
        <f>SUMIFS($H$12:$H$411,$I$12:$I$411,"&gt;=61",$I$12:$I$411,"&lt;=90")</f>
        <v>0</v>
      </c>
      <c r="H5" s="8">
        <f>SUMIFS($H$12:$H$411,$I$12:$I$411,"&gt;90")</f>
        <v>0</v>
      </c>
    </row>
    <row r="6">
      <c r="A6" s="4" t="inlineStr">
        <is>
          <t>Late invoices</t>
        </is>
      </c>
      <c r="B6" s="5" t="n"/>
      <c r="C6" s="9">
        <f>COUNTIF($J$12:$J$411,"Late")</f>
        <v>2</v>
      </c>
    </row>
    <row r="11" ht="32" customHeight="1">
      <c r="A11" s="7" t="inlineStr">
        <is>
          <t>Invoice no.</t>
        </is>
      </c>
      <c r="B11" s="7" t="inlineStr">
        <is>
          <t>Client</t>
        </is>
      </c>
      <c r="C11" s="7" t="inlineStr">
        <is>
          <t>Date</t>
        </is>
      </c>
      <c r="D11" s="7" t="inlineStr">
        <is>
          <t>Terms (days)</t>
        </is>
      </c>
      <c r="E11" s="7" t="inlineStr">
        <is>
          <t>Due date</t>
        </is>
      </c>
      <c r="F11" s="7" t="inlineStr">
        <is>
          <t>Amount</t>
        </is>
      </c>
      <c r="G11" s="7" t="inlineStr">
        <is>
          <t>Paid</t>
        </is>
      </c>
      <c r="H11" s="7" t="inlineStr">
        <is>
          <t>Balance</t>
        </is>
      </c>
      <c r="I11" s="7" t="inlineStr">
        <is>
          <t>Days late</t>
        </is>
      </c>
      <c r="J11" s="7" t="inlineStr">
        <is>
          <t>Status</t>
        </is>
      </c>
      <c r="K11" s="7" t="inlineStr">
        <is>
          <t>Notes</t>
        </is>
      </c>
    </row>
    <row r="12">
      <c r="A12" s="10" t="inlineStr">
        <is>
          <t>1001</t>
        </is>
      </c>
      <c r="B12" s="11" t="inlineStr">
        <is>
          <t>Or Studio</t>
        </is>
      </c>
      <c r="C12" s="12" t="n">
        <v>46233</v>
      </c>
      <c r="D12" s="13" t="n">
        <v>30</v>
      </c>
      <c r="E12" s="14">
        <f>IF(C12="","",C12+IF(D12="",30,D12))</f>
        <v>46263.0</v>
      </c>
      <c r="F12" s="15" t="n">
        <v>4720</v>
      </c>
      <c r="G12" s="15" t="n">
        <v>4720</v>
      </c>
      <c r="H12" s="8">
        <f>IF(F12="","",F12-N(G12))</f>
        <v>0</v>
      </c>
      <c r="I12" s="16" t="str">
        <f>IF(OR(F12="",H12&lt;=0),"",MAX(0,TODAY()-E12))</f>
        <v/>
      </c>
      <c r="J12" s="17" t="str">
        <f>IF(F12="","",IF(H12&lt;=0,"Paid",IF(TODAY()&gt;E12,"Late","Open")))</f>
        <v>Paid</v>
      </c>
      <c r="K12" s="11" t="n"/>
    </row>
    <row r="13">
      <c r="A13" s="10" t="inlineStr">
        <is>
          <t>1002</t>
        </is>
      </c>
      <c r="B13" s="11" t="inlineStr">
        <is>
          <t>Corner Bakery</t>
        </is>
      </c>
      <c r="C13" s="12" t="n">
        <v>46258</v>
      </c>
      <c r="D13" s="13" t="n">
        <v>30</v>
      </c>
      <c r="E13" s="14">
        <f>IF(C13="","",C13+IF(D13="",30,D13))</f>
        <v>46288.0</v>
      </c>
      <c r="F13" s="15" t="n">
        <v>2360</v>
      </c>
      <c r="G13" s="15" t="n">
        <v>1000</v>
      </c>
      <c r="H13" s="8">
        <f>IF(F13="","",F13-N(G13))</f>
        <v>1360</v>
      </c>
      <c r="I13" s="16">
        <f>IF(OR(F13="",H13&lt;=0),"",MAX(0,TODAY()-E13))</f>
        <v>20</v>
      </c>
      <c r="J13" s="17" t="str">
        <f>IF(F13="","",IF(H13&lt;=0,"Paid",IF(TODAY()&gt;E13,"Late","Open")))</f>
        <v>Late</v>
      </c>
      <c r="K13" s="11" t="n"/>
    </row>
    <row r="14">
      <c r="A14" s="10" t="inlineStr">
        <is>
          <t>1003</t>
        </is>
      </c>
      <c r="B14" s="11" t="inlineStr">
        <is>
          <t>Levi Law</t>
        </is>
      </c>
      <c r="C14" s="12" t="n">
        <v>46288</v>
      </c>
      <c r="D14" s="13" t="n">
        <v>30</v>
      </c>
      <c r="E14" s="14">
        <f>IF(C14="","",C14+IF(D14="",30,D14))</f>
        <v>46318.0</v>
      </c>
      <c r="F14" s="15" t="n">
        <v>7080</v>
      </c>
      <c r="G14" s="15" t="n">
        <v>0</v>
      </c>
      <c r="H14" s="8">
        <f>IF(F14="","",F14-N(G14))</f>
        <v>7080</v>
      </c>
      <c r="I14" s="16">
        <f>IF(OR(F14="",H14&lt;=0),"",MAX(0,TODAY()-E14))</f>
        <v>0</v>
      </c>
      <c r="J14" s="17" t="str">
        <f>IF(F14="","",IF(H14&lt;=0,"Paid",IF(TODAY()&gt;E14,"Late","Open")))</f>
        <v>Open</v>
      </c>
      <c r="K14" s="11" t="n"/>
    </row>
    <row r="15">
      <c r="A15" s="10" t="inlineStr">
        <is>
          <t>1004</t>
        </is>
      </c>
      <c r="B15" s="11" t="inlineStr">
        <is>
          <t>Green Garden</t>
        </is>
      </c>
      <c r="C15" s="12" t="n">
        <v>46208</v>
      </c>
      <c r="D15" s="13" t="n">
        <v>60</v>
      </c>
      <c r="E15" s="14">
        <f>IF(C15="","",C15+IF(D15="",30,D15))</f>
        <v>46268.0</v>
      </c>
      <c r="F15" s="15" t="n">
        <v>1500</v>
      </c>
      <c r="G15" s="15" t="n">
        <v>0</v>
      </c>
      <c r="H15" s="8">
        <f>IF(F15="","",F15-N(G15))</f>
        <v>1500</v>
      </c>
      <c r="I15" s="16">
        <f>IF(OR(F15="",H15&lt;=0),"",MAX(0,TODAY()-E15))</f>
        <v>40</v>
      </c>
      <c r="J15" s="17" t="str">
        <f>IF(F15="","",IF(H15&lt;=0,"Paid",IF(TODAY()&gt;E15,"Late","Open")))</f>
        <v>Late</v>
      </c>
      <c r="K15" s="11" t="n"/>
    </row>
    <row r="16">
      <c r="A16" s="10" t="inlineStr">
        <is>
          <t>1005</t>
        </is>
      </c>
      <c r="B16" s="11" t="inlineStr">
        <is>
          <t>Or Studio</t>
        </is>
      </c>
      <c r="C16" s="12" t="n">
        <v>46303</v>
      </c>
      <c r="D16" s="13" t="n">
        <v>30</v>
      </c>
      <c r="E16" s="14">
        <f>IF(C16="","",C16+IF(D16="",30,D16))</f>
        <v>46333.0</v>
      </c>
      <c r="F16" s="15" t="n">
        <v>4720</v>
      </c>
      <c r="G16" s="15" t="n">
        <v>0</v>
      </c>
      <c r="H16" s="8">
        <f>IF(F16="","",F16-N(G16))</f>
        <v>4720</v>
      </c>
      <c r="I16" s="16">
        <f>IF(OR(F16="",H16&lt;=0),"",MAX(0,TODAY()-E16))</f>
        <v>0</v>
      </c>
      <c r="J16" s="17" t="str">
        <f>IF(F16="","",IF(H16&lt;=0,"Paid",IF(TODAY()&gt;E16,"Late","Open")))</f>
        <v>Open</v>
      </c>
      <c r="K16" s="11" t="n"/>
    </row>
    <row r="17">
      <c r="A17" s="10" t="n"/>
      <c r="B17" s="11" t="n"/>
      <c r="C17" s="12" t="n"/>
      <c r="D17" s="13" t="n"/>
      <c r="E17" s="14" t="str">
        <f>IF(C17="","",C17+IF(D17="",30,D17))</f>
        <v/>
      </c>
      <c r="F17" s="18" t="n"/>
      <c r="G17" s="18" t="n"/>
      <c r="H17" s="8" t="str">
        <f>IF(F17="","",F17-N(G17))</f>
        <v/>
      </c>
      <c r="I17" s="16" t="str">
        <f>IF(OR(F17="",H17&lt;=0),"",MAX(0,TODAY()-E17))</f>
        <v/>
      </c>
      <c r="J17" s="17" t="str">
        <f>IF(F17="","",IF(H17&lt;=0,"Paid",IF(TODAY()&gt;E17,"Late","Open")))</f>
        <v/>
      </c>
      <c r="K17" s="11" t="n"/>
    </row>
    <row r="18">
      <c r="A18" s="10" t="n"/>
      <c r="B18" s="11" t="n"/>
      <c r="C18" s="12" t="n"/>
      <c r="D18" s="13" t="n"/>
      <c r="E18" s="14" t="str">
        <f>IF(C18="","",C18+IF(D18="",30,D18))</f>
        <v/>
      </c>
      <c r="F18" s="18" t="n"/>
      <c r="G18" s="18" t="n"/>
      <c r="H18" s="8" t="str">
        <f>IF(F18="","",F18-N(G18))</f>
        <v/>
      </c>
      <c r="I18" s="16" t="str">
        <f>IF(OR(F18="",H18&lt;=0),"",MAX(0,TODAY()-E18))</f>
        <v/>
      </c>
      <c r="J18" s="17" t="str">
        <f>IF(F18="","",IF(H18&lt;=0,"Paid",IF(TODAY()&gt;E18,"Late","Open")))</f>
        <v/>
      </c>
      <c r="K18" s="11" t="n"/>
    </row>
    <row r="19">
      <c r="A19" s="10" t="n"/>
      <c r="B19" s="11" t="n"/>
      <c r="C19" s="12" t="n"/>
      <c r="D19" s="13" t="n"/>
      <c r="E19" s="14" t="str">
        <f>IF(C19="","",C19+IF(D19="",30,D19))</f>
        <v/>
      </c>
      <c r="F19" s="18" t="n"/>
      <c r="G19" s="18" t="n"/>
      <c r="H19" s="8" t="str">
        <f>IF(F19="","",F19-N(G19))</f>
        <v/>
      </c>
      <c r="I19" s="16" t="str">
        <f>IF(OR(F19="",H19&lt;=0),"",MAX(0,TODAY()-E19))</f>
        <v/>
      </c>
      <c r="J19" s="17" t="str">
        <f>IF(F19="","",IF(H19&lt;=0,"Paid",IF(TODAY()&gt;E19,"Late","Open")))</f>
        <v/>
      </c>
      <c r="K19" s="11" t="n"/>
    </row>
    <row r="20">
      <c r="A20" s="10" t="n"/>
      <c r="B20" s="11" t="n"/>
      <c r="C20" s="12" t="n"/>
      <c r="D20" s="13" t="n"/>
      <c r="E20" s="14" t="str">
        <f>IF(C20="","",C20+IF(D20="",30,D20))</f>
        <v/>
      </c>
      <c r="F20" s="18" t="n"/>
      <c r="G20" s="18" t="n"/>
      <c r="H20" s="8" t="str">
        <f>IF(F20="","",F20-N(G20))</f>
        <v/>
      </c>
      <c r="I20" s="16" t="str">
        <f>IF(OR(F20="",H20&lt;=0),"",MAX(0,TODAY()-E20))</f>
        <v/>
      </c>
      <c r="J20" s="17" t="str">
        <f>IF(F20="","",IF(H20&lt;=0,"Paid",IF(TODAY()&gt;E20,"Late","Open")))</f>
        <v/>
      </c>
      <c r="K20" s="11" t="n"/>
    </row>
    <row r="21">
      <c r="A21" s="10" t="n"/>
      <c r="B21" s="11" t="n"/>
      <c r="C21" s="12" t="n"/>
      <c r="D21" s="13" t="n"/>
      <c r="E21" s="14" t="str">
        <f>IF(C21="","",C21+IF(D21="",30,D21))</f>
        <v/>
      </c>
      <c r="F21" s="18" t="n"/>
      <c r="G21" s="18" t="n"/>
      <c r="H21" s="8" t="str">
        <f>IF(F21="","",F21-N(G21))</f>
        <v/>
      </c>
      <c r="I21" s="16" t="str">
        <f>IF(OR(F21="",H21&lt;=0),"",MAX(0,TODAY()-E21))</f>
        <v/>
      </c>
      <c r="J21" s="17" t="str">
        <f>IF(F21="","",IF(H21&lt;=0,"Paid",IF(TODAY()&gt;E21,"Late","Open")))</f>
        <v/>
      </c>
      <c r="K21" s="11" t="n"/>
    </row>
    <row r="22">
      <c r="A22" s="10" t="n"/>
      <c r="B22" s="11" t="n"/>
      <c r="C22" s="12" t="n"/>
      <c r="D22" s="13" t="n"/>
      <c r="E22" s="14" t="str">
        <f>IF(C22="","",C22+IF(D22="",30,D22))</f>
        <v/>
      </c>
      <c r="F22" s="18" t="n"/>
      <c r="G22" s="18" t="n"/>
      <c r="H22" s="8" t="str">
        <f>IF(F22="","",F22-N(G22))</f>
        <v/>
      </c>
      <c r="I22" s="16" t="str">
        <f>IF(OR(F22="",H22&lt;=0),"",MAX(0,TODAY()-E22))</f>
        <v/>
      </c>
      <c r="J22" s="17" t="str">
        <f>IF(F22="","",IF(H22&lt;=0,"Paid",IF(TODAY()&gt;E22,"Late","Open")))</f>
        <v/>
      </c>
      <c r="K22" s="11" t="n"/>
    </row>
    <row r="23">
      <c r="A23" s="10" t="n"/>
      <c r="B23" s="11" t="n"/>
      <c r="C23" s="12" t="n"/>
      <c r="D23" s="13" t="n"/>
      <c r="E23" s="14" t="str">
        <f>IF(C23="","",C23+IF(D23="",30,D23))</f>
        <v/>
      </c>
      <c r="F23" s="18" t="n"/>
      <c r="G23" s="18" t="n"/>
      <c r="H23" s="8" t="str">
        <f>IF(F23="","",F23-N(G23))</f>
        <v/>
      </c>
      <c r="I23" s="16" t="str">
        <f>IF(OR(F23="",H23&lt;=0),"",MAX(0,TODAY()-E23))</f>
        <v/>
      </c>
      <c r="J23" s="17" t="str">
        <f>IF(F23="","",IF(H23&lt;=0,"Paid",IF(TODAY()&gt;E23,"Late","Open")))</f>
        <v/>
      </c>
      <c r="K23" s="11" t="n"/>
    </row>
    <row r="24">
      <c r="A24" s="10" t="n"/>
      <c r="B24" s="11" t="n"/>
      <c r="C24" s="12" t="n"/>
      <c r="D24" s="13" t="n"/>
      <c r="E24" s="14" t="str">
        <f>IF(C24="","",C24+IF(D24="",30,D24))</f>
        <v/>
      </c>
      <c r="F24" s="18" t="n"/>
      <c r="G24" s="18" t="n"/>
      <c r="H24" s="8" t="str">
        <f>IF(F24="","",F24-N(G24))</f>
        <v/>
      </c>
      <c r="I24" s="16" t="str">
        <f>IF(OR(F24="",H24&lt;=0),"",MAX(0,TODAY()-E24))</f>
        <v/>
      </c>
      <c r="J24" s="17" t="str">
        <f>IF(F24="","",IF(H24&lt;=0,"Paid",IF(TODAY()&gt;E24,"Late","Open")))</f>
        <v/>
      </c>
      <c r="K24" s="11" t="n"/>
    </row>
    <row r="25">
      <c r="A25" s="10" t="n"/>
      <c r="B25" s="11" t="n"/>
      <c r="C25" s="12" t="n"/>
      <c r="D25" s="13" t="n"/>
      <c r="E25" s="14" t="str">
        <f>IF(C25="","",C25+IF(D25="",30,D25))</f>
        <v/>
      </c>
      <c r="F25" s="18" t="n"/>
      <c r="G25" s="18" t="n"/>
      <c r="H25" s="8" t="str">
        <f>IF(F25="","",F25-N(G25))</f>
        <v/>
      </c>
      <c r="I25" s="16" t="str">
        <f>IF(OR(F25="",H25&lt;=0),"",MAX(0,TODAY()-E25))</f>
        <v/>
      </c>
      <c r="J25" s="17" t="str">
        <f>IF(F25="","",IF(H25&lt;=0,"Paid",IF(TODAY()&gt;E25,"Late","Open")))</f>
        <v/>
      </c>
      <c r="K25" s="11" t="n"/>
    </row>
    <row r="26">
      <c r="A26" s="10" t="n"/>
      <c r="B26" s="11" t="n"/>
      <c r="C26" s="12" t="n"/>
      <c r="D26" s="13" t="n"/>
      <c r="E26" s="14" t="str">
        <f>IF(C26="","",C26+IF(D26="",30,D26))</f>
        <v/>
      </c>
      <c r="F26" s="18" t="n"/>
      <c r="G26" s="18" t="n"/>
      <c r="H26" s="8" t="str">
        <f>IF(F26="","",F26-N(G26))</f>
        <v/>
      </c>
      <c r="I26" s="16" t="str">
        <f>IF(OR(F26="",H26&lt;=0),"",MAX(0,TODAY()-E26))</f>
        <v/>
      </c>
      <c r="J26" s="17" t="str">
        <f>IF(F26="","",IF(H26&lt;=0,"Paid",IF(TODAY()&gt;E26,"Late","Open")))</f>
        <v/>
      </c>
      <c r="K26" s="11" t="n"/>
    </row>
    <row r="27">
      <c r="A27" s="10" t="n"/>
      <c r="B27" s="11" t="n"/>
      <c r="C27" s="12" t="n"/>
      <c r="D27" s="13" t="n"/>
      <c r="E27" s="14" t="str">
        <f>IF(C27="","",C27+IF(D27="",30,D27))</f>
        <v/>
      </c>
      <c r="F27" s="18" t="n"/>
      <c r="G27" s="18" t="n"/>
      <c r="H27" s="8" t="str">
        <f>IF(F27="","",F27-N(G27))</f>
        <v/>
      </c>
      <c r="I27" s="16" t="str">
        <f>IF(OR(F27="",H27&lt;=0),"",MAX(0,TODAY()-E27))</f>
        <v/>
      </c>
      <c r="J27" s="17" t="str">
        <f>IF(F27="","",IF(H27&lt;=0,"Paid",IF(TODAY()&gt;E27,"Late","Open")))</f>
        <v/>
      </c>
      <c r="K27" s="11" t="n"/>
    </row>
    <row r="28">
      <c r="A28" s="10" t="n"/>
      <c r="B28" s="11" t="n"/>
      <c r="C28" s="12" t="n"/>
      <c r="D28" s="13" t="n"/>
      <c r="E28" s="14" t="str">
        <f>IF(C28="","",C28+IF(D28="",30,D28))</f>
        <v/>
      </c>
      <c r="F28" s="18" t="n"/>
      <c r="G28" s="18" t="n"/>
      <c r="H28" s="8" t="str">
        <f>IF(F28="","",F28-N(G28))</f>
        <v/>
      </c>
      <c r="I28" s="16" t="str">
        <f>IF(OR(F28="",H28&lt;=0),"",MAX(0,TODAY()-E28))</f>
        <v/>
      </c>
      <c r="J28" s="17" t="str">
        <f>IF(F28="","",IF(H28&lt;=0,"Paid",IF(TODAY()&gt;E28,"Late","Open")))</f>
        <v/>
      </c>
      <c r="K28" s="11" t="n"/>
    </row>
    <row r="29">
      <c r="A29" s="10" t="n"/>
      <c r="B29" s="11" t="n"/>
      <c r="C29" s="12" t="n"/>
      <c r="D29" s="13" t="n"/>
      <c r="E29" s="14" t="str">
        <f>IF(C29="","",C29+IF(D29="",30,D29))</f>
        <v/>
      </c>
      <c r="F29" s="18" t="n"/>
      <c r="G29" s="18" t="n"/>
      <c r="H29" s="8" t="str">
        <f>IF(F29="","",F29-N(G29))</f>
        <v/>
      </c>
      <c r="I29" s="16" t="str">
        <f>IF(OR(F29="",H29&lt;=0),"",MAX(0,TODAY()-E29))</f>
        <v/>
      </c>
      <c r="J29" s="17" t="str">
        <f>IF(F29="","",IF(H29&lt;=0,"Paid",IF(TODAY()&gt;E29,"Late","Open")))</f>
        <v/>
      </c>
      <c r="K29" s="11" t="n"/>
    </row>
    <row r="30">
      <c r="A30" s="10" t="n"/>
      <c r="B30" s="11" t="n"/>
      <c r="C30" s="12" t="n"/>
      <c r="D30" s="13" t="n"/>
      <c r="E30" s="14" t="str">
        <f>IF(C30="","",C30+IF(D30="",30,D30))</f>
        <v/>
      </c>
      <c r="F30" s="18" t="n"/>
      <c r="G30" s="18" t="n"/>
      <c r="H30" s="8" t="str">
        <f>IF(F30="","",F30-N(G30))</f>
        <v/>
      </c>
      <c r="I30" s="16" t="str">
        <f>IF(OR(F30="",H30&lt;=0),"",MAX(0,TODAY()-E30))</f>
        <v/>
      </c>
      <c r="J30" s="17" t="str">
        <f>IF(F30="","",IF(H30&lt;=0,"Paid",IF(TODAY()&gt;E30,"Late","Open")))</f>
        <v/>
      </c>
      <c r="K30" s="11" t="n"/>
    </row>
    <row r="31">
      <c r="A31" s="10" t="n"/>
      <c r="B31" s="11" t="n"/>
      <c r="C31" s="12" t="n"/>
      <c r="D31" s="13" t="n"/>
      <c r="E31" s="14" t="str">
        <f>IF(C31="","",C31+IF(D31="",30,D31))</f>
        <v/>
      </c>
      <c r="F31" s="18" t="n"/>
      <c r="G31" s="18" t="n"/>
      <c r="H31" s="8" t="str">
        <f>IF(F31="","",F31-N(G31))</f>
        <v/>
      </c>
      <c r="I31" s="16" t="str">
        <f>IF(OR(F31="",H31&lt;=0),"",MAX(0,TODAY()-E31))</f>
        <v/>
      </c>
      <c r="J31" s="17" t="str">
        <f>IF(F31="","",IF(H31&lt;=0,"Paid",IF(TODAY()&gt;E31,"Late","Open")))</f>
        <v/>
      </c>
      <c r="K31" s="11" t="n"/>
    </row>
    <row r="32">
      <c r="A32" s="10" t="n"/>
      <c r="B32" s="11" t="n"/>
      <c r="C32" s="12" t="n"/>
      <c r="D32" s="13" t="n"/>
      <c r="E32" s="14" t="str">
        <f>IF(C32="","",C32+IF(D32="",30,D32))</f>
        <v/>
      </c>
      <c r="F32" s="18" t="n"/>
      <c r="G32" s="18" t="n"/>
      <c r="H32" s="8" t="str">
        <f>IF(F32="","",F32-N(G32))</f>
        <v/>
      </c>
      <c r="I32" s="16" t="str">
        <f>IF(OR(F32="",H32&lt;=0),"",MAX(0,TODAY()-E32))</f>
        <v/>
      </c>
      <c r="J32" s="17" t="str">
        <f>IF(F32="","",IF(H32&lt;=0,"Paid",IF(TODAY()&gt;E32,"Late","Open")))</f>
        <v/>
      </c>
      <c r="K32" s="11" t="n"/>
    </row>
    <row r="33">
      <c r="A33" s="10" t="n"/>
      <c r="B33" s="11" t="n"/>
      <c r="C33" s="12" t="n"/>
      <c r="D33" s="13" t="n"/>
      <c r="E33" s="14" t="str">
        <f>IF(C33="","",C33+IF(D33="",30,D33))</f>
        <v/>
      </c>
      <c r="F33" s="18" t="n"/>
      <c r="G33" s="18" t="n"/>
      <c r="H33" s="8" t="str">
        <f>IF(F33="","",F33-N(G33))</f>
        <v/>
      </c>
      <c r="I33" s="16" t="str">
        <f>IF(OR(F33="",H33&lt;=0),"",MAX(0,TODAY()-E33))</f>
        <v/>
      </c>
      <c r="J33" s="17" t="str">
        <f>IF(F33="","",IF(H33&lt;=0,"Paid",IF(TODAY()&gt;E33,"Late","Open")))</f>
        <v/>
      </c>
      <c r="K33" s="11" t="n"/>
    </row>
    <row r="34">
      <c r="A34" s="10" t="n"/>
      <c r="B34" s="11" t="n"/>
      <c r="C34" s="12" t="n"/>
      <c r="D34" s="13" t="n"/>
      <c r="E34" s="14" t="str">
        <f>IF(C34="","",C34+IF(D34="",30,D34))</f>
        <v/>
      </c>
      <c r="F34" s="18" t="n"/>
      <c r="G34" s="18" t="n"/>
      <c r="H34" s="8" t="str">
        <f>IF(F34="","",F34-N(G34))</f>
        <v/>
      </c>
      <c r="I34" s="16" t="str">
        <f>IF(OR(F34="",H34&lt;=0),"",MAX(0,TODAY()-E34))</f>
        <v/>
      </c>
      <c r="J34" s="17" t="str">
        <f>IF(F34="","",IF(H34&lt;=0,"Paid",IF(TODAY()&gt;E34,"Late","Open")))</f>
        <v/>
      </c>
      <c r="K34" s="11" t="n"/>
    </row>
    <row r="35">
      <c r="A35" s="10" t="n"/>
      <c r="B35" s="11" t="n"/>
      <c r="C35" s="12" t="n"/>
      <c r="D35" s="13" t="n"/>
      <c r="E35" s="14" t="str">
        <f>IF(C35="","",C35+IF(D35="",30,D35))</f>
        <v/>
      </c>
      <c r="F35" s="18" t="n"/>
      <c r="G35" s="18" t="n"/>
      <c r="H35" s="8" t="str">
        <f>IF(F35="","",F35-N(G35))</f>
        <v/>
      </c>
      <c r="I35" s="16" t="str">
        <f>IF(OR(F35="",H35&lt;=0),"",MAX(0,TODAY()-E35))</f>
        <v/>
      </c>
      <c r="J35" s="17" t="str">
        <f>IF(F35="","",IF(H35&lt;=0,"Paid",IF(TODAY()&gt;E35,"Late","Open")))</f>
        <v/>
      </c>
      <c r="K35" s="11" t="n"/>
    </row>
    <row r="36">
      <c r="A36" s="10" t="n"/>
      <c r="B36" s="11" t="n"/>
      <c r="C36" s="12" t="n"/>
      <c r="D36" s="13" t="n"/>
      <c r="E36" s="14" t="str">
        <f>IF(C36="","",C36+IF(D36="",30,D36))</f>
        <v/>
      </c>
      <c r="F36" s="18" t="n"/>
      <c r="G36" s="18" t="n"/>
      <c r="H36" s="8" t="str">
        <f>IF(F36="","",F36-N(G36))</f>
        <v/>
      </c>
      <c r="I36" s="16" t="str">
        <f>IF(OR(F36="",H36&lt;=0),"",MAX(0,TODAY()-E36))</f>
        <v/>
      </c>
      <c r="J36" s="17" t="str">
        <f>IF(F36="","",IF(H36&lt;=0,"Paid",IF(TODAY()&gt;E36,"Late","Open")))</f>
        <v/>
      </c>
      <c r="K36" s="11" t="n"/>
    </row>
    <row r="37">
      <c r="A37" s="10" t="n"/>
      <c r="B37" s="11" t="n"/>
      <c r="C37" s="12" t="n"/>
      <c r="D37" s="13" t="n"/>
      <c r="E37" s="14" t="str">
        <f>IF(C37="","",C37+IF(D37="",30,D37))</f>
        <v/>
      </c>
      <c r="F37" s="18" t="n"/>
      <c r="G37" s="18" t="n"/>
      <c r="H37" s="8" t="str">
        <f>IF(F37="","",F37-N(G37))</f>
        <v/>
      </c>
      <c r="I37" s="16" t="str">
        <f>IF(OR(F37="",H37&lt;=0),"",MAX(0,TODAY()-E37))</f>
        <v/>
      </c>
      <c r="J37" s="17" t="str">
        <f>IF(F37="","",IF(H37&lt;=0,"Paid",IF(TODAY()&gt;E37,"Late","Open")))</f>
        <v/>
      </c>
      <c r="K37" s="11" t="n"/>
    </row>
    <row r="38">
      <c r="A38" s="10" t="n"/>
      <c r="B38" s="11" t="n"/>
      <c r="C38" s="12" t="n"/>
      <c r="D38" s="13" t="n"/>
      <c r="E38" s="14" t="str">
        <f>IF(C38="","",C38+IF(D38="",30,D38))</f>
        <v/>
      </c>
      <c r="F38" s="18" t="n"/>
      <c r="G38" s="18" t="n"/>
      <c r="H38" s="8" t="str">
        <f>IF(F38="","",F38-N(G38))</f>
        <v/>
      </c>
      <c r="I38" s="16" t="str">
        <f>IF(OR(F38="",H38&lt;=0),"",MAX(0,TODAY()-E38))</f>
        <v/>
      </c>
      <c r="J38" s="17" t="str">
        <f>IF(F38="","",IF(H38&lt;=0,"Paid",IF(TODAY()&gt;E38,"Late","Open")))</f>
        <v/>
      </c>
      <c r="K38" s="11" t="n"/>
    </row>
    <row r="39">
      <c r="A39" s="10" t="n"/>
      <c r="B39" s="11" t="n"/>
      <c r="C39" s="12" t="n"/>
      <c r="D39" s="13" t="n"/>
      <c r="E39" s="14" t="str">
        <f>IF(C39="","",C39+IF(D39="",30,D39))</f>
        <v/>
      </c>
      <c r="F39" s="18" t="n"/>
      <c r="G39" s="18" t="n"/>
      <c r="H39" s="8" t="str">
        <f>IF(F39="","",F39-N(G39))</f>
        <v/>
      </c>
      <c r="I39" s="16" t="str">
        <f>IF(OR(F39="",H39&lt;=0),"",MAX(0,TODAY()-E39))</f>
        <v/>
      </c>
      <c r="J39" s="17" t="str">
        <f>IF(F39="","",IF(H39&lt;=0,"Paid",IF(TODAY()&gt;E39,"Late","Open")))</f>
        <v/>
      </c>
      <c r="K39" s="11" t="n"/>
    </row>
    <row r="40">
      <c r="A40" s="10" t="n"/>
      <c r="B40" s="11" t="n"/>
      <c r="C40" s="12" t="n"/>
      <c r="D40" s="13" t="n"/>
      <c r="E40" s="14" t="str">
        <f>IF(C40="","",C40+IF(D40="",30,D40))</f>
        <v/>
      </c>
      <c r="F40" s="18" t="n"/>
      <c r="G40" s="18" t="n"/>
      <c r="H40" s="8" t="str">
        <f>IF(F40="","",F40-N(G40))</f>
        <v/>
      </c>
      <c r="I40" s="16" t="str">
        <f>IF(OR(F40="",H40&lt;=0),"",MAX(0,TODAY()-E40))</f>
        <v/>
      </c>
      <c r="J40" s="17" t="str">
        <f>IF(F40="","",IF(H40&lt;=0,"Paid",IF(TODAY()&gt;E40,"Late","Open")))</f>
        <v/>
      </c>
      <c r="K40" s="11" t="n"/>
    </row>
    <row r="41">
      <c r="A41" s="10" t="n"/>
      <c r="B41" s="11" t="n"/>
      <c r="C41" s="12" t="n"/>
      <c r="D41" s="13" t="n"/>
      <c r="E41" s="14" t="str">
        <f>IF(C41="","",C41+IF(D41="",30,D41))</f>
        <v/>
      </c>
      <c r="F41" s="18" t="n"/>
      <c r="G41" s="18" t="n"/>
      <c r="H41" s="8" t="str">
        <f>IF(F41="","",F41-N(G41))</f>
        <v/>
      </c>
      <c r="I41" s="16" t="str">
        <f>IF(OR(F41="",H41&lt;=0),"",MAX(0,TODAY()-E41))</f>
        <v/>
      </c>
      <c r="J41" s="17" t="str">
        <f>IF(F41="","",IF(H41&lt;=0,"Paid",IF(TODAY()&gt;E41,"Late","Open")))</f>
        <v/>
      </c>
      <c r="K41" s="11" t="n"/>
    </row>
    <row r="42">
      <c r="A42" s="10" t="n"/>
      <c r="B42" s="11" t="n"/>
      <c r="C42" s="12" t="n"/>
      <c r="D42" s="13" t="n"/>
      <c r="E42" s="14" t="str">
        <f>IF(C42="","",C42+IF(D42="",30,D42))</f>
        <v/>
      </c>
      <c r="F42" s="18" t="n"/>
      <c r="G42" s="18" t="n"/>
      <c r="H42" s="8" t="str">
        <f>IF(F42="","",F42-N(G42))</f>
        <v/>
      </c>
      <c r="I42" s="16" t="str">
        <f>IF(OR(F42="",H42&lt;=0),"",MAX(0,TODAY()-E42))</f>
        <v/>
      </c>
      <c r="J42" s="17" t="str">
        <f>IF(F42="","",IF(H42&lt;=0,"Paid",IF(TODAY()&gt;E42,"Late","Open")))</f>
        <v/>
      </c>
      <c r="K42" s="11" t="n"/>
    </row>
    <row r="43">
      <c r="A43" s="10" t="n"/>
      <c r="B43" s="11" t="n"/>
      <c r="C43" s="12" t="n"/>
      <c r="D43" s="13" t="n"/>
      <c r="E43" s="14" t="str">
        <f>IF(C43="","",C43+IF(D43="",30,D43))</f>
        <v/>
      </c>
      <c r="F43" s="18" t="n"/>
      <c r="G43" s="18" t="n"/>
      <c r="H43" s="8" t="str">
        <f>IF(F43="","",F43-N(G43))</f>
        <v/>
      </c>
      <c r="I43" s="16" t="str">
        <f>IF(OR(F43="",H43&lt;=0),"",MAX(0,TODAY()-E43))</f>
        <v/>
      </c>
      <c r="J43" s="17" t="str">
        <f>IF(F43="","",IF(H43&lt;=0,"Paid",IF(TODAY()&gt;E43,"Late","Open")))</f>
        <v/>
      </c>
      <c r="K43" s="11" t="n"/>
    </row>
    <row r="44">
      <c r="A44" s="10" t="n"/>
      <c r="B44" s="11" t="n"/>
      <c r="C44" s="12" t="n"/>
      <c r="D44" s="13" t="n"/>
      <c r="E44" s="14" t="str">
        <f>IF(C44="","",C44+IF(D44="",30,D44))</f>
        <v/>
      </c>
      <c r="F44" s="18" t="n"/>
      <c r="G44" s="18" t="n"/>
      <c r="H44" s="8" t="str">
        <f>IF(F44="","",F44-N(G44))</f>
        <v/>
      </c>
      <c r="I44" s="16" t="str">
        <f>IF(OR(F44="",H44&lt;=0),"",MAX(0,TODAY()-E44))</f>
        <v/>
      </c>
      <c r="J44" s="17" t="str">
        <f>IF(F44="","",IF(H44&lt;=0,"Paid",IF(TODAY()&gt;E44,"Late","Open")))</f>
        <v/>
      </c>
      <c r="K44" s="11" t="n"/>
    </row>
    <row r="45">
      <c r="A45" s="10" t="n"/>
      <c r="B45" s="11" t="n"/>
      <c r="C45" s="12" t="n"/>
      <c r="D45" s="13" t="n"/>
      <c r="E45" s="14" t="str">
        <f>IF(C45="","",C45+IF(D45="",30,D45))</f>
        <v/>
      </c>
      <c r="F45" s="18" t="n"/>
      <c r="G45" s="18" t="n"/>
      <c r="H45" s="8" t="str">
        <f>IF(F45="","",F45-N(G45))</f>
        <v/>
      </c>
      <c r="I45" s="16" t="str">
        <f>IF(OR(F45="",H45&lt;=0),"",MAX(0,TODAY()-E45))</f>
        <v/>
      </c>
      <c r="J45" s="17" t="str">
        <f>IF(F45="","",IF(H45&lt;=0,"Paid",IF(TODAY()&gt;E45,"Late","Open")))</f>
        <v/>
      </c>
      <c r="K45" s="11" t="n"/>
    </row>
    <row r="46">
      <c r="A46" s="10" t="n"/>
      <c r="B46" s="11" t="n"/>
      <c r="C46" s="12" t="n"/>
      <c r="D46" s="13" t="n"/>
      <c r="E46" s="14" t="str">
        <f>IF(C46="","",C46+IF(D46="",30,D46))</f>
        <v/>
      </c>
      <c r="F46" s="18" t="n"/>
      <c r="G46" s="18" t="n"/>
      <c r="H46" s="8" t="str">
        <f>IF(F46="","",F46-N(G46))</f>
        <v/>
      </c>
      <c r="I46" s="16" t="str">
        <f>IF(OR(F46="",H46&lt;=0),"",MAX(0,TODAY()-E46))</f>
        <v/>
      </c>
      <c r="J46" s="17" t="str">
        <f>IF(F46="","",IF(H46&lt;=0,"Paid",IF(TODAY()&gt;E46,"Late","Open")))</f>
        <v/>
      </c>
      <c r="K46" s="11" t="n"/>
    </row>
    <row r="47">
      <c r="A47" s="10" t="n"/>
      <c r="B47" s="11" t="n"/>
      <c r="C47" s="12" t="n"/>
      <c r="D47" s="13" t="n"/>
      <c r="E47" s="14" t="str">
        <f>IF(C47="","",C47+IF(D47="",30,D47))</f>
        <v/>
      </c>
      <c r="F47" s="18" t="n"/>
      <c r="G47" s="18" t="n"/>
      <c r="H47" s="8" t="str">
        <f>IF(F47="","",F47-N(G47))</f>
        <v/>
      </c>
      <c r="I47" s="16" t="str">
        <f>IF(OR(F47="",H47&lt;=0),"",MAX(0,TODAY()-E47))</f>
        <v/>
      </c>
      <c r="J47" s="17" t="str">
        <f>IF(F47="","",IF(H47&lt;=0,"Paid",IF(TODAY()&gt;E47,"Late","Open")))</f>
        <v/>
      </c>
      <c r="K47" s="11" t="n"/>
    </row>
    <row r="48">
      <c r="A48" s="10" t="n"/>
      <c r="B48" s="11" t="n"/>
      <c r="C48" s="12" t="n"/>
      <c r="D48" s="13" t="n"/>
      <c r="E48" s="14" t="str">
        <f>IF(C48="","",C48+IF(D48="",30,D48))</f>
        <v/>
      </c>
      <c r="F48" s="18" t="n"/>
      <c r="G48" s="18" t="n"/>
      <c r="H48" s="8" t="str">
        <f>IF(F48="","",F48-N(G48))</f>
        <v/>
      </c>
      <c r="I48" s="16" t="str">
        <f>IF(OR(F48="",H48&lt;=0),"",MAX(0,TODAY()-E48))</f>
        <v/>
      </c>
      <c r="J48" s="17" t="str">
        <f>IF(F48="","",IF(H48&lt;=0,"Paid",IF(TODAY()&gt;E48,"Late","Open")))</f>
        <v/>
      </c>
      <c r="K48" s="11" t="n"/>
    </row>
    <row r="49">
      <c r="A49" s="10" t="n"/>
      <c r="B49" s="11" t="n"/>
      <c r="C49" s="12" t="n"/>
      <c r="D49" s="13" t="n"/>
      <c r="E49" s="14" t="str">
        <f>IF(C49="","",C49+IF(D49="",30,D49))</f>
        <v/>
      </c>
      <c r="F49" s="18" t="n"/>
      <c r="G49" s="18" t="n"/>
      <c r="H49" s="8" t="str">
        <f>IF(F49="","",F49-N(G49))</f>
        <v/>
      </c>
      <c r="I49" s="16" t="str">
        <f>IF(OR(F49="",H49&lt;=0),"",MAX(0,TODAY()-E49))</f>
        <v/>
      </c>
      <c r="J49" s="17" t="str">
        <f>IF(F49="","",IF(H49&lt;=0,"Paid",IF(TODAY()&gt;E49,"Late","Open")))</f>
        <v/>
      </c>
      <c r="K49" s="11" t="n"/>
    </row>
    <row r="50">
      <c r="A50" s="10" t="n"/>
      <c r="B50" s="11" t="n"/>
      <c r="C50" s="12" t="n"/>
      <c r="D50" s="13" t="n"/>
      <c r="E50" s="14" t="str">
        <f>IF(C50="","",C50+IF(D50="",30,D50))</f>
        <v/>
      </c>
      <c r="F50" s="18" t="n"/>
      <c r="G50" s="18" t="n"/>
      <c r="H50" s="8" t="str">
        <f>IF(F50="","",F50-N(G50))</f>
        <v/>
      </c>
      <c r="I50" s="16" t="str">
        <f>IF(OR(F50="",H50&lt;=0),"",MAX(0,TODAY()-E50))</f>
        <v/>
      </c>
      <c r="J50" s="17" t="str">
        <f>IF(F50="","",IF(H50&lt;=0,"Paid",IF(TODAY()&gt;E50,"Late","Open")))</f>
        <v/>
      </c>
      <c r="K50" s="11" t="n"/>
    </row>
    <row r="51">
      <c r="A51" s="10" t="n"/>
      <c r="B51" s="11" t="n"/>
      <c r="C51" s="12" t="n"/>
      <c r="D51" s="13" t="n"/>
      <c r="E51" s="14" t="str">
        <f>IF(C51="","",C51+IF(D51="",30,D51))</f>
        <v/>
      </c>
      <c r="F51" s="18" t="n"/>
      <c r="G51" s="18" t="n"/>
      <c r="H51" s="8" t="str">
        <f>IF(F51="","",F51-N(G51))</f>
        <v/>
      </c>
      <c r="I51" s="16" t="str">
        <f>IF(OR(F51="",H51&lt;=0),"",MAX(0,TODAY()-E51))</f>
        <v/>
      </c>
      <c r="J51" s="17" t="str">
        <f>IF(F51="","",IF(H51&lt;=0,"Paid",IF(TODAY()&gt;E51,"Late","Open")))</f>
        <v/>
      </c>
      <c r="K51" s="11" t="n"/>
    </row>
    <row r="52">
      <c r="A52" s="10" t="n"/>
      <c r="B52" s="11" t="n"/>
      <c r="C52" s="12" t="n"/>
      <c r="D52" s="13" t="n"/>
      <c r="E52" s="14" t="str">
        <f>IF(C52="","",C52+IF(D52="",30,D52))</f>
        <v/>
      </c>
      <c r="F52" s="18" t="n"/>
      <c r="G52" s="18" t="n"/>
      <c r="H52" s="8" t="str">
        <f>IF(F52="","",F52-N(G52))</f>
        <v/>
      </c>
      <c r="I52" s="16" t="str">
        <f>IF(OR(F52="",H52&lt;=0),"",MAX(0,TODAY()-E52))</f>
        <v/>
      </c>
      <c r="J52" s="17" t="str">
        <f>IF(F52="","",IF(H52&lt;=0,"Paid",IF(TODAY()&gt;E52,"Late","Open")))</f>
        <v/>
      </c>
      <c r="K52" s="11" t="n"/>
    </row>
    <row r="53">
      <c r="A53" s="10" t="n"/>
      <c r="B53" s="11" t="n"/>
      <c r="C53" s="12" t="n"/>
      <c r="D53" s="13" t="n"/>
      <c r="E53" s="14" t="str">
        <f>IF(C53="","",C53+IF(D53="",30,D53))</f>
        <v/>
      </c>
      <c r="F53" s="18" t="n"/>
      <c r="G53" s="18" t="n"/>
      <c r="H53" s="8" t="str">
        <f>IF(F53="","",F53-N(G53))</f>
        <v/>
      </c>
      <c r="I53" s="16" t="str">
        <f>IF(OR(F53="",H53&lt;=0),"",MAX(0,TODAY()-E53))</f>
        <v/>
      </c>
      <c r="J53" s="17" t="str">
        <f>IF(F53="","",IF(H53&lt;=0,"Paid",IF(TODAY()&gt;E53,"Late","Open")))</f>
        <v/>
      </c>
      <c r="K53" s="11" t="n"/>
    </row>
    <row r="54">
      <c r="A54" s="10" t="n"/>
      <c r="B54" s="11" t="n"/>
      <c r="C54" s="12" t="n"/>
      <c r="D54" s="13" t="n"/>
      <c r="E54" s="14" t="str">
        <f>IF(C54="","",C54+IF(D54="",30,D54))</f>
        <v/>
      </c>
      <c r="F54" s="18" t="n"/>
      <c r="G54" s="18" t="n"/>
      <c r="H54" s="8" t="str">
        <f>IF(F54="","",F54-N(G54))</f>
        <v/>
      </c>
      <c r="I54" s="16" t="str">
        <f>IF(OR(F54="",H54&lt;=0),"",MAX(0,TODAY()-E54))</f>
        <v/>
      </c>
      <c r="J54" s="17" t="str">
        <f>IF(F54="","",IF(H54&lt;=0,"Paid",IF(TODAY()&gt;E54,"Late","Open")))</f>
        <v/>
      </c>
      <c r="K54" s="11" t="n"/>
    </row>
    <row r="55">
      <c r="A55" s="10" t="n"/>
      <c r="B55" s="11" t="n"/>
      <c r="C55" s="12" t="n"/>
      <c r="D55" s="13" t="n"/>
      <c r="E55" s="14" t="str">
        <f>IF(C55="","",C55+IF(D55="",30,D55))</f>
        <v/>
      </c>
      <c r="F55" s="18" t="n"/>
      <c r="G55" s="18" t="n"/>
      <c r="H55" s="8" t="str">
        <f>IF(F55="","",F55-N(G55))</f>
        <v/>
      </c>
      <c r="I55" s="16" t="str">
        <f>IF(OR(F55="",H55&lt;=0),"",MAX(0,TODAY()-E55))</f>
        <v/>
      </c>
      <c r="J55" s="17" t="str">
        <f>IF(F55="","",IF(H55&lt;=0,"Paid",IF(TODAY()&gt;E55,"Late","Open")))</f>
        <v/>
      </c>
      <c r="K55" s="11" t="n"/>
    </row>
    <row r="56">
      <c r="A56" s="10" t="n"/>
      <c r="B56" s="11" t="n"/>
      <c r="C56" s="12" t="n"/>
      <c r="D56" s="13" t="n"/>
      <c r="E56" s="14" t="str">
        <f>IF(C56="","",C56+IF(D56="",30,D56))</f>
        <v/>
      </c>
      <c r="F56" s="18" t="n"/>
      <c r="G56" s="18" t="n"/>
      <c r="H56" s="8" t="str">
        <f>IF(F56="","",F56-N(G56))</f>
        <v/>
      </c>
      <c r="I56" s="16" t="str">
        <f>IF(OR(F56="",H56&lt;=0),"",MAX(0,TODAY()-E56))</f>
        <v/>
      </c>
      <c r="J56" s="17" t="str">
        <f>IF(F56="","",IF(H56&lt;=0,"Paid",IF(TODAY()&gt;E56,"Late","Open")))</f>
        <v/>
      </c>
      <c r="K56" s="11" t="n"/>
    </row>
    <row r="57">
      <c r="A57" s="10" t="n"/>
      <c r="B57" s="11" t="n"/>
      <c r="C57" s="12" t="n"/>
      <c r="D57" s="13" t="n"/>
      <c r="E57" s="14" t="str">
        <f>IF(C57="","",C57+IF(D57="",30,D57))</f>
        <v/>
      </c>
      <c r="F57" s="18" t="n"/>
      <c r="G57" s="18" t="n"/>
      <c r="H57" s="8" t="str">
        <f>IF(F57="","",F57-N(G57))</f>
        <v/>
      </c>
      <c r="I57" s="16" t="str">
        <f>IF(OR(F57="",H57&lt;=0),"",MAX(0,TODAY()-E57))</f>
        <v/>
      </c>
      <c r="J57" s="17" t="str">
        <f>IF(F57="","",IF(H57&lt;=0,"Paid",IF(TODAY()&gt;E57,"Late","Open")))</f>
        <v/>
      </c>
      <c r="K57" s="11" t="n"/>
    </row>
    <row r="58">
      <c r="A58" s="10" t="n"/>
      <c r="B58" s="11" t="n"/>
      <c r="C58" s="12" t="n"/>
      <c r="D58" s="13" t="n"/>
      <c r="E58" s="14" t="str">
        <f>IF(C58="","",C58+IF(D58="",30,D58))</f>
        <v/>
      </c>
      <c r="F58" s="18" t="n"/>
      <c r="G58" s="18" t="n"/>
      <c r="H58" s="8" t="str">
        <f>IF(F58="","",F58-N(G58))</f>
        <v/>
      </c>
      <c r="I58" s="16" t="str">
        <f>IF(OR(F58="",H58&lt;=0),"",MAX(0,TODAY()-E58))</f>
        <v/>
      </c>
      <c r="J58" s="17" t="str">
        <f>IF(F58="","",IF(H58&lt;=0,"Paid",IF(TODAY()&gt;E58,"Late","Open")))</f>
        <v/>
      </c>
      <c r="K58" s="11" t="n"/>
    </row>
    <row r="59">
      <c r="A59" s="10" t="n"/>
      <c r="B59" s="11" t="n"/>
      <c r="C59" s="12" t="n"/>
      <c r="D59" s="13" t="n"/>
      <c r="E59" s="14" t="str">
        <f>IF(C59="","",C59+IF(D59="",30,D59))</f>
        <v/>
      </c>
      <c r="F59" s="18" t="n"/>
      <c r="G59" s="18" t="n"/>
      <c r="H59" s="8" t="str">
        <f>IF(F59="","",F59-N(G59))</f>
        <v/>
      </c>
      <c r="I59" s="16" t="str">
        <f>IF(OR(F59="",H59&lt;=0),"",MAX(0,TODAY()-E59))</f>
        <v/>
      </c>
      <c r="J59" s="17" t="str">
        <f>IF(F59="","",IF(H59&lt;=0,"Paid",IF(TODAY()&gt;E59,"Late","Open")))</f>
        <v/>
      </c>
      <c r="K59" s="11" t="n"/>
    </row>
    <row r="60">
      <c r="A60" s="10" t="n"/>
      <c r="B60" s="11" t="n"/>
      <c r="C60" s="12" t="n"/>
      <c r="D60" s="13" t="n"/>
      <c r="E60" s="14" t="str">
        <f>IF(C60="","",C60+IF(D60="",30,D60))</f>
        <v/>
      </c>
      <c r="F60" s="18" t="n"/>
      <c r="G60" s="18" t="n"/>
      <c r="H60" s="8" t="str">
        <f>IF(F60="","",F60-N(G60))</f>
        <v/>
      </c>
      <c r="I60" s="16" t="str">
        <f>IF(OR(F60="",H60&lt;=0),"",MAX(0,TODAY()-E60))</f>
        <v/>
      </c>
      <c r="J60" s="17" t="str">
        <f>IF(F60="","",IF(H60&lt;=0,"Paid",IF(TODAY()&gt;E60,"Late","Open")))</f>
        <v/>
      </c>
      <c r="K60" s="11" t="n"/>
    </row>
    <row r="61">
      <c r="A61" s="10" t="n"/>
      <c r="B61" s="11" t="n"/>
      <c r="C61" s="12" t="n"/>
      <c r="D61" s="13" t="n"/>
      <c r="E61" s="14" t="str">
        <f>IF(C61="","",C61+IF(D61="",30,D61))</f>
        <v/>
      </c>
      <c r="F61" s="18" t="n"/>
      <c r="G61" s="18" t="n"/>
      <c r="H61" s="8" t="str">
        <f>IF(F61="","",F61-N(G61))</f>
        <v/>
      </c>
      <c r="I61" s="16" t="str">
        <f>IF(OR(F61="",H61&lt;=0),"",MAX(0,TODAY()-E61))</f>
        <v/>
      </c>
      <c r="J61" s="17" t="str">
        <f>IF(F61="","",IF(H61&lt;=0,"Paid",IF(TODAY()&gt;E61,"Late","Open")))</f>
        <v/>
      </c>
      <c r="K61" s="11" t="n"/>
    </row>
    <row r="62">
      <c r="A62" s="10" t="n"/>
      <c r="B62" s="11" t="n"/>
      <c r="C62" s="12" t="n"/>
      <c r="D62" s="13" t="n"/>
      <c r="E62" s="14" t="str">
        <f>IF(C62="","",C62+IF(D62="",30,D62))</f>
        <v/>
      </c>
      <c r="F62" s="18" t="n"/>
      <c r="G62" s="18" t="n"/>
      <c r="H62" s="8" t="str">
        <f>IF(F62="","",F62-N(G62))</f>
        <v/>
      </c>
      <c r="I62" s="16" t="str">
        <f>IF(OR(F62="",H62&lt;=0),"",MAX(0,TODAY()-E62))</f>
        <v/>
      </c>
      <c r="J62" s="17" t="str">
        <f>IF(F62="","",IF(H62&lt;=0,"Paid",IF(TODAY()&gt;E62,"Late","Open")))</f>
        <v/>
      </c>
      <c r="K62" s="11" t="n"/>
    </row>
    <row r="63">
      <c r="A63" s="10" t="n"/>
      <c r="B63" s="11" t="n"/>
      <c r="C63" s="12" t="n"/>
      <c r="D63" s="13" t="n"/>
      <c r="E63" s="14" t="str">
        <f>IF(C63="","",C63+IF(D63="",30,D63))</f>
        <v/>
      </c>
      <c r="F63" s="18" t="n"/>
      <c r="G63" s="18" t="n"/>
      <c r="H63" s="8" t="str">
        <f>IF(F63="","",F63-N(G63))</f>
        <v/>
      </c>
      <c r="I63" s="16" t="str">
        <f>IF(OR(F63="",H63&lt;=0),"",MAX(0,TODAY()-E63))</f>
        <v/>
      </c>
      <c r="J63" s="17" t="str">
        <f>IF(F63="","",IF(H63&lt;=0,"Paid",IF(TODAY()&gt;E63,"Late","Open")))</f>
        <v/>
      </c>
      <c r="K63" s="11" t="n"/>
    </row>
    <row r="64">
      <c r="A64" s="10" t="n"/>
      <c r="B64" s="11" t="n"/>
      <c r="C64" s="12" t="n"/>
      <c r="D64" s="13" t="n"/>
      <c r="E64" s="14" t="str">
        <f>IF(C64="","",C64+IF(D64="",30,D64))</f>
        <v/>
      </c>
      <c r="F64" s="18" t="n"/>
      <c r="G64" s="18" t="n"/>
      <c r="H64" s="8" t="str">
        <f>IF(F64="","",F64-N(G64))</f>
        <v/>
      </c>
      <c r="I64" s="16" t="str">
        <f>IF(OR(F64="",H64&lt;=0),"",MAX(0,TODAY()-E64))</f>
        <v/>
      </c>
      <c r="J64" s="17" t="str">
        <f>IF(F64="","",IF(H64&lt;=0,"Paid",IF(TODAY()&gt;E64,"Late","Open")))</f>
        <v/>
      </c>
      <c r="K64" s="11" t="n"/>
    </row>
    <row r="65">
      <c r="A65" s="10" t="n"/>
      <c r="B65" s="11" t="n"/>
      <c r="C65" s="12" t="n"/>
      <c r="D65" s="13" t="n"/>
      <c r="E65" s="14" t="str">
        <f>IF(C65="","",C65+IF(D65="",30,D65))</f>
        <v/>
      </c>
      <c r="F65" s="18" t="n"/>
      <c r="G65" s="18" t="n"/>
      <c r="H65" s="8" t="str">
        <f>IF(F65="","",F65-N(G65))</f>
        <v/>
      </c>
      <c r="I65" s="16" t="str">
        <f>IF(OR(F65="",H65&lt;=0),"",MAX(0,TODAY()-E65))</f>
        <v/>
      </c>
      <c r="J65" s="17" t="str">
        <f>IF(F65="","",IF(H65&lt;=0,"Paid",IF(TODAY()&gt;E65,"Late","Open")))</f>
        <v/>
      </c>
      <c r="K65" s="11" t="n"/>
    </row>
    <row r="66">
      <c r="A66" s="10" t="n"/>
      <c r="B66" s="11" t="n"/>
      <c r="C66" s="12" t="n"/>
      <c r="D66" s="13" t="n"/>
      <c r="E66" s="14" t="str">
        <f>IF(C66="","",C66+IF(D66="",30,D66))</f>
        <v/>
      </c>
      <c r="F66" s="18" t="n"/>
      <c r="G66" s="18" t="n"/>
      <c r="H66" s="8" t="str">
        <f>IF(F66="","",F66-N(G66))</f>
        <v/>
      </c>
      <c r="I66" s="16" t="str">
        <f>IF(OR(F66="",H66&lt;=0),"",MAX(0,TODAY()-E66))</f>
        <v/>
      </c>
      <c r="J66" s="17" t="str">
        <f>IF(F66="","",IF(H66&lt;=0,"Paid",IF(TODAY()&gt;E66,"Late","Open")))</f>
        <v/>
      </c>
      <c r="K66" s="11" t="n"/>
    </row>
    <row r="67">
      <c r="A67" s="10" t="n"/>
      <c r="B67" s="11" t="n"/>
      <c r="C67" s="12" t="n"/>
      <c r="D67" s="13" t="n"/>
      <c r="E67" s="14" t="str">
        <f>IF(C67="","",C67+IF(D67="",30,D67))</f>
        <v/>
      </c>
      <c r="F67" s="18" t="n"/>
      <c r="G67" s="18" t="n"/>
      <c r="H67" s="8" t="str">
        <f>IF(F67="","",F67-N(G67))</f>
        <v/>
      </c>
      <c r="I67" s="16" t="str">
        <f>IF(OR(F67="",H67&lt;=0),"",MAX(0,TODAY()-E67))</f>
        <v/>
      </c>
      <c r="J67" s="17" t="str">
        <f>IF(F67="","",IF(H67&lt;=0,"Paid",IF(TODAY()&gt;E67,"Late","Open")))</f>
        <v/>
      </c>
      <c r="K67" s="11" t="n"/>
    </row>
    <row r="68">
      <c r="A68" s="10" t="n"/>
      <c r="B68" s="11" t="n"/>
      <c r="C68" s="12" t="n"/>
      <c r="D68" s="13" t="n"/>
      <c r="E68" s="14" t="str">
        <f>IF(C68="","",C68+IF(D68="",30,D68))</f>
        <v/>
      </c>
      <c r="F68" s="18" t="n"/>
      <c r="G68" s="18" t="n"/>
      <c r="H68" s="8" t="str">
        <f>IF(F68="","",F68-N(G68))</f>
        <v/>
      </c>
      <c r="I68" s="16" t="str">
        <f>IF(OR(F68="",H68&lt;=0),"",MAX(0,TODAY()-E68))</f>
        <v/>
      </c>
      <c r="J68" s="17" t="str">
        <f>IF(F68="","",IF(H68&lt;=0,"Paid",IF(TODAY()&gt;E68,"Late","Open")))</f>
        <v/>
      </c>
      <c r="K68" s="11" t="n"/>
    </row>
    <row r="69">
      <c r="A69" s="10" t="n"/>
      <c r="B69" s="11" t="n"/>
      <c r="C69" s="12" t="n"/>
      <c r="D69" s="13" t="n"/>
      <c r="E69" s="14" t="str">
        <f>IF(C69="","",C69+IF(D69="",30,D69))</f>
        <v/>
      </c>
      <c r="F69" s="18" t="n"/>
      <c r="G69" s="18" t="n"/>
      <c r="H69" s="8" t="str">
        <f>IF(F69="","",F69-N(G69))</f>
        <v/>
      </c>
      <c r="I69" s="16" t="str">
        <f>IF(OR(F69="",H69&lt;=0),"",MAX(0,TODAY()-E69))</f>
        <v/>
      </c>
      <c r="J69" s="17" t="str">
        <f>IF(F69="","",IF(H69&lt;=0,"Paid",IF(TODAY()&gt;E69,"Late","Open")))</f>
        <v/>
      </c>
      <c r="K69" s="11" t="n"/>
    </row>
    <row r="70">
      <c r="A70" s="10" t="n"/>
      <c r="B70" s="11" t="n"/>
      <c r="C70" s="12" t="n"/>
      <c r="D70" s="13" t="n"/>
      <c r="E70" s="14" t="str">
        <f>IF(C70="","",C70+IF(D70="",30,D70))</f>
        <v/>
      </c>
      <c r="F70" s="18" t="n"/>
      <c r="G70" s="18" t="n"/>
      <c r="H70" s="8" t="str">
        <f>IF(F70="","",F70-N(G70))</f>
        <v/>
      </c>
      <c r="I70" s="16" t="str">
        <f>IF(OR(F70="",H70&lt;=0),"",MAX(0,TODAY()-E70))</f>
        <v/>
      </c>
      <c r="J70" s="17" t="str">
        <f>IF(F70="","",IF(H70&lt;=0,"Paid",IF(TODAY()&gt;E70,"Late","Open")))</f>
        <v/>
      </c>
      <c r="K70" s="11" t="n"/>
    </row>
    <row r="71">
      <c r="A71" s="10" t="n"/>
      <c r="B71" s="11" t="n"/>
      <c r="C71" s="12" t="n"/>
      <c r="D71" s="13" t="n"/>
      <c r="E71" s="14" t="str">
        <f>IF(C71="","",C71+IF(D71="",30,D71))</f>
        <v/>
      </c>
      <c r="F71" s="18" t="n"/>
      <c r="G71" s="18" t="n"/>
      <c r="H71" s="8" t="str">
        <f>IF(F71="","",F71-N(G71))</f>
        <v/>
      </c>
      <c r="I71" s="16" t="str">
        <f>IF(OR(F71="",H71&lt;=0),"",MAX(0,TODAY()-E71))</f>
        <v/>
      </c>
      <c r="J71" s="17" t="str">
        <f>IF(F71="","",IF(H71&lt;=0,"Paid",IF(TODAY()&gt;E71,"Late","Open")))</f>
        <v/>
      </c>
      <c r="K71" s="11" t="n"/>
    </row>
    <row r="72">
      <c r="A72" s="10" t="n"/>
      <c r="B72" s="11" t="n"/>
      <c r="C72" s="12" t="n"/>
      <c r="D72" s="13" t="n"/>
      <c r="E72" s="14" t="str">
        <f>IF(C72="","",C72+IF(D72="",30,D72))</f>
        <v/>
      </c>
      <c r="F72" s="18" t="n"/>
      <c r="G72" s="18" t="n"/>
      <c r="H72" s="8" t="str">
        <f>IF(F72="","",F72-N(G72))</f>
        <v/>
      </c>
      <c r="I72" s="16" t="str">
        <f>IF(OR(F72="",H72&lt;=0),"",MAX(0,TODAY()-E72))</f>
        <v/>
      </c>
      <c r="J72" s="17" t="str">
        <f>IF(F72="","",IF(H72&lt;=0,"Paid",IF(TODAY()&gt;E72,"Late","Open")))</f>
        <v/>
      </c>
      <c r="K72" s="11" t="n"/>
    </row>
    <row r="73">
      <c r="A73" s="10" t="n"/>
      <c r="B73" s="11" t="n"/>
      <c r="C73" s="12" t="n"/>
      <c r="D73" s="13" t="n"/>
      <c r="E73" s="14" t="str">
        <f>IF(C73="","",C73+IF(D73="",30,D73))</f>
        <v/>
      </c>
      <c r="F73" s="18" t="n"/>
      <c r="G73" s="18" t="n"/>
      <c r="H73" s="8" t="str">
        <f>IF(F73="","",F73-N(G73))</f>
        <v/>
      </c>
      <c r="I73" s="16" t="str">
        <f>IF(OR(F73="",H73&lt;=0),"",MAX(0,TODAY()-E73))</f>
        <v/>
      </c>
      <c r="J73" s="17" t="str">
        <f>IF(F73="","",IF(H73&lt;=0,"Paid",IF(TODAY()&gt;E73,"Late","Open")))</f>
        <v/>
      </c>
      <c r="K73" s="11" t="n"/>
    </row>
    <row r="74">
      <c r="A74" s="10" t="n"/>
      <c r="B74" s="11" t="n"/>
      <c r="C74" s="12" t="n"/>
      <c r="D74" s="13" t="n"/>
      <c r="E74" s="14" t="str">
        <f>IF(C74="","",C74+IF(D74="",30,D74))</f>
        <v/>
      </c>
      <c r="F74" s="18" t="n"/>
      <c r="G74" s="18" t="n"/>
      <c r="H74" s="8" t="str">
        <f>IF(F74="","",F74-N(G74))</f>
        <v/>
      </c>
      <c r="I74" s="16" t="str">
        <f>IF(OR(F74="",H74&lt;=0),"",MAX(0,TODAY()-E74))</f>
        <v/>
      </c>
      <c r="J74" s="17" t="str">
        <f>IF(F74="","",IF(H74&lt;=0,"Paid",IF(TODAY()&gt;E74,"Late","Open")))</f>
        <v/>
      </c>
      <c r="K74" s="11" t="n"/>
    </row>
    <row r="75">
      <c r="A75" s="10" t="n"/>
      <c r="B75" s="11" t="n"/>
      <c r="C75" s="12" t="n"/>
      <c r="D75" s="13" t="n"/>
      <c r="E75" s="14" t="str">
        <f>IF(C75="","",C75+IF(D75="",30,D75))</f>
        <v/>
      </c>
      <c r="F75" s="18" t="n"/>
      <c r="G75" s="18" t="n"/>
      <c r="H75" s="8" t="str">
        <f>IF(F75="","",F75-N(G75))</f>
        <v/>
      </c>
      <c r="I75" s="16" t="str">
        <f>IF(OR(F75="",H75&lt;=0),"",MAX(0,TODAY()-E75))</f>
        <v/>
      </c>
      <c r="J75" s="17" t="str">
        <f>IF(F75="","",IF(H75&lt;=0,"Paid",IF(TODAY()&gt;E75,"Late","Open")))</f>
        <v/>
      </c>
      <c r="K75" s="11" t="n"/>
    </row>
    <row r="76">
      <c r="A76" s="10" t="n"/>
      <c r="B76" s="11" t="n"/>
      <c r="C76" s="12" t="n"/>
      <c r="D76" s="13" t="n"/>
      <c r="E76" s="14" t="str">
        <f>IF(C76="","",C76+IF(D76="",30,D76))</f>
        <v/>
      </c>
      <c r="F76" s="18" t="n"/>
      <c r="G76" s="18" t="n"/>
      <c r="H76" s="8" t="str">
        <f>IF(F76="","",F76-N(G76))</f>
        <v/>
      </c>
      <c r="I76" s="16" t="str">
        <f>IF(OR(F76="",H76&lt;=0),"",MAX(0,TODAY()-E76))</f>
        <v/>
      </c>
      <c r="J76" s="17" t="str">
        <f>IF(F76="","",IF(H76&lt;=0,"Paid",IF(TODAY()&gt;E76,"Late","Open")))</f>
        <v/>
      </c>
      <c r="K76" s="11" t="n"/>
    </row>
    <row r="77">
      <c r="A77" s="10" t="n"/>
      <c r="B77" s="11" t="n"/>
      <c r="C77" s="12" t="n"/>
      <c r="D77" s="13" t="n"/>
      <c r="E77" s="14" t="str">
        <f>IF(C77="","",C77+IF(D77="",30,D77))</f>
        <v/>
      </c>
      <c r="F77" s="18" t="n"/>
      <c r="G77" s="18" t="n"/>
      <c r="H77" s="8" t="str">
        <f>IF(F77="","",F77-N(G77))</f>
        <v/>
      </c>
      <c r="I77" s="16" t="str">
        <f>IF(OR(F77="",H77&lt;=0),"",MAX(0,TODAY()-E77))</f>
        <v/>
      </c>
      <c r="J77" s="17" t="str">
        <f>IF(F77="","",IF(H77&lt;=0,"Paid",IF(TODAY()&gt;E77,"Late","Open")))</f>
        <v/>
      </c>
      <c r="K77" s="11" t="n"/>
    </row>
    <row r="78">
      <c r="A78" s="10" t="n"/>
      <c r="B78" s="11" t="n"/>
      <c r="C78" s="12" t="n"/>
      <c r="D78" s="13" t="n"/>
      <c r="E78" s="14" t="str">
        <f>IF(C78="","",C78+IF(D78="",30,D78))</f>
        <v/>
      </c>
      <c r="F78" s="18" t="n"/>
      <c r="G78" s="18" t="n"/>
      <c r="H78" s="8" t="str">
        <f>IF(F78="","",F78-N(G78))</f>
        <v/>
      </c>
      <c r="I78" s="16" t="str">
        <f>IF(OR(F78="",H78&lt;=0),"",MAX(0,TODAY()-E78))</f>
        <v/>
      </c>
      <c r="J78" s="17" t="str">
        <f>IF(F78="","",IF(H78&lt;=0,"Paid",IF(TODAY()&gt;E78,"Late","Open")))</f>
        <v/>
      </c>
      <c r="K78" s="11" t="n"/>
    </row>
    <row r="79">
      <c r="A79" s="10" t="n"/>
      <c r="B79" s="11" t="n"/>
      <c r="C79" s="12" t="n"/>
      <c r="D79" s="13" t="n"/>
      <c r="E79" s="14" t="str">
        <f>IF(C79="","",C79+IF(D79="",30,D79))</f>
        <v/>
      </c>
      <c r="F79" s="18" t="n"/>
      <c r="G79" s="18" t="n"/>
      <c r="H79" s="8" t="str">
        <f>IF(F79="","",F79-N(G79))</f>
        <v/>
      </c>
      <c r="I79" s="16" t="str">
        <f>IF(OR(F79="",H79&lt;=0),"",MAX(0,TODAY()-E79))</f>
        <v/>
      </c>
      <c r="J79" s="17" t="str">
        <f>IF(F79="","",IF(H79&lt;=0,"Paid",IF(TODAY()&gt;E79,"Late","Open")))</f>
        <v/>
      </c>
      <c r="K79" s="11" t="n"/>
    </row>
    <row r="80">
      <c r="A80" s="10" t="n"/>
      <c r="B80" s="11" t="n"/>
      <c r="C80" s="12" t="n"/>
      <c r="D80" s="13" t="n"/>
      <c r="E80" s="14" t="str">
        <f>IF(C80="","",C80+IF(D80="",30,D80))</f>
        <v/>
      </c>
      <c r="F80" s="18" t="n"/>
      <c r="G80" s="18" t="n"/>
      <c r="H80" s="8" t="str">
        <f>IF(F80="","",F80-N(G80))</f>
        <v/>
      </c>
      <c r="I80" s="16" t="str">
        <f>IF(OR(F80="",H80&lt;=0),"",MAX(0,TODAY()-E80))</f>
        <v/>
      </c>
      <c r="J80" s="17" t="str">
        <f>IF(F80="","",IF(H80&lt;=0,"Paid",IF(TODAY()&gt;E80,"Late","Open")))</f>
        <v/>
      </c>
      <c r="K80" s="11" t="n"/>
    </row>
    <row r="81">
      <c r="A81" s="10" t="n"/>
      <c r="B81" s="11" t="n"/>
      <c r="C81" s="12" t="n"/>
      <c r="D81" s="13" t="n"/>
      <c r="E81" s="14" t="str">
        <f>IF(C81="","",C81+IF(D81="",30,D81))</f>
        <v/>
      </c>
      <c r="F81" s="18" t="n"/>
      <c r="G81" s="18" t="n"/>
      <c r="H81" s="8" t="str">
        <f>IF(F81="","",F81-N(G81))</f>
        <v/>
      </c>
      <c r="I81" s="16" t="str">
        <f>IF(OR(F81="",H81&lt;=0),"",MAX(0,TODAY()-E81))</f>
        <v/>
      </c>
      <c r="J81" s="17" t="str">
        <f>IF(F81="","",IF(H81&lt;=0,"Paid",IF(TODAY()&gt;E81,"Late","Open")))</f>
        <v/>
      </c>
      <c r="K81" s="11" t="n"/>
    </row>
    <row r="82">
      <c r="A82" s="10" t="n"/>
      <c r="B82" s="11" t="n"/>
      <c r="C82" s="12" t="n"/>
      <c r="D82" s="13" t="n"/>
      <c r="E82" s="14" t="str">
        <f>IF(C82="","",C82+IF(D82="",30,D82))</f>
        <v/>
      </c>
      <c r="F82" s="18" t="n"/>
      <c r="G82" s="18" t="n"/>
      <c r="H82" s="8" t="str">
        <f>IF(F82="","",F82-N(G82))</f>
        <v/>
      </c>
      <c r="I82" s="16" t="str">
        <f>IF(OR(F82="",H82&lt;=0),"",MAX(0,TODAY()-E82))</f>
        <v/>
      </c>
      <c r="J82" s="17" t="str">
        <f>IF(F82="","",IF(H82&lt;=0,"Paid",IF(TODAY()&gt;E82,"Late","Open")))</f>
        <v/>
      </c>
      <c r="K82" s="11" t="n"/>
    </row>
    <row r="83">
      <c r="A83" s="10" t="n"/>
      <c r="B83" s="11" t="n"/>
      <c r="C83" s="12" t="n"/>
      <c r="D83" s="13" t="n"/>
      <c r="E83" s="14" t="str">
        <f>IF(C83="","",C83+IF(D83="",30,D83))</f>
        <v/>
      </c>
      <c r="F83" s="18" t="n"/>
      <c r="G83" s="18" t="n"/>
      <c r="H83" s="8" t="str">
        <f>IF(F83="","",F83-N(G83))</f>
        <v/>
      </c>
      <c r="I83" s="16" t="str">
        <f>IF(OR(F83="",H83&lt;=0),"",MAX(0,TODAY()-E83))</f>
        <v/>
      </c>
      <c r="J83" s="17" t="str">
        <f>IF(F83="","",IF(H83&lt;=0,"Paid",IF(TODAY()&gt;E83,"Late","Open")))</f>
        <v/>
      </c>
      <c r="K83" s="11" t="n"/>
    </row>
    <row r="84">
      <c r="A84" s="10" t="n"/>
      <c r="B84" s="11" t="n"/>
      <c r="C84" s="12" t="n"/>
      <c r="D84" s="13" t="n"/>
      <c r="E84" s="14" t="str">
        <f>IF(C84="","",C84+IF(D84="",30,D84))</f>
        <v/>
      </c>
      <c r="F84" s="18" t="n"/>
      <c r="G84" s="18" t="n"/>
      <c r="H84" s="8" t="str">
        <f>IF(F84="","",F84-N(G84))</f>
        <v/>
      </c>
      <c r="I84" s="16" t="str">
        <f>IF(OR(F84="",H84&lt;=0),"",MAX(0,TODAY()-E84))</f>
        <v/>
      </c>
      <c r="J84" s="17" t="str">
        <f>IF(F84="","",IF(H84&lt;=0,"Paid",IF(TODAY()&gt;E84,"Late","Open")))</f>
        <v/>
      </c>
      <c r="K84" s="11" t="n"/>
    </row>
    <row r="85">
      <c r="A85" s="10" t="n"/>
      <c r="B85" s="11" t="n"/>
      <c r="C85" s="12" t="n"/>
      <c r="D85" s="13" t="n"/>
      <c r="E85" s="14" t="str">
        <f>IF(C85="","",C85+IF(D85="",30,D85))</f>
        <v/>
      </c>
      <c r="F85" s="18" t="n"/>
      <c r="G85" s="18" t="n"/>
      <c r="H85" s="8" t="str">
        <f>IF(F85="","",F85-N(G85))</f>
        <v/>
      </c>
      <c r="I85" s="16" t="str">
        <f>IF(OR(F85="",H85&lt;=0),"",MAX(0,TODAY()-E85))</f>
        <v/>
      </c>
      <c r="J85" s="17" t="str">
        <f>IF(F85="","",IF(H85&lt;=0,"Paid",IF(TODAY()&gt;E85,"Late","Open")))</f>
        <v/>
      </c>
      <c r="K85" s="11" t="n"/>
    </row>
    <row r="86">
      <c r="A86" s="10" t="n"/>
      <c r="B86" s="11" t="n"/>
      <c r="C86" s="12" t="n"/>
      <c r="D86" s="13" t="n"/>
      <c r="E86" s="14" t="str">
        <f>IF(C86="","",C86+IF(D86="",30,D86))</f>
        <v/>
      </c>
      <c r="F86" s="18" t="n"/>
      <c r="G86" s="18" t="n"/>
      <c r="H86" s="8" t="str">
        <f>IF(F86="","",F86-N(G86))</f>
        <v/>
      </c>
      <c r="I86" s="16" t="str">
        <f>IF(OR(F86="",H86&lt;=0),"",MAX(0,TODAY()-E86))</f>
        <v/>
      </c>
      <c r="J86" s="17" t="str">
        <f>IF(F86="","",IF(H86&lt;=0,"Paid",IF(TODAY()&gt;E86,"Late","Open")))</f>
        <v/>
      </c>
      <c r="K86" s="11" t="n"/>
    </row>
    <row r="87">
      <c r="A87" s="10" t="n"/>
      <c r="B87" s="11" t="n"/>
      <c r="C87" s="12" t="n"/>
      <c r="D87" s="13" t="n"/>
      <c r="E87" s="14" t="str">
        <f>IF(C87="","",C87+IF(D87="",30,D87))</f>
        <v/>
      </c>
      <c r="F87" s="18" t="n"/>
      <c r="G87" s="18" t="n"/>
      <c r="H87" s="8" t="str">
        <f>IF(F87="","",F87-N(G87))</f>
        <v/>
      </c>
      <c r="I87" s="16" t="str">
        <f>IF(OR(F87="",H87&lt;=0),"",MAX(0,TODAY()-E87))</f>
        <v/>
      </c>
      <c r="J87" s="17" t="str">
        <f>IF(F87="","",IF(H87&lt;=0,"Paid",IF(TODAY()&gt;E87,"Late","Open")))</f>
        <v/>
      </c>
      <c r="K87" s="11" t="n"/>
    </row>
    <row r="88">
      <c r="A88" s="10" t="n"/>
      <c r="B88" s="11" t="n"/>
      <c r="C88" s="12" t="n"/>
      <c r="D88" s="13" t="n"/>
      <c r="E88" s="14" t="str">
        <f>IF(C88="","",C88+IF(D88="",30,D88))</f>
        <v/>
      </c>
      <c r="F88" s="18" t="n"/>
      <c r="G88" s="18" t="n"/>
      <c r="H88" s="8" t="str">
        <f>IF(F88="","",F88-N(G88))</f>
        <v/>
      </c>
      <c r="I88" s="16" t="str">
        <f>IF(OR(F88="",H88&lt;=0),"",MAX(0,TODAY()-E88))</f>
        <v/>
      </c>
      <c r="J88" s="17" t="str">
        <f>IF(F88="","",IF(H88&lt;=0,"Paid",IF(TODAY()&gt;E88,"Late","Open")))</f>
        <v/>
      </c>
      <c r="K88" s="11" t="n"/>
    </row>
    <row r="89">
      <c r="A89" s="10" t="n"/>
      <c r="B89" s="11" t="n"/>
      <c r="C89" s="12" t="n"/>
      <c r="D89" s="13" t="n"/>
      <c r="E89" s="14" t="str">
        <f>IF(C89="","",C89+IF(D89="",30,D89))</f>
        <v/>
      </c>
      <c r="F89" s="18" t="n"/>
      <c r="G89" s="18" t="n"/>
      <c r="H89" s="8" t="str">
        <f>IF(F89="","",F89-N(G89))</f>
        <v/>
      </c>
      <c r="I89" s="16" t="str">
        <f>IF(OR(F89="",H89&lt;=0),"",MAX(0,TODAY()-E89))</f>
        <v/>
      </c>
      <c r="J89" s="17" t="str">
        <f>IF(F89="","",IF(H89&lt;=0,"Paid",IF(TODAY()&gt;E89,"Late","Open")))</f>
        <v/>
      </c>
      <c r="K89" s="11" t="n"/>
    </row>
    <row r="90">
      <c r="A90" s="10" t="n"/>
      <c r="B90" s="11" t="n"/>
      <c r="C90" s="12" t="n"/>
      <c r="D90" s="13" t="n"/>
      <c r="E90" s="14" t="str">
        <f>IF(C90="","",C90+IF(D90="",30,D90))</f>
        <v/>
      </c>
      <c r="F90" s="18" t="n"/>
      <c r="G90" s="18" t="n"/>
      <c r="H90" s="8" t="str">
        <f>IF(F90="","",F90-N(G90))</f>
        <v/>
      </c>
      <c r="I90" s="16" t="str">
        <f>IF(OR(F90="",H90&lt;=0),"",MAX(0,TODAY()-E90))</f>
        <v/>
      </c>
      <c r="J90" s="17" t="str">
        <f>IF(F90="","",IF(H90&lt;=0,"Paid",IF(TODAY()&gt;E90,"Late","Open")))</f>
        <v/>
      </c>
      <c r="K90" s="11" t="n"/>
    </row>
    <row r="91">
      <c r="A91" s="10" t="n"/>
      <c r="B91" s="11" t="n"/>
      <c r="C91" s="12" t="n"/>
      <c r="D91" s="13" t="n"/>
      <c r="E91" s="14" t="str">
        <f>IF(C91="","",C91+IF(D91="",30,D91))</f>
        <v/>
      </c>
      <c r="F91" s="18" t="n"/>
      <c r="G91" s="18" t="n"/>
      <c r="H91" s="8" t="str">
        <f>IF(F91="","",F91-N(G91))</f>
        <v/>
      </c>
      <c r="I91" s="16" t="str">
        <f>IF(OR(F91="",H91&lt;=0),"",MAX(0,TODAY()-E91))</f>
        <v/>
      </c>
      <c r="J91" s="17" t="str">
        <f>IF(F91="","",IF(H91&lt;=0,"Paid",IF(TODAY()&gt;E91,"Late","Open")))</f>
        <v/>
      </c>
      <c r="K91" s="11" t="n"/>
    </row>
    <row r="92">
      <c r="A92" s="10" t="n"/>
      <c r="B92" s="11" t="n"/>
      <c r="C92" s="12" t="n"/>
      <c r="D92" s="13" t="n"/>
      <c r="E92" s="14" t="str">
        <f>IF(C92="","",C92+IF(D92="",30,D92))</f>
        <v/>
      </c>
      <c r="F92" s="18" t="n"/>
      <c r="G92" s="18" t="n"/>
      <c r="H92" s="8" t="str">
        <f>IF(F92="","",F92-N(G92))</f>
        <v/>
      </c>
      <c r="I92" s="16" t="str">
        <f>IF(OR(F92="",H92&lt;=0),"",MAX(0,TODAY()-E92))</f>
        <v/>
      </c>
      <c r="J92" s="17" t="str">
        <f>IF(F92="","",IF(H92&lt;=0,"Paid",IF(TODAY()&gt;E92,"Late","Open")))</f>
        <v/>
      </c>
      <c r="K92" s="11" t="n"/>
    </row>
    <row r="93">
      <c r="A93" s="10" t="n"/>
      <c r="B93" s="11" t="n"/>
      <c r="C93" s="12" t="n"/>
      <c r="D93" s="13" t="n"/>
      <c r="E93" s="14" t="str">
        <f>IF(C93="","",C93+IF(D93="",30,D93))</f>
        <v/>
      </c>
      <c r="F93" s="18" t="n"/>
      <c r="G93" s="18" t="n"/>
      <c r="H93" s="8" t="str">
        <f>IF(F93="","",F93-N(G93))</f>
        <v/>
      </c>
      <c r="I93" s="16" t="str">
        <f>IF(OR(F93="",H93&lt;=0),"",MAX(0,TODAY()-E93))</f>
        <v/>
      </c>
      <c r="J93" s="17" t="str">
        <f>IF(F93="","",IF(H93&lt;=0,"Paid",IF(TODAY()&gt;E93,"Late","Open")))</f>
        <v/>
      </c>
      <c r="K93" s="11" t="n"/>
    </row>
    <row r="94">
      <c r="A94" s="10" t="n"/>
      <c r="B94" s="11" t="n"/>
      <c r="C94" s="12" t="n"/>
      <c r="D94" s="13" t="n"/>
      <c r="E94" s="14" t="str">
        <f>IF(C94="","",C94+IF(D94="",30,D94))</f>
        <v/>
      </c>
      <c r="F94" s="18" t="n"/>
      <c r="G94" s="18" t="n"/>
      <c r="H94" s="8" t="str">
        <f>IF(F94="","",F94-N(G94))</f>
        <v/>
      </c>
      <c r="I94" s="16" t="str">
        <f>IF(OR(F94="",H94&lt;=0),"",MAX(0,TODAY()-E94))</f>
        <v/>
      </c>
      <c r="J94" s="17" t="str">
        <f>IF(F94="","",IF(H94&lt;=0,"Paid",IF(TODAY()&gt;E94,"Late","Open")))</f>
        <v/>
      </c>
      <c r="K94" s="11" t="n"/>
    </row>
    <row r="95">
      <c r="A95" s="10" t="n"/>
      <c r="B95" s="11" t="n"/>
      <c r="C95" s="12" t="n"/>
      <c r="D95" s="13" t="n"/>
      <c r="E95" s="14" t="str">
        <f>IF(C95="","",C95+IF(D95="",30,D95))</f>
        <v/>
      </c>
      <c r="F95" s="18" t="n"/>
      <c r="G95" s="18" t="n"/>
      <c r="H95" s="8" t="str">
        <f>IF(F95="","",F95-N(G95))</f>
        <v/>
      </c>
      <c r="I95" s="16" t="str">
        <f>IF(OR(F95="",H95&lt;=0),"",MAX(0,TODAY()-E95))</f>
        <v/>
      </c>
      <c r="J95" s="17" t="str">
        <f>IF(F95="","",IF(H95&lt;=0,"Paid",IF(TODAY()&gt;E95,"Late","Open")))</f>
        <v/>
      </c>
      <c r="K95" s="11" t="n"/>
    </row>
    <row r="96">
      <c r="A96" s="10" t="n"/>
      <c r="B96" s="11" t="n"/>
      <c r="C96" s="12" t="n"/>
      <c r="D96" s="13" t="n"/>
      <c r="E96" s="14" t="str">
        <f>IF(C96="","",C96+IF(D96="",30,D96))</f>
        <v/>
      </c>
      <c r="F96" s="18" t="n"/>
      <c r="G96" s="18" t="n"/>
      <c r="H96" s="8" t="str">
        <f>IF(F96="","",F96-N(G96))</f>
        <v/>
      </c>
      <c r="I96" s="16" t="str">
        <f>IF(OR(F96="",H96&lt;=0),"",MAX(0,TODAY()-E96))</f>
        <v/>
      </c>
      <c r="J96" s="17" t="str">
        <f>IF(F96="","",IF(H96&lt;=0,"Paid",IF(TODAY()&gt;E96,"Late","Open")))</f>
        <v/>
      </c>
      <c r="K96" s="11" t="n"/>
    </row>
    <row r="97">
      <c r="A97" s="10" t="n"/>
      <c r="B97" s="11" t="n"/>
      <c r="C97" s="12" t="n"/>
      <c r="D97" s="13" t="n"/>
      <c r="E97" s="14" t="str">
        <f>IF(C97="","",C97+IF(D97="",30,D97))</f>
        <v/>
      </c>
      <c r="F97" s="18" t="n"/>
      <c r="G97" s="18" t="n"/>
      <c r="H97" s="8" t="str">
        <f>IF(F97="","",F97-N(G97))</f>
        <v/>
      </c>
      <c r="I97" s="16" t="str">
        <f>IF(OR(F97="",H97&lt;=0),"",MAX(0,TODAY()-E97))</f>
        <v/>
      </c>
      <c r="J97" s="17" t="str">
        <f>IF(F97="","",IF(H97&lt;=0,"Paid",IF(TODAY()&gt;E97,"Late","Open")))</f>
        <v/>
      </c>
      <c r="K97" s="11" t="n"/>
    </row>
    <row r="98">
      <c r="A98" s="10" t="n"/>
      <c r="B98" s="11" t="n"/>
      <c r="C98" s="12" t="n"/>
      <c r="D98" s="13" t="n"/>
      <c r="E98" s="14" t="str">
        <f>IF(C98="","",C98+IF(D98="",30,D98))</f>
        <v/>
      </c>
      <c r="F98" s="18" t="n"/>
      <c r="G98" s="18" t="n"/>
      <c r="H98" s="8" t="str">
        <f>IF(F98="","",F98-N(G98))</f>
        <v/>
      </c>
      <c r="I98" s="16" t="str">
        <f>IF(OR(F98="",H98&lt;=0),"",MAX(0,TODAY()-E98))</f>
        <v/>
      </c>
      <c r="J98" s="17" t="str">
        <f>IF(F98="","",IF(H98&lt;=0,"Paid",IF(TODAY()&gt;E98,"Late","Open")))</f>
        <v/>
      </c>
      <c r="K98" s="11" t="n"/>
    </row>
    <row r="99">
      <c r="A99" s="10" t="n"/>
      <c r="B99" s="11" t="n"/>
      <c r="C99" s="12" t="n"/>
      <c r="D99" s="13" t="n"/>
      <c r="E99" s="14" t="str">
        <f>IF(C99="","",C99+IF(D99="",30,D99))</f>
        <v/>
      </c>
      <c r="F99" s="18" t="n"/>
      <c r="G99" s="18" t="n"/>
      <c r="H99" s="8" t="str">
        <f>IF(F99="","",F99-N(G99))</f>
        <v/>
      </c>
      <c r="I99" s="16" t="str">
        <f>IF(OR(F99="",H99&lt;=0),"",MAX(0,TODAY()-E99))</f>
        <v/>
      </c>
      <c r="J99" s="17" t="str">
        <f>IF(F99="","",IF(H99&lt;=0,"Paid",IF(TODAY()&gt;E99,"Late","Open")))</f>
        <v/>
      </c>
      <c r="K99" s="11" t="n"/>
    </row>
    <row r="100">
      <c r="A100" s="10" t="n"/>
      <c r="B100" s="11" t="n"/>
      <c r="C100" s="12" t="n"/>
      <c r="D100" s="13" t="n"/>
      <c r="E100" s="14" t="str">
        <f>IF(C100="","",C100+IF(D100="",30,D100))</f>
        <v/>
      </c>
      <c r="F100" s="18" t="n"/>
      <c r="G100" s="18" t="n"/>
      <c r="H100" s="8" t="str">
        <f>IF(F100="","",F100-N(G100))</f>
        <v/>
      </c>
      <c r="I100" s="16" t="str">
        <f>IF(OR(F100="",H100&lt;=0),"",MAX(0,TODAY()-E100))</f>
        <v/>
      </c>
      <c r="J100" s="17" t="str">
        <f>IF(F100="","",IF(H100&lt;=0,"Paid",IF(TODAY()&gt;E100,"Late","Open")))</f>
        <v/>
      </c>
      <c r="K100" s="11" t="n"/>
    </row>
    <row r="101">
      <c r="A101" s="10" t="n"/>
      <c r="B101" s="11" t="n"/>
      <c r="C101" s="12" t="n"/>
      <c r="D101" s="13" t="n"/>
      <c r="E101" s="14" t="str">
        <f>IF(C101="","",C101+IF(D101="",30,D101))</f>
        <v/>
      </c>
      <c r="F101" s="18" t="n"/>
      <c r="G101" s="18" t="n"/>
      <c r="H101" s="8" t="str">
        <f>IF(F101="","",F101-N(G101))</f>
        <v/>
      </c>
      <c r="I101" s="16" t="str">
        <f>IF(OR(F101="",H101&lt;=0),"",MAX(0,TODAY()-E101))</f>
        <v/>
      </c>
      <c r="J101" s="17" t="str">
        <f>IF(F101="","",IF(H101&lt;=0,"Paid",IF(TODAY()&gt;E101,"Late","Open")))</f>
        <v/>
      </c>
      <c r="K101" s="11" t="n"/>
    </row>
    <row r="102">
      <c r="A102" s="10" t="n"/>
      <c r="B102" s="11" t="n"/>
      <c r="C102" s="12" t="n"/>
      <c r="D102" s="13" t="n"/>
      <c r="E102" s="14" t="str">
        <f>IF(C102="","",C102+IF(D102="",30,D102))</f>
        <v/>
      </c>
      <c r="F102" s="18" t="n"/>
      <c r="G102" s="18" t="n"/>
      <c r="H102" s="8" t="str">
        <f>IF(F102="","",F102-N(G102))</f>
        <v/>
      </c>
      <c r="I102" s="16" t="str">
        <f>IF(OR(F102="",H102&lt;=0),"",MAX(0,TODAY()-E102))</f>
        <v/>
      </c>
      <c r="J102" s="17" t="str">
        <f>IF(F102="","",IF(H102&lt;=0,"Paid",IF(TODAY()&gt;E102,"Late","Open")))</f>
        <v/>
      </c>
      <c r="K102" s="11" t="n"/>
    </row>
    <row r="103">
      <c r="A103" s="10" t="n"/>
      <c r="B103" s="11" t="n"/>
      <c r="C103" s="12" t="n"/>
      <c r="D103" s="13" t="n"/>
      <c r="E103" s="14" t="str">
        <f>IF(C103="","",C103+IF(D103="",30,D103))</f>
        <v/>
      </c>
      <c r="F103" s="18" t="n"/>
      <c r="G103" s="18" t="n"/>
      <c r="H103" s="8" t="str">
        <f>IF(F103="","",F103-N(G103))</f>
        <v/>
      </c>
      <c r="I103" s="16" t="str">
        <f>IF(OR(F103="",H103&lt;=0),"",MAX(0,TODAY()-E103))</f>
        <v/>
      </c>
      <c r="J103" s="17" t="str">
        <f>IF(F103="","",IF(H103&lt;=0,"Paid",IF(TODAY()&gt;E103,"Late","Open")))</f>
        <v/>
      </c>
      <c r="K103" s="11" t="n"/>
    </row>
    <row r="104">
      <c r="A104" s="10" t="n"/>
      <c r="B104" s="11" t="n"/>
      <c r="C104" s="12" t="n"/>
      <c r="D104" s="13" t="n"/>
      <c r="E104" s="14" t="str">
        <f>IF(C104="","",C104+IF(D104="",30,D104))</f>
        <v/>
      </c>
      <c r="F104" s="18" t="n"/>
      <c r="G104" s="18" t="n"/>
      <c r="H104" s="8" t="str">
        <f>IF(F104="","",F104-N(G104))</f>
        <v/>
      </c>
      <c r="I104" s="16" t="str">
        <f>IF(OR(F104="",H104&lt;=0),"",MAX(0,TODAY()-E104))</f>
        <v/>
      </c>
      <c r="J104" s="17" t="str">
        <f>IF(F104="","",IF(H104&lt;=0,"Paid",IF(TODAY()&gt;E104,"Late","Open")))</f>
        <v/>
      </c>
      <c r="K104" s="11" t="n"/>
    </row>
    <row r="105">
      <c r="A105" s="10" t="n"/>
      <c r="B105" s="11" t="n"/>
      <c r="C105" s="12" t="n"/>
      <c r="D105" s="13" t="n"/>
      <c r="E105" s="14" t="str">
        <f>IF(C105="","",C105+IF(D105="",30,D105))</f>
        <v/>
      </c>
      <c r="F105" s="18" t="n"/>
      <c r="G105" s="18" t="n"/>
      <c r="H105" s="8" t="str">
        <f>IF(F105="","",F105-N(G105))</f>
        <v/>
      </c>
      <c r="I105" s="16" t="str">
        <f>IF(OR(F105="",H105&lt;=0),"",MAX(0,TODAY()-E105))</f>
        <v/>
      </c>
      <c r="J105" s="17" t="str">
        <f>IF(F105="","",IF(H105&lt;=0,"Paid",IF(TODAY()&gt;E105,"Late","Open")))</f>
        <v/>
      </c>
      <c r="K105" s="11" t="n"/>
    </row>
    <row r="106">
      <c r="A106" s="10" t="n"/>
      <c r="B106" s="11" t="n"/>
      <c r="C106" s="12" t="n"/>
      <c r="D106" s="13" t="n"/>
      <c r="E106" s="14" t="str">
        <f>IF(C106="","",C106+IF(D106="",30,D106))</f>
        <v/>
      </c>
      <c r="F106" s="18" t="n"/>
      <c r="G106" s="18" t="n"/>
      <c r="H106" s="8" t="str">
        <f>IF(F106="","",F106-N(G106))</f>
        <v/>
      </c>
      <c r="I106" s="16" t="str">
        <f>IF(OR(F106="",H106&lt;=0),"",MAX(0,TODAY()-E106))</f>
        <v/>
      </c>
      <c r="J106" s="17" t="str">
        <f>IF(F106="","",IF(H106&lt;=0,"Paid",IF(TODAY()&gt;E106,"Late","Open")))</f>
        <v/>
      </c>
      <c r="K106" s="11" t="n"/>
    </row>
    <row r="107">
      <c r="A107" s="10" t="n"/>
      <c r="B107" s="11" t="n"/>
      <c r="C107" s="12" t="n"/>
      <c r="D107" s="13" t="n"/>
      <c r="E107" s="14" t="str">
        <f>IF(C107="","",C107+IF(D107="",30,D107))</f>
        <v/>
      </c>
      <c r="F107" s="18" t="n"/>
      <c r="G107" s="18" t="n"/>
      <c r="H107" s="8" t="str">
        <f>IF(F107="","",F107-N(G107))</f>
        <v/>
      </c>
      <c r="I107" s="16" t="str">
        <f>IF(OR(F107="",H107&lt;=0),"",MAX(0,TODAY()-E107))</f>
        <v/>
      </c>
      <c r="J107" s="17" t="str">
        <f>IF(F107="","",IF(H107&lt;=0,"Paid",IF(TODAY()&gt;E107,"Late","Open")))</f>
        <v/>
      </c>
      <c r="K107" s="11" t="n"/>
    </row>
    <row r="108">
      <c r="A108" s="10" t="n"/>
      <c r="B108" s="11" t="n"/>
      <c r="C108" s="12" t="n"/>
      <c r="D108" s="13" t="n"/>
      <c r="E108" s="14" t="str">
        <f>IF(C108="","",C108+IF(D108="",30,D108))</f>
        <v/>
      </c>
      <c r="F108" s="18" t="n"/>
      <c r="G108" s="18" t="n"/>
      <c r="H108" s="8" t="str">
        <f>IF(F108="","",F108-N(G108))</f>
        <v/>
      </c>
      <c r="I108" s="16" t="str">
        <f>IF(OR(F108="",H108&lt;=0),"",MAX(0,TODAY()-E108))</f>
        <v/>
      </c>
      <c r="J108" s="17" t="str">
        <f>IF(F108="","",IF(H108&lt;=0,"Paid",IF(TODAY()&gt;E108,"Late","Open")))</f>
        <v/>
      </c>
      <c r="K108" s="11" t="n"/>
    </row>
    <row r="109">
      <c r="A109" s="10" t="n"/>
      <c r="B109" s="11" t="n"/>
      <c r="C109" s="12" t="n"/>
      <c r="D109" s="13" t="n"/>
      <c r="E109" s="14" t="str">
        <f>IF(C109="","",C109+IF(D109="",30,D109))</f>
        <v/>
      </c>
      <c r="F109" s="18" t="n"/>
      <c r="G109" s="18" t="n"/>
      <c r="H109" s="8" t="str">
        <f>IF(F109="","",F109-N(G109))</f>
        <v/>
      </c>
      <c r="I109" s="16" t="str">
        <f>IF(OR(F109="",H109&lt;=0),"",MAX(0,TODAY()-E109))</f>
        <v/>
      </c>
      <c r="J109" s="17" t="str">
        <f>IF(F109="","",IF(H109&lt;=0,"Paid",IF(TODAY()&gt;E109,"Late","Open")))</f>
        <v/>
      </c>
      <c r="K109" s="11" t="n"/>
    </row>
    <row r="110">
      <c r="A110" s="10" t="n"/>
      <c r="B110" s="11" t="n"/>
      <c r="C110" s="12" t="n"/>
      <c r="D110" s="13" t="n"/>
      <c r="E110" s="14" t="str">
        <f>IF(C110="","",C110+IF(D110="",30,D110))</f>
        <v/>
      </c>
      <c r="F110" s="18" t="n"/>
      <c r="G110" s="18" t="n"/>
      <c r="H110" s="8" t="str">
        <f>IF(F110="","",F110-N(G110))</f>
        <v/>
      </c>
      <c r="I110" s="16" t="str">
        <f>IF(OR(F110="",H110&lt;=0),"",MAX(0,TODAY()-E110))</f>
        <v/>
      </c>
      <c r="J110" s="17" t="str">
        <f>IF(F110="","",IF(H110&lt;=0,"Paid",IF(TODAY()&gt;E110,"Late","Open")))</f>
        <v/>
      </c>
      <c r="K110" s="11" t="n"/>
    </row>
    <row r="111">
      <c r="A111" s="10" t="n"/>
      <c r="B111" s="11" t="n"/>
      <c r="C111" s="12" t="n"/>
      <c r="D111" s="13" t="n"/>
      <c r="E111" s="14" t="str">
        <f>IF(C111="","",C111+IF(D111="",30,D111))</f>
        <v/>
      </c>
      <c r="F111" s="18" t="n"/>
      <c r="G111" s="18" t="n"/>
      <c r="H111" s="8" t="str">
        <f>IF(F111="","",F111-N(G111))</f>
        <v/>
      </c>
      <c r="I111" s="16" t="str">
        <f>IF(OR(F111="",H111&lt;=0),"",MAX(0,TODAY()-E111))</f>
        <v/>
      </c>
      <c r="J111" s="17" t="str">
        <f>IF(F111="","",IF(H111&lt;=0,"Paid",IF(TODAY()&gt;E111,"Late","Open")))</f>
        <v/>
      </c>
      <c r="K111" s="11" t="n"/>
    </row>
    <row r="112">
      <c r="A112" s="10" t="n"/>
      <c r="B112" s="11" t="n"/>
      <c r="C112" s="12" t="n"/>
      <c r="D112" s="13" t="n"/>
      <c r="E112" s="14" t="str">
        <f>IF(C112="","",C112+IF(D112="",30,D112))</f>
        <v/>
      </c>
      <c r="F112" s="18" t="n"/>
      <c r="G112" s="18" t="n"/>
      <c r="H112" s="8" t="str">
        <f>IF(F112="","",F112-N(G112))</f>
        <v/>
      </c>
      <c r="I112" s="16" t="str">
        <f>IF(OR(F112="",H112&lt;=0),"",MAX(0,TODAY()-E112))</f>
        <v/>
      </c>
      <c r="J112" s="17" t="str">
        <f>IF(F112="","",IF(H112&lt;=0,"Paid",IF(TODAY()&gt;E112,"Late","Open")))</f>
        <v/>
      </c>
      <c r="K112" s="11" t="n"/>
    </row>
    <row r="113">
      <c r="A113" s="10" t="n"/>
      <c r="B113" s="11" t="n"/>
      <c r="C113" s="12" t="n"/>
      <c r="D113" s="13" t="n"/>
      <c r="E113" s="14" t="str">
        <f>IF(C113="","",C113+IF(D113="",30,D113))</f>
        <v/>
      </c>
      <c r="F113" s="18" t="n"/>
      <c r="G113" s="18" t="n"/>
      <c r="H113" s="8" t="str">
        <f>IF(F113="","",F113-N(G113))</f>
        <v/>
      </c>
      <c r="I113" s="16" t="str">
        <f>IF(OR(F113="",H113&lt;=0),"",MAX(0,TODAY()-E113))</f>
        <v/>
      </c>
      <c r="J113" s="17" t="str">
        <f>IF(F113="","",IF(H113&lt;=0,"Paid",IF(TODAY()&gt;E113,"Late","Open")))</f>
        <v/>
      </c>
      <c r="K113" s="11" t="n"/>
    </row>
    <row r="114">
      <c r="A114" s="10" t="n"/>
      <c r="B114" s="11" t="n"/>
      <c r="C114" s="12" t="n"/>
      <c r="D114" s="13" t="n"/>
      <c r="E114" s="14" t="str">
        <f>IF(C114="","",C114+IF(D114="",30,D114))</f>
        <v/>
      </c>
      <c r="F114" s="18" t="n"/>
      <c r="G114" s="18" t="n"/>
      <c r="H114" s="8" t="str">
        <f>IF(F114="","",F114-N(G114))</f>
        <v/>
      </c>
      <c r="I114" s="16" t="str">
        <f>IF(OR(F114="",H114&lt;=0),"",MAX(0,TODAY()-E114))</f>
        <v/>
      </c>
      <c r="J114" s="17" t="str">
        <f>IF(F114="","",IF(H114&lt;=0,"Paid",IF(TODAY()&gt;E114,"Late","Open")))</f>
        <v/>
      </c>
      <c r="K114" s="11" t="n"/>
    </row>
    <row r="115">
      <c r="A115" s="10" t="n"/>
      <c r="B115" s="11" t="n"/>
      <c r="C115" s="12" t="n"/>
      <c r="D115" s="13" t="n"/>
      <c r="E115" s="14" t="str">
        <f>IF(C115="","",C115+IF(D115="",30,D115))</f>
        <v/>
      </c>
      <c r="F115" s="18" t="n"/>
      <c r="G115" s="18" t="n"/>
      <c r="H115" s="8" t="str">
        <f>IF(F115="","",F115-N(G115))</f>
        <v/>
      </c>
      <c r="I115" s="16" t="str">
        <f>IF(OR(F115="",H115&lt;=0),"",MAX(0,TODAY()-E115))</f>
        <v/>
      </c>
      <c r="J115" s="17" t="str">
        <f>IF(F115="","",IF(H115&lt;=0,"Paid",IF(TODAY()&gt;E115,"Late","Open")))</f>
        <v/>
      </c>
      <c r="K115" s="11" t="n"/>
    </row>
    <row r="116">
      <c r="A116" s="10" t="n"/>
      <c r="B116" s="11" t="n"/>
      <c r="C116" s="12" t="n"/>
      <c r="D116" s="13" t="n"/>
      <c r="E116" s="14" t="str">
        <f>IF(C116="","",C116+IF(D116="",30,D116))</f>
        <v/>
      </c>
      <c r="F116" s="18" t="n"/>
      <c r="G116" s="18" t="n"/>
      <c r="H116" s="8" t="str">
        <f>IF(F116="","",F116-N(G116))</f>
        <v/>
      </c>
      <c r="I116" s="16" t="str">
        <f>IF(OR(F116="",H116&lt;=0),"",MAX(0,TODAY()-E116))</f>
        <v/>
      </c>
      <c r="J116" s="17" t="str">
        <f>IF(F116="","",IF(H116&lt;=0,"Paid",IF(TODAY()&gt;E116,"Late","Open")))</f>
        <v/>
      </c>
      <c r="K116" s="11" t="n"/>
    </row>
    <row r="117">
      <c r="A117" s="10" t="n"/>
      <c r="B117" s="11" t="n"/>
      <c r="C117" s="12" t="n"/>
      <c r="D117" s="13" t="n"/>
      <c r="E117" s="14" t="str">
        <f>IF(C117="","",C117+IF(D117="",30,D117))</f>
        <v/>
      </c>
      <c r="F117" s="18" t="n"/>
      <c r="G117" s="18" t="n"/>
      <c r="H117" s="8" t="str">
        <f>IF(F117="","",F117-N(G117))</f>
        <v/>
      </c>
      <c r="I117" s="16" t="str">
        <f>IF(OR(F117="",H117&lt;=0),"",MAX(0,TODAY()-E117))</f>
        <v/>
      </c>
      <c r="J117" s="17" t="str">
        <f>IF(F117="","",IF(H117&lt;=0,"Paid",IF(TODAY()&gt;E117,"Late","Open")))</f>
        <v/>
      </c>
      <c r="K117" s="11" t="n"/>
    </row>
    <row r="118">
      <c r="A118" s="10" t="n"/>
      <c r="B118" s="11" t="n"/>
      <c r="C118" s="12" t="n"/>
      <c r="D118" s="13" t="n"/>
      <c r="E118" s="14" t="str">
        <f>IF(C118="","",C118+IF(D118="",30,D118))</f>
        <v/>
      </c>
      <c r="F118" s="18" t="n"/>
      <c r="G118" s="18" t="n"/>
      <c r="H118" s="8" t="str">
        <f>IF(F118="","",F118-N(G118))</f>
        <v/>
      </c>
      <c r="I118" s="16" t="str">
        <f>IF(OR(F118="",H118&lt;=0),"",MAX(0,TODAY()-E118))</f>
        <v/>
      </c>
      <c r="J118" s="17" t="str">
        <f>IF(F118="","",IF(H118&lt;=0,"Paid",IF(TODAY()&gt;E118,"Late","Open")))</f>
        <v/>
      </c>
      <c r="K118" s="11" t="n"/>
    </row>
    <row r="119">
      <c r="A119" s="10" t="n"/>
      <c r="B119" s="11" t="n"/>
      <c r="C119" s="12" t="n"/>
      <c r="D119" s="13" t="n"/>
      <c r="E119" s="14" t="str">
        <f>IF(C119="","",C119+IF(D119="",30,D119))</f>
        <v/>
      </c>
      <c r="F119" s="18" t="n"/>
      <c r="G119" s="18" t="n"/>
      <c r="H119" s="8" t="str">
        <f>IF(F119="","",F119-N(G119))</f>
        <v/>
      </c>
      <c r="I119" s="16" t="str">
        <f>IF(OR(F119="",H119&lt;=0),"",MAX(0,TODAY()-E119))</f>
        <v/>
      </c>
      <c r="J119" s="17" t="str">
        <f>IF(F119="","",IF(H119&lt;=0,"Paid",IF(TODAY()&gt;E119,"Late","Open")))</f>
        <v/>
      </c>
      <c r="K119" s="11" t="n"/>
    </row>
    <row r="120">
      <c r="A120" s="10" t="n"/>
      <c r="B120" s="11" t="n"/>
      <c r="C120" s="12" t="n"/>
      <c r="D120" s="13" t="n"/>
      <c r="E120" s="14" t="str">
        <f>IF(C120="","",C120+IF(D120="",30,D120))</f>
        <v/>
      </c>
      <c r="F120" s="18" t="n"/>
      <c r="G120" s="18" t="n"/>
      <c r="H120" s="8" t="str">
        <f>IF(F120="","",F120-N(G120))</f>
        <v/>
      </c>
      <c r="I120" s="16" t="str">
        <f>IF(OR(F120="",H120&lt;=0),"",MAX(0,TODAY()-E120))</f>
        <v/>
      </c>
      <c r="J120" s="17" t="str">
        <f>IF(F120="","",IF(H120&lt;=0,"Paid",IF(TODAY()&gt;E120,"Late","Open")))</f>
        <v/>
      </c>
      <c r="K120" s="11" t="n"/>
    </row>
    <row r="121">
      <c r="A121" s="10" t="n"/>
      <c r="B121" s="11" t="n"/>
      <c r="C121" s="12" t="n"/>
      <c r="D121" s="13" t="n"/>
      <c r="E121" s="14" t="str">
        <f>IF(C121="","",C121+IF(D121="",30,D121))</f>
        <v/>
      </c>
      <c r="F121" s="18" t="n"/>
      <c r="G121" s="18" t="n"/>
      <c r="H121" s="8" t="str">
        <f>IF(F121="","",F121-N(G121))</f>
        <v/>
      </c>
      <c r="I121" s="16" t="str">
        <f>IF(OR(F121="",H121&lt;=0),"",MAX(0,TODAY()-E121))</f>
        <v/>
      </c>
      <c r="J121" s="17" t="str">
        <f>IF(F121="","",IF(H121&lt;=0,"Paid",IF(TODAY()&gt;E121,"Late","Open")))</f>
        <v/>
      </c>
      <c r="K121" s="11" t="n"/>
    </row>
    <row r="122">
      <c r="A122" s="10" t="n"/>
      <c r="B122" s="11" t="n"/>
      <c r="C122" s="12" t="n"/>
      <c r="D122" s="13" t="n"/>
      <c r="E122" s="14" t="str">
        <f>IF(C122="","",C122+IF(D122="",30,D122))</f>
        <v/>
      </c>
      <c r="F122" s="18" t="n"/>
      <c r="G122" s="18" t="n"/>
      <c r="H122" s="8" t="str">
        <f>IF(F122="","",F122-N(G122))</f>
        <v/>
      </c>
      <c r="I122" s="16" t="str">
        <f>IF(OR(F122="",H122&lt;=0),"",MAX(0,TODAY()-E122))</f>
        <v/>
      </c>
      <c r="J122" s="17" t="str">
        <f>IF(F122="","",IF(H122&lt;=0,"Paid",IF(TODAY()&gt;E122,"Late","Open")))</f>
        <v/>
      </c>
      <c r="K122" s="11" t="n"/>
    </row>
    <row r="123">
      <c r="A123" s="10" t="n"/>
      <c r="B123" s="11" t="n"/>
      <c r="C123" s="12" t="n"/>
      <c r="D123" s="13" t="n"/>
      <c r="E123" s="14" t="str">
        <f>IF(C123="","",C123+IF(D123="",30,D123))</f>
        <v/>
      </c>
      <c r="F123" s="18" t="n"/>
      <c r="G123" s="18" t="n"/>
      <c r="H123" s="8" t="str">
        <f>IF(F123="","",F123-N(G123))</f>
        <v/>
      </c>
      <c r="I123" s="16" t="str">
        <f>IF(OR(F123="",H123&lt;=0),"",MAX(0,TODAY()-E123))</f>
        <v/>
      </c>
      <c r="J123" s="17" t="str">
        <f>IF(F123="","",IF(H123&lt;=0,"Paid",IF(TODAY()&gt;E123,"Late","Open")))</f>
        <v/>
      </c>
      <c r="K123" s="11" t="n"/>
    </row>
    <row r="124">
      <c r="A124" s="10" t="n"/>
      <c r="B124" s="11" t="n"/>
      <c r="C124" s="12" t="n"/>
      <c r="D124" s="13" t="n"/>
      <c r="E124" s="14" t="str">
        <f>IF(C124="","",C124+IF(D124="",30,D124))</f>
        <v/>
      </c>
      <c r="F124" s="18" t="n"/>
      <c r="G124" s="18" t="n"/>
      <c r="H124" s="8" t="str">
        <f>IF(F124="","",F124-N(G124))</f>
        <v/>
      </c>
      <c r="I124" s="16" t="str">
        <f>IF(OR(F124="",H124&lt;=0),"",MAX(0,TODAY()-E124))</f>
        <v/>
      </c>
      <c r="J124" s="17" t="str">
        <f>IF(F124="","",IF(H124&lt;=0,"Paid",IF(TODAY()&gt;E124,"Late","Open")))</f>
        <v/>
      </c>
      <c r="K124" s="11" t="n"/>
    </row>
    <row r="125">
      <c r="A125" s="10" t="n"/>
      <c r="B125" s="11" t="n"/>
      <c r="C125" s="12" t="n"/>
      <c r="D125" s="13" t="n"/>
      <c r="E125" s="14" t="str">
        <f>IF(C125="","",C125+IF(D125="",30,D125))</f>
        <v/>
      </c>
      <c r="F125" s="18" t="n"/>
      <c r="G125" s="18" t="n"/>
      <c r="H125" s="8" t="str">
        <f>IF(F125="","",F125-N(G125))</f>
        <v/>
      </c>
      <c r="I125" s="16" t="str">
        <f>IF(OR(F125="",H125&lt;=0),"",MAX(0,TODAY()-E125))</f>
        <v/>
      </c>
      <c r="J125" s="17" t="str">
        <f>IF(F125="","",IF(H125&lt;=0,"Paid",IF(TODAY()&gt;E125,"Late","Open")))</f>
        <v/>
      </c>
      <c r="K125" s="11" t="n"/>
    </row>
    <row r="126">
      <c r="A126" s="10" t="n"/>
      <c r="B126" s="11" t="n"/>
      <c r="C126" s="12" t="n"/>
      <c r="D126" s="13" t="n"/>
      <c r="E126" s="14" t="str">
        <f>IF(C126="","",C126+IF(D126="",30,D126))</f>
        <v/>
      </c>
      <c r="F126" s="18" t="n"/>
      <c r="G126" s="18" t="n"/>
      <c r="H126" s="8" t="str">
        <f>IF(F126="","",F126-N(G126))</f>
        <v/>
      </c>
      <c r="I126" s="16" t="str">
        <f>IF(OR(F126="",H126&lt;=0),"",MAX(0,TODAY()-E126))</f>
        <v/>
      </c>
      <c r="J126" s="17" t="str">
        <f>IF(F126="","",IF(H126&lt;=0,"Paid",IF(TODAY()&gt;E126,"Late","Open")))</f>
        <v/>
      </c>
      <c r="K126" s="11" t="n"/>
    </row>
    <row r="127">
      <c r="A127" s="10" t="n"/>
      <c r="B127" s="11" t="n"/>
      <c r="C127" s="12" t="n"/>
      <c r="D127" s="13" t="n"/>
      <c r="E127" s="14" t="str">
        <f>IF(C127="","",C127+IF(D127="",30,D127))</f>
        <v/>
      </c>
      <c r="F127" s="18" t="n"/>
      <c r="G127" s="18" t="n"/>
      <c r="H127" s="8" t="str">
        <f>IF(F127="","",F127-N(G127))</f>
        <v/>
      </c>
      <c r="I127" s="16" t="str">
        <f>IF(OR(F127="",H127&lt;=0),"",MAX(0,TODAY()-E127))</f>
        <v/>
      </c>
      <c r="J127" s="17" t="str">
        <f>IF(F127="","",IF(H127&lt;=0,"Paid",IF(TODAY()&gt;E127,"Late","Open")))</f>
        <v/>
      </c>
      <c r="K127" s="11" t="n"/>
    </row>
    <row r="128">
      <c r="A128" s="10" t="n"/>
      <c r="B128" s="11" t="n"/>
      <c r="C128" s="12" t="n"/>
      <c r="D128" s="13" t="n"/>
      <c r="E128" s="14" t="str">
        <f>IF(C128="","",C128+IF(D128="",30,D128))</f>
        <v/>
      </c>
      <c r="F128" s="18" t="n"/>
      <c r="G128" s="18" t="n"/>
      <c r="H128" s="8" t="str">
        <f>IF(F128="","",F128-N(G128))</f>
        <v/>
      </c>
      <c r="I128" s="16" t="str">
        <f>IF(OR(F128="",H128&lt;=0),"",MAX(0,TODAY()-E128))</f>
        <v/>
      </c>
      <c r="J128" s="17" t="str">
        <f>IF(F128="","",IF(H128&lt;=0,"Paid",IF(TODAY()&gt;E128,"Late","Open")))</f>
        <v/>
      </c>
      <c r="K128" s="11" t="n"/>
    </row>
    <row r="129">
      <c r="A129" s="10" t="n"/>
      <c r="B129" s="11" t="n"/>
      <c r="C129" s="12" t="n"/>
      <c r="D129" s="13" t="n"/>
      <c r="E129" s="14" t="str">
        <f>IF(C129="","",C129+IF(D129="",30,D129))</f>
        <v/>
      </c>
      <c r="F129" s="18" t="n"/>
      <c r="G129" s="18" t="n"/>
      <c r="H129" s="8" t="str">
        <f>IF(F129="","",F129-N(G129))</f>
        <v/>
      </c>
      <c r="I129" s="16" t="str">
        <f>IF(OR(F129="",H129&lt;=0),"",MAX(0,TODAY()-E129))</f>
        <v/>
      </c>
      <c r="J129" s="17" t="str">
        <f>IF(F129="","",IF(H129&lt;=0,"Paid",IF(TODAY()&gt;E129,"Late","Open")))</f>
        <v/>
      </c>
      <c r="K129" s="11" t="n"/>
    </row>
    <row r="130">
      <c r="A130" s="10" t="n"/>
      <c r="B130" s="11" t="n"/>
      <c r="C130" s="12" t="n"/>
      <c r="D130" s="13" t="n"/>
      <c r="E130" s="14" t="str">
        <f>IF(C130="","",C130+IF(D130="",30,D130))</f>
        <v/>
      </c>
      <c r="F130" s="18" t="n"/>
      <c r="G130" s="18" t="n"/>
      <c r="H130" s="8" t="str">
        <f>IF(F130="","",F130-N(G130))</f>
        <v/>
      </c>
      <c r="I130" s="16" t="str">
        <f>IF(OR(F130="",H130&lt;=0),"",MAX(0,TODAY()-E130))</f>
        <v/>
      </c>
      <c r="J130" s="17" t="str">
        <f>IF(F130="","",IF(H130&lt;=0,"Paid",IF(TODAY()&gt;E130,"Late","Open")))</f>
        <v/>
      </c>
      <c r="K130" s="11" t="n"/>
    </row>
    <row r="131">
      <c r="A131" s="10" t="n"/>
      <c r="B131" s="11" t="n"/>
      <c r="C131" s="12" t="n"/>
      <c r="D131" s="13" t="n"/>
      <c r="E131" s="14" t="str">
        <f>IF(C131="","",C131+IF(D131="",30,D131))</f>
        <v/>
      </c>
      <c r="F131" s="18" t="n"/>
      <c r="G131" s="18" t="n"/>
      <c r="H131" s="8" t="str">
        <f>IF(F131="","",F131-N(G131))</f>
        <v/>
      </c>
      <c r="I131" s="16" t="str">
        <f>IF(OR(F131="",H131&lt;=0),"",MAX(0,TODAY()-E131))</f>
        <v/>
      </c>
      <c r="J131" s="17" t="str">
        <f>IF(F131="","",IF(H131&lt;=0,"Paid",IF(TODAY()&gt;E131,"Late","Open")))</f>
        <v/>
      </c>
      <c r="K131" s="11" t="n"/>
    </row>
    <row r="132">
      <c r="A132" s="10" t="n"/>
      <c r="B132" s="11" t="n"/>
      <c r="C132" s="12" t="n"/>
      <c r="D132" s="13" t="n"/>
      <c r="E132" s="14" t="str">
        <f>IF(C132="","",C132+IF(D132="",30,D132))</f>
        <v/>
      </c>
      <c r="F132" s="18" t="n"/>
      <c r="G132" s="18" t="n"/>
      <c r="H132" s="8" t="str">
        <f>IF(F132="","",F132-N(G132))</f>
        <v/>
      </c>
      <c r="I132" s="16" t="str">
        <f>IF(OR(F132="",H132&lt;=0),"",MAX(0,TODAY()-E132))</f>
        <v/>
      </c>
      <c r="J132" s="17" t="str">
        <f>IF(F132="","",IF(H132&lt;=0,"Paid",IF(TODAY()&gt;E132,"Late","Open")))</f>
        <v/>
      </c>
      <c r="K132" s="11" t="n"/>
    </row>
    <row r="133">
      <c r="A133" s="10" t="n"/>
      <c r="B133" s="11" t="n"/>
      <c r="C133" s="12" t="n"/>
      <c r="D133" s="13" t="n"/>
      <c r="E133" s="14" t="str">
        <f>IF(C133="","",C133+IF(D133="",30,D133))</f>
        <v/>
      </c>
      <c r="F133" s="18" t="n"/>
      <c r="G133" s="18" t="n"/>
      <c r="H133" s="8" t="str">
        <f>IF(F133="","",F133-N(G133))</f>
        <v/>
      </c>
      <c r="I133" s="16" t="str">
        <f>IF(OR(F133="",H133&lt;=0),"",MAX(0,TODAY()-E133))</f>
        <v/>
      </c>
      <c r="J133" s="17" t="str">
        <f>IF(F133="","",IF(H133&lt;=0,"Paid",IF(TODAY()&gt;E133,"Late","Open")))</f>
        <v/>
      </c>
      <c r="K133" s="11" t="n"/>
    </row>
    <row r="134">
      <c r="A134" s="10" t="n"/>
      <c r="B134" s="11" t="n"/>
      <c r="C134" s="12" t="n"/>
      <c r="D134" s="13" t="n"/>
      <c r="E134" s="14" t="str">
        <f>IF(C134="","",C134+IF(D134="",30,D134))</f>
        <v/>
      </c>
      <c r="F134" s="18" t="n"/>
      <c r="G134" s="18" t="n"/>
      <c r="H134" s="8" t="str">
        <f>IF(F134="","",F134-N(G134))</f>
        <v/>
      </c>
      <c r="I134" s="16" t="str">
        <f>IF(OR(F134="",H134&lt;=0),"",MAX(0,TODAY()-E134))</f>
        <v/>
      </c>
      <c r="J134" s="17" t="str">
        <f>IF(F134="","",IF(H134&lt;=0,"Paid",IF(TODAY()&gt;E134,"Late","Open")))</f>
        <v/>
      </c>
      <c r="K134" s="11" t="n"/>
    </row>
    <row r="135">
      <c r="A135" s="10" t="n"/>
      <c r="B135" s="11" t="n"/>
      <c r="C135" s="12" t="n"/>
      <c r="D135" s="13" t="n"/>
      <c r="E135" s="14" t="str">
        <f>IF(C135="","",C135+IF(D135="",30,D135))</f>
        <v/>
      </c>
      <c r="F135" s="18" t="n"/>
      <c r="G135" s="18" t="n"/>
      <c r="H135" s="8" t="str">
        <f>IF(F135="","",F135-N(G135))</f>
        <v/>
      </c>
      <c r="I135" s="16" t="str">
        <f>IF(OR(F135="",H135&lt;=0),"",MAX(0,TODAY()-E135))</f>
        <v/>
      </c>
      <c r="J135" s="17" t="str">
        <f>IF(F135="","",IF(H135&lt;=0,"Paid",IF(TODAY()&gt;E135,"Late","Open")))</f>
        <v/>
      </c>
      <c r="K135" s="11" t="n"/>
    </row>
    <row r="136">
      <c r="A136" s="10" t="n"/>
      <c r="B136" s="11" t="n"/>
      <c r="C136" s="12" t="n"/>
      <c r="D136" s="13" t="n"/>
      <c r="E136" s="14" t="str">
        <f>IF(C136="","",C136+IF(D136="",30,D136))</f>
        <v/>
      </c>
      <c r="F136" s="18" t="n"/>
      <c r="G136" s="18" t="n"/>
      <c r="H136" s="8" t="str">
        <f>IF(F136="","",F136-N(G136))</f>
        <v/>
      </c>
      <c r="I136" s="16" t="str">
        <f>IF(OR(F136="",H136&lt;=0),"",MAX(0,TODAY()-E136))</f>
        <v/>
      </c>
      <c r="J136" s="17" t="str">
        <f>IF(F136="","",IF(H136&lt;=0,"Paid",IF(TODAY()&gt;E136,"Late","Open")))</f>
        <v/>
      </c>
      <c r="K136" s="11" t="n"/>
    </row>
    <row r="137">
      <c r="A137" s="10" t="n"/>
      <c r="B137" s="11" t="n"/>
      <c r="C137" s="12" t="n"/>
      <c r="D137" s="13" t="n"/>
      <c r="E137" s="14" t="str">
        <f>IF(C137="","",C137+IF(D137="",30,D137))</f>
        <v/>
      </c>
      <c r="F137" s="18" t="n"/>
      <c r="G137" s="18" t="n"/>
      <c r="H137" s="8" t="str">
        <f>IF(F137="","",F137-N(G137))</f>
        <v/>
      </c>
      <c r="I137" s="16" t="str">
        <f>IF(OR(F137="",H137&lt;=0),"",MAX(0,TODAY()-E137))</f>
        <v/>
      </c>
      <c r="J137" s="17" t="str">
        <f>IF(F137="","",IF(H137&lt;=0,"Paid",IF(TODAY()&gt;E137,"Late","Open")))</f>
        <v/>
      </c>
      <c r="K137" s="11" t="n"/>
    </row>
    <row r="138">
      <c r="A138" s="10" t="n"/>
      <c r="B138" s="11" t="n"/>
      <c r="C138" s="12" t="n"/>
      <c r="D138" s="13" t="n"/>
      <c r="E138" s="14" t="str">
        <f>IF(C138="","",C138+IF(D138="",30,D138))</f>
        <v/>
      </c>
      <c r="F138" s="18" t="n"/>
      <c r="G138" s="18" t="n"/>
      <c r="H138" s="8" t="str">
        <f>IF(F138="","",F138-N(G138))</f>
        <v/>
      </c>
      <c r="I138" s="16" t="str">
        <f>IF(OR(F138="",H138&lt;=0),"",MAX(0,TODAY()-E138))</f>
        <v/>
      </c>
      <c r="J138" s="17" t="str">
        <f>IF(F138="","",IF(H138&lt;=0,"Paid",IF(TODAY()&gt;E138,"Late","Open")))</f>
        <v/>
      </c>
      <c r="K138" s="11" t="n"/>
    </row>
    <row r="139">
      <c r="A139" s="10" t="n"/>
      <c r="B139" s="11" t="n"/>
      <c r="C139" s="12" t="n"/>
      <c r="D139" s="13" t="n"/>
      <c r="E139" s="14" t="str">
        <f>IF(C139="","",C139+IF(D139="",30,D139))</f>
        <v/>
      </c>
      <c r="F139" s="18" t="n"/>
      <c r="G139" s="18" t="n"/>
      <c r="H139" s="8" t="str">
        <f>IF(F139="","",F139-N(G139))</f>
        <v/>
      </c>
      <c r="I139" s="16" t="str">
        <f>IF(OR(F139="",H139&lt;=0),"",MAX(0,TODAY()-E139))</f>
        <v/>
      </c>
      <c r="J139" s="17" t="str">
        <f>IF(F139="","",IF(H139&lt;=0,"Paid",IF(TODAY()&gt;E139,"Late","Open")))</f>
        <v/>
      </c>
      <c r="K139" s="11" t="n"/>
    </row>
    <row r="140">
      <c r="A140" s="10" t="n"/>
      <c r="B140" s="11" t="n"/>
      <c r="C140" s="12" t="n"/>
      <c r="D140" s="13" t="n"/>
      <c r="E140" s="14" t="str">
        <f>IF(C140="","",C140+IF(D140="",30,D140))</f>
        <v/>
      </c>
      <c r="F140" s="18" t="n"/>
      <c r="G140" s="18" t="n"/>
      <c r="H140" s="8" t="str">
        <f>IF(F140="","",F140-N(G140))</f>
        <v/>
      </c>
      <c r="I140" s="16" t="str">
        <f>IF(OR(F140="",H140&lt;=0),"",MAX(0,TODAY()-E140))</f>
        <v/>
      </c>
      <c r="J140" s="17" t="str">
        <f>IF(F140="","",IF(H140&lt;=0,"Paid",IF(TODAY()&gt;E140,"Late","Open")))</f>
        <v/>
      </c>
      <c r="K140" s="11" t="n"/>
    </row>
    <row r="141">
      <c r="A141" s="10" t="n"/>
      <c r="B141" s="11" t="n"/>
      <c r="C141" s="12" t="n"/>
      <c r="D141" s="13" t="n"/>
      <c r="E141" s="14" t="str">
        <f>IF(C141="","",C141+IF(D141="",30,D141))</f>
        <v/>
      </c>
      <c r="F141" s="18" t="n"/>
      <c r="G141" s="18" t="n"/>
      <c r="H141" s="8" t="str">
        <f>IF(F141="","",F141-N(G141))</f>
        <v/>
      </c>
      <c r="I141" s="16" t="str">
        <f>IF(OR(F141="",H141&lt;=0),"",MAX(0,TODAY()-E141))</f>
        <v/>
      </c>
      <c r="J141" s="17" t="str">
        <f>IF(F141="","",IF(H141&lt;=0,"Paid",IF(TODAY()&gt;E141,"Late","Open")))</f>
        <v/>
      </c>
      <c r="K141" s="11" t="n"/>
    </row>
    <row r="142">
      <c r="A142" s="10" t="n"/>
      <c r="B142" s="11" t="n"/>
      <c r="C142" s="12" t="n"/>
      <c r="D142" s="13" t="n"/>
      <c r="E142" s="14" t="str">
        <f>IF(C142="","",C142+IF(D142="",30,D142))</f>
        <v/>
      </c>
      <c r="F142" s="18" t="n"/>
      <c r="G142" s="18" t="n"/>
      <c r="H142" s="8" t="str">
        <f>IF(F142="","",F142-N(G142))</f>
        <v/>
      </c>
      <c r="I142" s="16" t="str">
        <f>IF(OR(F142="",H142&lt;=0),"",MAX(0,TODAY()-E142))</f>
        <v/>
      </c>
      <c r="J142" s="17" t="str">
        <f>IF(F142="","",IF(H142&lt;=0,"Paid",IF(TODAY()&gt;E142,"Late","Open")))</f>
        <v/>
      </c>
      <c r="K142" s="11" t="n"/>
    </row>
    <row r="143">
      <c r="A143" s="10" t="n"/>
      <c r="B143" s="11" t="n"/>
      <c r="C143" s="12" t="n"/>
      <c r="D143" s="13" t="n"/>
      <c r="E143" s="14" t="str">
        <f>IF(C143="","",C143+IF(D143="",30,D143))</f>
        <v/>
      </c>
      <c r="F143" s="18" t="n"/>
      <c r="G143" s="18" t="n"/>
      <c r="H143" s="8" t="str">
        <f>IF(F143="","",F143-N(G143))</f>
        <v/>
      </c>
      <c r="I143" s="16" t="str">
        <f>IF(OR(F143="",H143&lt;=0),"",MAX(0,TODAY()-E143))</f>
        <v/>
      </c>
      <c r="J143" s="17" t="str">
        <f>IF(F143="","",IF(H143&lt;=0,"Paid",IF(TODAY()&gt;E143,"Late","Open")))</f>
        <v/>
      </c>
      <c r="K143" s="11" t="n"/>
    </row>
    <row r="144">
      <c r="A144" s="10" t="n"/>
      <c r="B144" s="11" t="n"/>
      <c r="C144" s="12" t="n"/>
      <c r="D144" s="13" t="n"/>
      <c r="E144" s="14" t="str">
        <f>IF(C144="","",C144+IF(D144="",30,D144))</f>
        <v/>
      </c>
      <c r="F144" s="18" t="n"/>
      <c r="G144" s="18" t="n"/>
      <c r="H144" s="8" t="str">
        <f>IF(F144="","",F144-N(G144))</f>
        <v/>
      </c>
      <c r="I144" s="16" t="str">
        <f>IF(OR(F144="",H144&lt;=0),"",MAX(0,TODAY()-E144))</f>
        <v/>
      </c>
      <c r="J144" s="17" t="str">
        <f>IF(F144="","",IF(H144&lt;=0,"Paid",IF(TODAY()&gt;E144,"Late","Open")))</f>
        <v/>
      </c>
      <c r="K144" s="11" t="n"/>
    </row>
    <row r="145">
      <c r="A145" s="10" t="n"/>
      <c r="B145" s="11" t="n"/>
      <c r="C145" s="12" t="n"/>
      <c r="D145" s="13" t="n"/>
      <c r="E145" s="14" t="str">
        <f>IF(C145="","",C145+IF(D145="",30,D145))</f>
        <v/>
      </c>
      <c r="F145" s="18" t="n"/>
      <c r="G145" s="18" t="n"/>
      <c r="H145" s="8" t="str">
        <f>IF(F145="","",F145-N(G145))</f>
        <v/>
      </c>
      <c r="I145" s="16" t="str">
        <f>IF(OR(F145="",H145&lt;=0),"",MAX(0,TODAY()-E145))</f>
        <v/>
      </c>
      <c r="J145" s="17" t="str">
        <f>IF(F145="","",IF(H145&lt;=0,"Paid",IF(TODAY()&gt;E145,"Late","Open")))</f>
        <v/>
      </c>
      <c r="K145" s="11" t="n"/>
    </row>
    <row r="146">
      <c r="A146" s="10" t="n"/>
      <c r="B146" s="11" t="n"/>
      <c r="C146" s="12" t="n"/>
      <c r="D146" s="13" t="n"/>
      <c r="E146" s="14" t="str">
        <f>IF(C146="","",C146+IF(D146="",30,D146))</f>
        <v/>
      </c>
      <c r="F146" s="18" t="n"/>
      <c r="G146" s="18" t="n"/>
      <c r="H146" s="8" t="str">
        <f>IF(F146="","",F146-N(G146))</f>
        <v/>
      </c>
      <c r="I146" s="16" t="str">
        <f>IF(OR(F146="",H146&lt;=0),"",MAX(0,TODAY()-E146))</f>
        <v/>
      </c>
      <c r="J146" s="17" t="str">
        <f>IF(F146="","",IF(H146&lt;=0,"Paid",IF(TODAY()&gt;E146,"Late","Open")))</f>
        <v/>
      </c>
      <c r="K146" s="11" t="n"/>
    </row>
    <row r="147">
      <c r="A147" s="10" t="n"/>
      <c r="B147" s="11" t="n"/>
      <c r="C147" s="12" t="n"/>
      <c r="D147" s="13" t="n"/>
      <c r="E147" s="14" t="str">
        <f>IF(C147="","",C147+IF(D147="",30,D147))</f>
        <v/>
      </c>
      <c r="F147" s="18" t="n"/>
      <c r="G147" s="18" t="n"/>
      <c r="H147" s="8" t="str">
        <f>IF(F147="","",F147-N(G147))</f>
        <v/>
      </c>
      <c r="I147" s="16" t="str">
        <f>IF(OR(F147="",H147&lt;=0),"",MAX(0,TODAY()-E147))</f>
        <v/>
      </c>
      <c r="J147" s="17" t="str">
        <f>IF(F147="","",IF(H147&lt;=0,"Paid",IF(TODAY()&gt;E147,"Late","Open")))</f>
        <v/>
      </c>
      <c r="K147" s="11" t="n"/>
    </row>
    <row r="148">
      <c r="A148" s="10" t="n"/>
      <c r="B148" s="11" t="n"/>
      <c r="C148" s="12" t="n"/>
      <c r="D148" s="13" t="n"/>
      <c r="E148" s="14" t="str">
        <f>IF(C148="","",C148+IF(D148="",30,D148))</f>
        <v/>
      </c>
      <c r="F148" s="18" t="n"/>
      <c r="G148" s="18" t="n"/>
      <c r="H148" s="8" t="str">
        <f>IF(F148="","",F148-N(G148))</f>
        <v/>
      </c>
      <c r="I148" s="16" t="str">
        <f>IF(OR(F148="",H148&lt;=0),"",MAX(0,TODAY()-E148))</f>
        <v/>
      </c>
      <c r="J148" s="17" t="str">
        <f>IF(F148="","",IF(H148&lt;=0,"Paid",IF(TODAY()&gt;E148,"Late","Open")))</f>
        <v/>
      </c>
      <c r="K148" s="11" t="n"/>
    </row>
    <row r="149">
      <c r="A149" s="10" t="n"/>
      <c r="B149" s="11" t="n"/>
      <c r="C149" s="12" t="n"/>
      <c r="D149" s="13" t="n"/>
      <c r="E149" s="14" t="str">
        <f>IF(C149="","",C149+IF(D149="",30,D149))</f>
        <v/>
      </c>
      <c r="F149" s="18" t="n"/>
      <c r="G149" s="18" t="n"/>
      <c r="H149" s="8" t="str">
        <f>IF(F149="","",F149-N(G149))</f>
        <v/>
      </c>
      <c r="I149" s="16" t="str">
        <f>IF(OR(F149="",H149&lt;=0),"",MAX(0,TODAY()-E149))</f>
        <v/>
      </c>
      <c r="J149" s="17" t="str">
        <f>IF(F149="","",IF(H149&lt;=0,"Paid",IF(TODAY()&gt;E149,"Late","Open")))</f>
        <v/>
      </c>
      <c r="K149" s="11" t="n"/>
    </row>
    <row r="150">
      <c r="A150" s="10" t="n"/>
      <c r="B150" s="11" t="n"/>
      <c r="C150" s="12" t="n"/>
      <c r="D150" s="13" t="n"/>
      <c r="E150" s="14" t="str">
        <f>IF(C150="","",C150+IF(D150="",30,D150))</f>
        <v/>
      </c>
      <c r="F150" s="18" t="n"/>
      <c r="G150" s="18" t="n"/>
      <c r="H150" s="8" t="str">
        <f>IF(F150="","",F150-N(G150))</f>
        <v/>
      </c>
      <c r="I150" s="16" t="str">
        <f>IF(OR(F150="",H150&lt;=0),"",MAX(0,TODAY()-E150))</f>
        <v/>
      </c>
      <c r="J150" s="17" t="str">
        <f>IF(F150="","",IF(H150&lt;=0,"Paid",IF(TODAY()&gt;E150,"Late","Open")))</f>
        <v/>
      </c>
      <c r="K150" s="11" t="n"/>
    </row>
    <row r="151">
      <c r="A151" s="10" t="n"/>
      <c r="B151" s="11" t="n"/>
      <c r="C151" s="12" t="n"/>
      <c r="D151" s="13" t="n"/>
      <c r="E151" s="14" t="str">
        <f>IF(C151="","",C151+IF(D151="",30,D151))</f>
        <v/>
      </c>
      <c r="F151" s="18" t="n"/>
      <c r="G151" s="18" t="n"/>
      <c r="H151" s="8" t="str">
        <f>IF(F151="","",F151-N(G151))</f>
        <v/>
      </c>
      <c r="I151" s="16" t="str">
        <f>IF(OR(F151="",H151&lt;=0),"",MAX(0,TODAY()-E151))</f>
        <v/>
      </c>
      <c r="J151" s="17" t="str">
        <f>IF(F151="","",IF(H151&lt;=0,"Paid",IF(TODAY()&gt;E151,"Late","Open")))</f>
        <v/>
      </c>
      <c r="K151" s="11" t="n"/>
    </row>
    <row r="152">
      <c r="A152" s="10" t="n"/>
      <c r="B152" s="11" t="n"/>
      <c r="C152" s="12" t="n"/>
      <c r="D152" s="13" t="n"/>
      <c r="E152" s="14" t="str">
        <f>IF(C152="","",C152+IF(D152="",30,D152))</f>
        <v/>
      </c>
      <c r="F152" s="18" t="n"/>
      <c r="G152" s="18" t="n"/>
      <c r="H152" s="8" t="str">
        <f>IF(F152="","",F152-N(G152))</f>
        <v/>
      </c>
      <c r="I152" s="16" t="str">
        <f>IF(OR(F152="",H152&lt;=0),"",MAX(0,TODAY()-E152))</f>
        <v/>
      </c>
      <c r="J152" s="17" t="str">
        <f>IF(F152="","",IF(H152&lt;=0,"Paid",IF(TODAY()&gt;E152,"Late","Open")))</f>
        <v/>
      </c>
      <c r="K152" s="11" t="n"/>
    </row>
    <row r="153">
      <c r="A153" s="10" t="n"/>
      <c r="B153" s="11" t="n"/>
      <c r="C153" s="12" t="n"/>
      <c r="D153" s="13" t="n"/>
      <c r="E153" s="14" t="str">
        <f>IF(C153="","",C153+IF(D153="",30,D153))</f>
        <v/>
      </c>
      <c r="F153" s="18" t="n"/>
      <c r="G153" s="18" t="n"/>
      <c r="H153" s="8" t="str">
        <f>IF(F153="","",F153-N(G153))</f>
        <v/>
      </c>
      <c r="I153" s="16" t="str">
        <f>IF(OR(F153="",H153&lt;=0),"",MAX(0,TODAY()-E153))</f>
        <v/>
      </c>
      <c r="J153" s="17" t="str">
        <f>IF(F153="","",IF(H153&lt;=0,"Paid",IF(TODAY()&gt;E153,"Late","Open")))</f>
        <v/>
      </c>
      <c r="K153" s="11" t="n"/>
    </row>
    <row r="154">
      <c r="A154" s="10" t="n"/>
      <c r="B154" s="11" t="n"/>
      <c r="C154" s="12" t="n"/>
      <c r="D154" s="13" t="n"/>
      <c r="E154" s="14" t="str">
        <f>IF(C154="","",C154+IF(D154="",30,D154))</f>
        <v/>
      </c>
      <c r="F154" s="18" t="n"/>
      <c r="G154" s="18" t="n"/>
      <c r="H154" s="8" t="str">
        <f>IF(F154="","",F154-N(G154))</f>
        <v/>
      </c>
      <c r="I154" s="16" t="str">
        <f>IF(OR(F154="",H154&lt;=0),"",MAX(0,TODAY()-E154))</f>
        <v/>
      </c>
      <c r="J154" s="17" t="str">
        <f>IF(F154="","",IF(H154&lt;=0,"Paid",IF(TODAY()&gt;E154,"Late","Open")))</f>
        <v/>
      </c>
      <c r="K154" s="11" t="n"/>
    </row>
    <row r="155">
      <c r="A155" s="10" t="n"/>
      <c r="B155" s="11" t="n"/>
      <c r="C155" s="12" t="n"/>
      <c r="D155" s="13" t="n"/>
      <c r="E155" s="14" t="str">
        <f>IF(C155="","",C155+IF(D155="",30,D155))</f>
        <v/>
      </c>
      <c r="F155" s="18" t="n"/>
      <c r="G155" s="18" t="n"/>
      <c r="H155" s="8" t="str">
        <f>IF(F155="","",F155-N(G155))</f>
        <v/>
      </c>
      <c r="I155" s="16" t="str">
        <f>IF(OR(F155="",H155&lt;=0),"",MAX(0,TODAY()-E155))</f>
        <v/>
      </c>
      <c r="J155" s="17" t="str">
        <f>IF(F155="","",IF(H155&lt;=0,"Paid",IF(TODAY()&gt;E155,"Late","Open")))</f>
        <v/>
      </c>
      <c r="K155" s="11" t="n"/>
    </row>
    <row r="156">
      <c r="A156" s="10" t="n"/>
      <c r="B156" s="11" t="n"/>
      <c r="C156" s="12" t="n"/>
      <c r="D156" s="13" t="n"/>
      <c r="E156" s="14" t="str">
        <f>IF(C156="","",C156+IF(D156="",30,D156))</f>
        <v/>
      </c>
      <c r="F156" s="18" t="n"/>
      <c r="G156" s="18" t="n"/>
      <c r="H156" s="8" t="str">
        <f>IF(F156="","",F156-N(G156))</f>
        <v/>
      </c>
      <c r="I156" s="16" t="str">
        <f>IF(OR(F156="",H156&lt;=0),"",MAX(0,TODAY()-E156))</f>
        <v/>
      </c>
      <c r="J156" s="17" t="str">
        <f>IF(F156="","",IF(H156&lt;=0,"Paid",IF(TODAY()&gt;E156,"Late","Open")))</f>
        <v/>
      </c>
      <c r="K156" s="11" t="n"/>
    </row>
    <row r="157">
      <c r="A157" s="10" t="n"/>
      <c r="B157" s="11" t="n"/>
      <c r="C157" s="12" t="n"/>
      <c r="D157" s="13" t="n"/>
      <c r="E157" s="14" t="str">
        <f>IF(C157="","",C157+IF(D157="",30,D157))</f>
        <v/>
      </c>
      <c r="F157" s="18" t="n"/>
      <c r="G157" s="18" t="n"/>
      <c r="H157" s="8" t="str">
        <f>IF(F157="","",F157-N(G157))</f>
        <v/>
      </c>
      <c r="I157" s="16" t="str">
        <f>IF(OR(F157="",H157&lt;=0),"",MAX(0,TODAY()-E157))</f>
        <v/>
      </c>
      <c r="J157" s="17" t="str">
        <f>IF(F157="","",IF(H157&lt;=0,"Paid",IF(TODAY()&gt;E157,"Late","Open")))</f>
        <v/>
      </c>
      <c r="K157" s="11" t="n"/>
    </row>
    <row r="158">
      <c r="A158" s="10" t="n"/>
      <c r="B158" s="11" t="n"/>
      <c r="C158" s="12" t="n"/>
      <c r="D158" s="13" t="n"/>
      <c r="E158" s="14" t="str">
        <f>IF(C158="","",C158+IF(D158="",30,D158))</f>
        <v/>
      </c>
      <c r="F158" s="18" t="n"/>
      <c r="G158" s="18" t="n"/>
      <c r="H158" s="8" t="str">
        <f>IF(F158="","",F158-N(G158))</f>
        <v/>
      </c>
      <c r="I158" s="16" t="str">
        <f>IF(OR(F158="",H158&lt;=0),"",MAX(0,TODAY()-E158))</f>
        <v/>
      </c>
      <c r="J158" s="17" t="str">
        <f>IF(F158="","",IF(H158&lt;=0,"Paid",IF(TODAY()&gt;E158,"Late","Open")))</f>
        <v/>
      </c>
      <c r="K158" s="11" t="n"/>
    </row>
    <row r="159">
      <c r="A159" s="10" t="n"/>
      <c r="B159" s="11" t="n"/>
      <c r="C159" s="12" t="n"/>
      <c r="D159" s="13" t="n"/>
      <c r="E159" s="14" t="str">
        <f>IF(C159="","",C159+IF(D159="",30,D159))</f>
        <v/>
      </c>
      <c r="F159" s="18" t="n"/>
      <c r="G159" s="18" t="n"/>
      <c r="H159" s="8" t="str">
        <f>IF(F159="","",F159-N(G159))</f>
        <v/>
      </c>
      <c r="I159" s="16" t="str">
        <f>IF(OR(F159="",H159&lt;=0),"",MAX(0,TODAY()-E159))</f>
        <v/>
      </c>
      <c r="J159" s="17" t="str">
        <f>IF(F159="","",IF(H159&lt;=0,"Paid",IF(TODAY()&gt;E159,"Late","Open")))</f>
        <v/>
      </c>
      <c r="K159" s="11" t="n"/>
    </row>
    <row r="160">
      <c r="A160" s="10" t="n"/>
      <c r="B160" s="11" t="n"/>
      <c r="C160" s="12" t="n"/>
      <c r="D160" s="13" t="n"/>
      <c r="E160" s="14" t="str">
        <f>IF(C160="","",C160+IF(D160="",30,D160))</f>
        <v/>
      </c>
      <c r="F160" s="18" t="n"/>
      <c r="G160" s="18" t="n"/>
      <c r="H160" s="8" t="str">
        <f>IF(F160="","",F160-N(G160))</f>
        <v/>
      </c>
      <c r="I160" s="16" t="str">
        <f>IF(OR(F160="",H160&lt;=0),"",MAX(0,TODAY()-E160))</f>
        <v/>
      </c>
      <c r="J160" s="17" t="str">
        <f>IF(F160="","",IF(H160&lt;=0,"Paid",IF(TODAY()&gt;E160,"Late","Open")))</f>
        <v/>
      </c>
      <c r="K160" s="11" t="n"/>
    </row>
    <row r="161">
      <c r="A161" s="10" t="n"/>
      <c r="B161" s="11" t="n"/>
      <c r="C161" s="12" t="n"/>
      <c r="D161" s="13" t="n"/>
      <c r="E161" s="14" t="str">
        <f>IF(C161="","",C161+IF(D161="",30,D161))</f>
        <v/>
      </c>
      <c r="F161" s="18" t="n"/>
      <c r="G161" s="18" t="n"/>
      <c r="H161" s="8" t="str">
        <f>IF(F161="","",F161-N(G161))</f>
        <v/>
      </c>
      <c r="I161" s="16" t="str">
        <f>IF(OR(F161="",H161&lt;=0),"",MAX(0,TODAY()-E161))</f>
        <v/>
      </c>
      <c r="J161" s="17" t="str">
        <f>IF(F161="","",IF(H161&lt;=0,"Paid",IF(TODAY()&gt;E161,"Late","Open")))</f>
        <v/>
      </c>
      <c r="K161" s="11" t="n"/>
    </row>
    <row r="162">
      <c r="A162" s="10" t="n"/>
      <c r="B162" s="11" t="n"/>
      <c r="C162" s="12" t="n"/>
      <c r="D162" s="13" t="n"/>
      <c r="E162" s="14" t="str">
        <f>IF(C162="","",C162+IF(D162="",30,D162))</f>
        <v/>
      </c>
      <c r="F162" s="18" t="n"/>
      <c r="G162" s="18" t="n"/>
      <c r="H162" s="8" t="str">
        <f>IF(F162="","",F162-N(G162))</f>
        <v/>
      </c>
      <c r="I162" s="16" t="str">
        <f>IF(OR(F162="",H162&lt;=0),"",MAX(0,TODAY()-E162))</f>
        <v/>
      </c>
      <c r="J162" s="17" t="str">
        <f>IF(F162="","",IF(H162&lt;=0,"Paid",IF(TODAY()&gt;E162,"Late","Open")))</f>
        <v/>
      </c>
      <c r="K162" s="11" t="n"/>
    </row>
    <row r="163">
      <c r="A163" s="10" t="n"/>
      <c r="B163" s="11" t="n"/>
      <c r="C163" s="12" t="n"/>
      <c r="D163" s="13" t="n"/>
      <c r="E163" s="14" t="str">
        <f>IF(C163="","",C163+IF(D163="",30,D163))</f>
        <v/>
      </c>
      <c r="F163" s="18" t="n"/>
      <c r="G163" s="18" t="n"/>
      <c r="H163" s="8" t="str">
        <f>IF(F163="","",F163-N(G163))</f>
        <v/>
      </c>
      <c r="I163" s="16" t="str">
        <f>IF(OR(F163="",H163&lt;=0),"",MAX(0,TODAY()-E163))</f>
        <v/>
      </c>
      <c r="J163" s="17" t="str">
        <f>IF(F163="","",IF(H163&lt;=0,"Paid",IF(TODAY()&gt;E163,"Late","Open")))</f>
        <v/>
      </c>
      <c r="K163" s="11" t="n"/>
    </row>
    <row r="164">
      <c r="A164" s="10" t="n"/>
      <c r="B164" s="11" t="n"/>
      <c r="C164" s="12" t="n"/>
      <c r="D164" s="13" t="n"/>
      <c r="E164" s="14" t="str">
        <f>IF(C164="","",C164+IF(D164="",30,D164))</f>
        <v/>
      </c>
      <c r="F164" s="18" t="n"/>
      <c r="G164" s="18" t="n"/>
      <c r="H164" s="8" t="str">
        <f>IF(F164="","",F164-N(G164))</f>
        <v/>
      </c>
      <c r="I164" s="16" t="str">
        <f>IF(OR(F164="",H164&lt;=0),"",MAX(0,TODAY()-E164))</f>
        <v/>
      </c>
      <c r="J164" s="17" t="str">
        <f>IF(F164="","",IF(H164&lt;=0,"Paid",IF(TODAY()&gt;E164,"Late","Open")))</f>
        <v/>
      </c>
      <c r="K164" s="11" t="n"/>
    </row>
    <row r="165">
      <c r="A165" s="10" t="n"/>
      <c r="B165" s="11" t="n"/>
      <c r="C165" s="12" t="n"/>
      <c r="D165" s="13" t="n"/>
      <c r="E165" s="14" t="str">
        <f>IF(C165="","",C165+IF(D165="",30,D165))</f>
        <v/>
      </c>
      <c r="F165" s="18" t="n"/>
      <c r="G165" s="18" t="n"/>
      <c r="H165" s="8" t="str">
        <f>IF(F165="","",F165-N(G165))</f>
        <v/>
      </c>
      <c r="I165" s="16" t="str">
        <f>IF(OR(F165="",H165&lt;=0),"",MAX(0,TODAY()-E165))</f>
        <v/>
      </c>
      <c r="J165" s="17" t="str">
        <f>IF(F165="","",IF(H165&lt;=0,"Paid",IF(TODAY()&gt;E165,"Late","Open")))</f>
        <v/>
      </c>
      <c r="K165" s="11" t="n"/>
    </row>
    <row r="166">
      <c r="A166" s="10" t="n"/>
      <c r="B166" s="11" t="n"/>
      <c r="C166" s="12" t="n"/>
      <c r="D166" s="13" t="n"/>
      <c r="E166" s="14" t="str">
        <f>IF(C166="","",C166+IF(D166="",30,D166))</f>
        <v/>
      </c>
      <c r="F166" s="18" t="n"/>
      <c r="G166" s="18" t="n"/>
      <c r="H166" s="8" t="str">
        <f>IF(F166="","",F166-N(G166))</f>
        <v/>
      </c>
      <c r="I166" s="16" t="str">
        <f>IF(OR(F166="",H166&lt;=0),"",MAX(0,TODAY()-E166))</f>
        <v/>
      </c>
      <c r="J166" s="17" t="str">
        <f>IF(F166="","",IF(H166&lt;=0,"Paid",IF(TODAY()&gt;E166,"Late","Open")))</f>
        <v/>
      </c>
      <c r="K166" s="11" t="n"/>
    </row>
    <row r="167">
      <c r="A167" s="10" t="n"/>
      <c r="B167" s="11" t="n"/>
      <c r="C167" s="12" t="n"/>
      <c r="D167" s="13" t="n"/>
      <c r="E167" s="14" t="str">
        <f>IF(C167="","",C167+IF(D167="",30,D167))</f>
        <v/>
      </c>
      <c r="F167" s="18" t="n"/>
      <c r="G167" s="18" t="n"/>
      <c r="H167" s="8" t="str">
        <f>IF(F167="","",F167-N(G167))</f>
        <v/>
      </c>
      <c r="I167" s="16" t="str">
        <f>IF(OR(F167="",H167&lt;=0),"",MAX(0,TODAY()-E167))</f>
        <v/>
      </c>
      <c r="J167" s="17" t="str">
        <f>IF(F167="","",IF(H167&lt;=0,"Paid",IF(TODAY()&gt;E167,"Late","Open")))</f>
        <v/>
      </c>
      <c r="K167" s="11" t="n"/>
    </row>
    <row r="168">
      <c r="A168" s="10" t="n"/>
      <c r="B168" s="11" t="n"/>
      <c r="C168" s="12" t="n"/>
      <c r="D168" s="13" t="n"/>
      <c r="E168" s="14" t="str">
        <f>IF(C168="","",C168+IF(D168="",30,D168))</f>
        <v/>
      </c>
      <c r="F168" s="18" t="n"/>
      <c r="G168" s="18" t="n"/>
      <c r="H168" s="8" t="str">
        <f>IF(F168="","",F168-N(G168))</f>
        <v/>
      </c>
      <c r="I168" s="16" t="str">
        <f>IF(OR(F168="",H168&lt;=0),"",MAX(0,TODAY()-E168))</f>
        <v/>
      </c>
      <c r="J168" s="17" t="str">
        <f>IF(F168="","",IF(H168&lt;=0,"Paid",IF(TODAY()&gt;E168,"Late","Open")))</f>
        <v/>
      </c>
      <c r="K168" s="11" t="n"/>
    </row>
    <row r="169">
      <c r="A169" s="10" t="n"/>
      <c r="B169" s="11" t="n"/>
      <c r="C169" s="12" t="n"/>
      <c r="D169" s="13" t="n"/>
      <c r="E169" s="14" t="str">
        <f>IF(C169="","",C169+IF(D169="",30,D169))</f>
        <v/>
      </c>
      <c r="F169" s="18" t="n"/>
      <c r="G169" s="18" t="n"/>
      <c r="H169" s="8" t="str">
        <f>IF(F169="","",F169-N(G169))</f>
        <v/>
      </c>
      <c r="I169" s="16" t="str">
        <f>IF(OR(F169="",H169&lt;=0),"",MAX(0,TODAY()-E169))</f>
        <v/>
      </c>
      <c r="J169" s="17" t="str">
        <f>IF(F169="","",IF(H169&lt;=0,"Paid",IF(TODAY()&gt;E169,"Late","Open")))</f>
        <v/>
      </c>
      <c r="K169" s="11" t="n"/>
    </row>
    <row r="170">
      <c r="A170" s="10" t="n"/>
      <c r="B170" s="11" t="n"/>
      <c r="C170" s="12" t="n"/>
      <c r="D170" s="13" t="n"/>
      <c r="E170" s="14" t="str">
        <f>IF(C170="","",C170+IF(D170="",30,D170))</f>
        <v/>
      </c>
      <c r="F170" s="18" t="n"/>
      <c r="G170" s="18" t="n"/>
      <c r="H170" s="8" t="str">
        <f>IF(F170="","",F170-N(G170))</f>
        <v/>
      </c>
      <c r="I170" s="16" t="str">
        <f>IF(OR(F170="",H170&lt;=0),"",MAX(0,TODAY()-E170))</f>
        <v/>
      </c>
      <c r="J170" s="17" t="str">
        <f>IF(F170="","",IF(H170&lt;=0,"Paid",IF(TODAY()&gt;E170,"Late","Open")))</f>
        <v/>
      </c>
      <c r="K170" s="11" t="n"/>
    </row>
    <row r="171">
      <c r="A171" s="10" t="n"/>
      <c r="B171" s="11" t="n"/>
      <c r="C171" s="12" t="n"/>
      <c r="D171" s="13" t="n"/>
      <c r="E171" s="14" t="str">
        <f>IF(C171="","",C171+IF(D171="",30,D171))</f>
        <v/>
      </c>
      <c r="F171" s="18" t="n"/>
      <c r="G171" s="18" t="n"/>
      <c r="H171" s="8" t="str">
        <f>IF(F171="","",F171-N(G171))</f>
        <v/>
      </c>
      <c r="I171" s="16" t="str">
        <f>IF(OR(F171="",H171&lt;=0),"",MAX(0,TODAY()-E171))</f>
        <v/>
      </c>
      <c r="J171" s="17" t="str">
        <f>IF(F171="","",IF(H171&lt;=0,"Paid",IF(TODAY()&gt;E171,"Late","Open")))</f>
        <v/>
      </c>
      <c r="K171" s="11" t="n"/>
    </row>
    <row r="172">
      <c r="A172" s="10" t="n"/>
      <c r="B172" s="11" t="n"/>
      <c r="C172" s="12" t="n"/>
      <c r="D172" s="13" t="n"/>
      <c r="E172" s="14" t="str">
        <f>IF(C172="","",C172+IF(D172="",30,D172))</f>
        <v/>
      </c>
      <c r="F172" s="18" t="n"/>
      <c r="G172" s="18" t="n"/>
      <c r="H172" s="8" t="str">
        <f>IF(F172="","",F172-N(G172))</f>
        <v/>
      </c>
      <c r="I172" s="16" t="str">
        <f>IF(OR(F172="",H172&lt;=0),"",MAX(0,TODAY()-E172))</f>
        <v/>
      </c>
      <c r="J172" s="17" t="str">
        <f>IF(F172="","",IF(H172&lt;=0,"Paid",IF(TODAY()&gt;E172,"Late","Open")))</f>
        <v/>
      </c>
      <c r="K172" s="11" t="n"/>
    </row>
    <row r="173">
      <c r="A173" s="10" t="n"/>
      <c r="B173" s="11" t="n"/>
      <c r="C173" s="12" t="n"/>
      <c r="D173" s="13" t="n"/>
      <c r="E173" s="14" t="str">
        <f>IF(C173="","",C173+IF(D173="",30,D173))</f>
        <v/>
      </c>
      <c r="F173" s="18" t="n"/>
      <c r="G173" s="18" t="n"/>
      <c r="H173" s="8" t="str">
        <f>IF(F173="","",F173-N(G173))</f>
        <v/>
      </c>
      <c r="I173" s="16" t="str">
        <f>IF(OR(F173="",H173&lt;=0),"",MAX(0,TODAY()-E173))</f>
        <v/>
      </c>
      <c r="J173" s="17" t="str">
        <f>IF(F173="","",IF(H173&lt;=0,"Paid",IF(TODAY()&gt;E173,"Late","Open")))</f>
        <v/>
      </c>
      <c r="K173" s="11" t="n"/>
    </row>
    <row r="174">
      <c r="A174" s="10" t="n"/>
      <c r="B174" s="11" t="n"/>
      <c r="C174" s="12" t="n"/>
      <c r="D174" s="13" t="n"/>
      <c r="E174" s="14" t="str">
        <f>IF(C174="","",C174+IF(D174="",30,D174))</f>
        <v/>
      </c>
      <c r="F174" s="18" t="n"/>
      <c r="G174" s="18" t="n"/>
      <c r="H174" s="8" t="str">
        <f>IF(F174="","",F174-N(G174))</f>
        <v/>
      </c>
      <c r="I174" s="16" t="str">
        <f>IF(OR(F174="",H174&lt;=0),"",MAX(0,TODAY()-E174))</f>
        <v/>
      </c>
      <c r="J174" s="17" t="str">
        <f>IF(F174="","",IF(H174&lt;=0,"Paid",IF(TODAY()&gt;E174,"Late","Open")))</f>
        <v/>
      </c>
      <c r="K174" s="11" t="n"/>
    </row>
    <row r="175">
      <c r="A175" s="10" t="n"/>
      <c r="B175" s="11" t="n"/>
      <c r="C175" s="12" t="n"/>
      <c r="D175" s="13" t="n"/>
      <c r="E175" s="14" t="str">
        <f>IF(C175="","",C175+IF(D175="",30,D175))</f>
        <v/>
      </c>
      <c r="F175" s="18" t="n"/>
      <c r="G175" s="18" t="n"/>
      <c r="H175" s="8" t="str">
        <f>IF(F175="","",F175-N(G175))</f>
        <v/>
      </c>
      <c r="I175" s="16" t="str">
        <f>IF(OR(F175="",H175&lt;=0),"",MAX(0,TODAY()-E175))</f>
        <v/>
      </c>
      <c r="J175" s="17" t="str">
        <f>IF(F175="","",IF(H175&lt;=0,"Paid",IF(TODAY()&gt;E175,"Late","Open")))</f>
        <v/>
      </c>
      <c r="K175" s="11" t="n"/>
    </row>
    <row r="176">
      <c r="A176" s="10" t="n"/>
      <c r="B176" s="11" t="n"/>
      <c r="C176" s="12" t="n"/>
      <c r="D176" s="13" t="n"/>
      <c r="E176" s="14" t="str">
        <f>IF(C176="","",C176+IF(D176="",30,D176))</f>
        <v/>
      </c>
      <c r="F176" s="18" t="n"/>
      <c r="G176" s="18" t="n"/>
      <c r="H176" s="8" t="str">
        <f>IF(F176="","",F176-N(G176))</f>
        <v/>
      </c>
      <c r="I176" s="16" t="str">
        <f>IF(OR(F176="",H176&lt;=0),"",MAX(0,TODAY()-E176))</f>
        <v/>
      </c>
      <c r="J176" s="17" t="str">
        <f>IF(F176="","",IF(H176&lt;=0,"Paid",IF(TODAY()&gt;E176,"Late","Open")))</f>
        <v/>
      </c>
      <c r="K176" s="11" t="n"/>
    </row>
    <row r="177">
      <c r="A177" s="10" t="n"/>
      <c r="B177" s="11" t="n"/>
      <c r="C177" s="12" t="n"/>
      <c r="D177" s="13" t="n"/>
      <c r="E177" s="14" t="str">
        <f>IF(C177="","",C177+IF(D177="",30,D177))</f>
        <v/>
      </c>
      <c r="F177" s="18" t="n"/>
      <c r="G177" s="18" t="n"/>
      <c r="H177" s="8" t="str">
        <f>IF(F177="","",F177-N(G177))</f>
        <v/>
      </c>
      <c r="I177" s="16" t="str">
        <f>IF(OR(F177="",H177&lt;=0),"",MAX(0,TODAY()-E177))</f>
        <v/>
      </c>
      <c r="J177" s="17" t="str">
        <f>IF(F177="","",IF(H177&lt;=0,"Paid",IF(TODAY()&gt;E177,"Late","Open")))</f>
        <v/>
      </c>
      <c r="K177" s="11" t="n"/>
    </row>
    <row r="178">
      <c r="A178" s="10" t="n"/>
      <c r="B178" s="11" t="n"/>
      <c r="C178" s="12" t="n"/>
      <c r="D178" s="13" t="n"/>
      <c r="E178" s="14" t="str">
        <f>IF(C178="","",C178+IF(D178="",30,D178))</f>
        <v/>
      </c>
      <c r="F178" s="18" t="n"/>
      <c r="G178" s="18" t="n"/>
      <c r="H178" s="8" t="str">
        <f>IF(F178="","",F178-N(G178))</f>
        <v/>
      </c>
      <c r="I178" s="16" t="str">
        <f>IF(OR(F178="",H178&lt;=0),"",MAX(0,TODAY()-E178))</f>
        <v/>
      </c>
      <c r="J178" s="17" t="str">
        <f>IF(F178="","",IF(H178&lt;=0,"Paid",IF(TODAY()&gt;E178,"Late","Open")))</f>
        <v/>
      </c>
      <c r="K178" s="11" t="n"/>
    </row>
    <row r="179">
      <c r="A179" s="10" t="n"/>
      <c r="B179" s="11" t="n"/>
      <c r="C179" s="12" t="n"/>
      <c r="D179" s="13" t="n"/>
      <c r="E179" s="14" t="str">
        <f>IF(C179="","",C179+IF(D179="",30,D179))</f>
        <v/>
      </c>
      <c r="F179" s="18" t="n"/>
      <c r="G179" s="18" t="n"/>
      <c r="H179" s="8" t="str">
        <f>IF(F179="","",F179-N(G179))</f>
        <v/>
      </c>
      <c r="I179" s="16" t="str">
        <f>IF(OR(F179="",H179&lt;=0),"",MAX(0,TODAY()-E179))</f>
        <v/>
      </c>
      <c r="J179" s="17" t="str">
        <f>IF(F179="","",IF(H179&lt;=0,"Paid",IF(TODAY()&gt;E179,"Late","Open")))</f>
        <v/>
      </c>
      <c r="K179" s="11" t="n"/>
    </row>
    <row r="180">
      <c r="A180" s="10" t="n"/>
      <c r="B180" s="11" t="n"/>
      <c r="C180" s="12" t="n"/>
      <c r="D180" s="13" t="n"/>
      <c r="E180" s="14" t="str">
        <f>IF(C180="","",C180+IF(D180="",30,D180))</f>
        <v/>
      </c>
      <c r="F180" s="18" t="n"/>
      <c r="G180" s="18" t="n"/>
      <c r="H180" s="8" t="str">
        <f>IF(F180="","",F180-N(G180))</f>
        <v/>
      </c>
      <c r="I180" s="16" t="str">
        <f>IF(OR(F180="",H180&lt;=0),"",MAX(0,TODAY()-E180))</f>
        <v/>
      </c>
      <c r="J180" s="17" t="str">
        <f>IF(F180="","",IF(H180&lt;=0,"Paid",IF(TODAY()&gt;E180,"Late","Open")))</f>
        <v/>
      </c>
      <c r="K180" s="11" t="n"/>
    </row>
    <row r="181">
      <c r="A181" s="10" t="n"/>
      <c r="B181" s="11" t="n"/>
      <c r="C181" s="12" t="n"/>
      <c r="D181" s="13" t="n"/>
      <c r="E181" s="14" t="str">
        <f>IF(C181="","",C181+IF(D181="",30,D181))</f>
        <v/>
      </c>
      <c r="F181" s="18" t="n"/>
      <c r="G181" s="18" t="n"/>
      <c r="H181" s="8" t="str">
        <f>IF(F181="","",F181-N(G181))</f>
        <v/>
      </c>
      <c r="I181" s="16" t="str">
        <f>IF(OR(F181="",H181&lt;=0),"",MAX(0,TODAY()-E181))</f>
        <v/>
      </c>
      <c r="J181" s="17" t="str">
        <f>IF(F181="","",IF(H181&lt;=0,"Paid",IF(TODAY()&gt;E181,"Late","Open")))</f>
        <v/>
      </c>
      <c r="K181" s="11" t="n"/>
    </row>
    <row r="182">
      <c r="A182" s="10" t="n"/>
      <c r="B182" s="11" t="n"/>
      <c r="C182" s="12" t="n"/>
      <c r="D182" s="13" t="n"/>
      <c r="E182" s="14" t="str">
        <f>IF(C182="","",C182+IF(D182="",30,D182))</f>
        <v/>
      </c>
      <c r="F182" s="18" t="n"/>
      <c r="G182" s="18" t="n"/>
      <c r="H182" s="8" t="str">
        <f>IF(F182="","",F182-N(G182))</f>
        <v/>
      </c>
      <c r="I182" s="16" t="str">
        <f>IF(OR(F182="",H182&lt;=0),"",MAX(0,TODAY()-E182))</f>
        <v/>
      </c>
      <c r="J182" s="17" t="str">
        <f>IF(F182="","",IF(H182&lt;=0,"Paid",IF(TODAY()&gt;E182,"Late","Open")))</f>
        <v/>
      </c>
      <c r="K182" s="11" t="n"/>
    </row>
    <row r="183">
      <c r="A183" s="10" t="n"/>
      <c r="B183" s="11" t="n"/>
      <c r="C183" s="12" t="n"/>
      <c r="D183" s="13" t="n"/>
      <c r="E183" s="14" t="str">
        <f>IF(C183="","",C183+IF(D183="",30,D183))</f>
        <v/>
      </c>
      <c r="F183" s="18" t="n"/>
      <c r="G183" s="18" t="n"/>
      <c r="H183" s="8" t="str">
        <f>IF(F183="","",F183-N(G183))</f>
        <v/>
      </c>
      <c r="I183" s="16" t="str">
        <f>IF(OR(F183="",H183&lt;=0),"",MAX(0,TODAY()-E183))</f>
        <v/>
      </c>
      <c r="J183" s="17" t="str">
        <f>IF(F183="","",IF(H183&lt;=0,"Paid",IF(TODAY()&gt;E183,"Late","Open")))</f>
        <v/>
      </c>
      <c r="K183" s="11" t="n"/>
    </row>
    <row r="184">
      <c r="A184" s="10" t="n"/>
      <c r="B184" s="11" t="n"/>
      <c r="C184" s="12" t="n"/>
      <c r="D184" s="13" t="n"/>
      <c r="E184" s="14" t="str">
        <f>IF(C184="","",C184+IF(D184="",30,D184))</f>
        <v/>
      </c>
      <c r="F184" s="18" t="n"/>
      <c r="G184" s="18" t="n"/>
      <c r="H184" s="8" t="str">
        <f>IF(F184="","",F184-N(G184))</f>
        <v/>
      </c>
      <c r="I184" s="16" t="str">
        <f>IF(OR(F184="",H184&lt;=0),"",MAX(0,TODAY()-E184))</f>
        <v/>
      </c>
      <c r="J184" s="17" t="str">
        <f>IF(F184="","",IF(H184&lt;=0,"Paid",IF(TODAY()&gt;E184,"Late","Open")))</f>
        <v/>
      </c>
      <c r="K184" s="11" t="n"/>
    </row>
    <row r="185">
      <c r="A185" s="10" t="n"/>
      <c r="B185" s="11" t="n"/>
      <c r="C185" s="12" t="n"/>
      <c r="D185" s="13" t="n"/>
      <c r="E185" s="14" t="str">
        <f>IF(C185="","",C185+IF(D185="",30,D185))</f>
        <v/>
      </c>
      <c r="F185" s="18" t="n"/>
      <c r="G185" s="18" t="n"/>
      <c r="H185" s="8" t="str">
        <f>IF(F185="","",F185-N(G185))</f>
        <v/>
      </c>
      <c r="I185" s="16" t="str">
        <f>IF(OR(F185="",H185&lt;=0),"",MAX(0,TODAY()-E185))</f>
        <v/>
      </c>
      <c r="J185" s="17" t="str">
        <f>IF(F185="","",IF(H185&lt;=0,"Paid",IF(TODAY()&gt;E185,"Late","Open")))</f>
        <v/>
      </c>
      <c r="K185" s="11" t="n"/>
    </row>
    <row r="186">
      <c r="A186" s="10" t="n"/>
      <c r="B186" s="11" t="n"/>
      <c r="C186" s="12" t="n"/>
      <c r="D186" s="13" t="n"/>
      <c r="E186" s="14" t="str">
        <f>IF(C186="","",C186+IF(D186="",30,D186))</f>
        <v/>
      </c>
      <c r="F186" s="18" t="n"/>
      <c r="G186" s="18" t="n"/>
      <c r="H186" s="8" t="str">
        <f>IF(F186="","",F186-N(G186))</f>
        <v/>
      </c>
      <c r="I186" s="16" t="str">
        <f>IF(OR(F186="",H186&lt;=0),"",MAX(0,TODAY()-E186))</f>
        <v/>
      </c>
      <c r="J186" s="17" t="str">
        <f>IF(F186="","",IF(H186&lt;=0,"Paid",IF(TODAY()&gt;E186,"Late","Open")))</f>
        <v/>
      </c>
      <c r="K186" s="11" t="n"/>
    </row>
    <row r="187">
      <c r="A187" s="10" t="n"/>
      <c r="B187" s="11" t="n"/>
      <c r="C187" s="12" t="n"/>
      <c r="D187" s="13" t="n"/>
      <c r="E187" s="14" t="str">
        <f>IF(C187="","",C187+IF(D187="",30,D187))</f>
        <v/>
      </c>
      <c r="F187" s="18" t="n"/>
      <c r="G187" s="18" t="n"/>
      <c r="H187" s="8" t="str">
        <f>IF(F187="","",F187-N(G187))</f>
        <v/>
      </c>
      <c r="I187" s="16" t="str">
        <f>IF(OR(F187="",H187&lt;=0),"",MAX(0,TODAY()-E187))</f>
        <v/>
      </c>
      <c r="J187" s="17" t="str">
        <f>IF(F187="","",IF(H187&lt;=0,"Paid",IF(TODAY()&gt;E187,"Late","Open")))</f>
        <v/>
      </c>
      <c r="K187" s="11" t="n"/>
    </row>
    <row r="188">
      <c r="A188" s="10" t="n"/>
      <c r="B188" s="11" t="n"/>
      <c r="C188" s="12" t="n"/>
      <c r="D188" s="13" t="n"/>
      <c r="E188" s="14" t="str">
        <f>IF(C188="","",C188+IF(D188="",30,D188))</f>
        <v/>
      </c>
      <c r="F188" s="18" t="n"/>
      <c r="G188" s="18" t="n"/>
      <c r="H188" s="8" t="str">
        <f>IF(F188="","",F188-N(G188))</f>
        <v/>
      </c>
      <c r="I188" s="16" t="str">
        <f>IF(OR(F188="",H188&lt;=0),"",MAX(0,TODAY()-E188))</f>
        <v/>
      </c>
      <c r="J188" s="17" t="str">
        <f>IF(F188="","",IF(H188&lt;=0,"Paid",IF(TODAY()&gt;E188,"Late","Open")))</f>
        <v/>
      </c>
      <c r="K188" s="11" t="n"/>
    </row>
    <row r="189">
      <c r="A189" s="10" t="n"/>
      <c r="B189" s="11" t="n"/>
      <c r="C189" s="12" t="n"/>
      <c r="D189" s="13" t="n"/>
      <c r="E189" s="14" t="str">
        <f>IF(C189="","",C189+IF(D189="",30,D189))</f>
        <v/>
      </c>
      <c r="F189" s="18" t="n"/>
      <c r="G189" s="18" t="n"/>
      <c r="H189" s="8" t="str">
        <f>IF(F189="","",F189-N(G189))</f>
        <v/>
      </c>
      <c r="I189" s="16" t="str">
        <f>IF(OR(F189="",H189&lt;=0),"",MAX(0,TODAY()-E189))</f>
        <v/>
      </c>
      <c r="J189" s="17" t="str">
        <f>IF(F189="","",IF(H189&lt;=0,"Paid",IF(TODAY()&gt;E189,"Late","Open")))</f>
        <v/>
      </c>
      <c r="K189" s="11" t="n"/>
    </row>
    <row r="190">
      <c r="A190" s="10" t="n"/>
      <c r="B190" s="11" t="n"/>
      <c r="C190" s="12" t="n"/>
      <c r="D190" s="13" t="n"/>
      <c r="E190" s="14" t="str">
        <f>IF(C190="","",C190+IF(D190="",30,D190))</f>
        <v/>
      </c>
      <c r="F190" s="18" t="n"/>
      <c r="G190" s="18" t="n"/>
      <c r="H190" s="8" t="str">
        <f>IF(F190="","",F190-N(G190))</f>
        <v/>
      </c>
      <c r="I190" s="16" t="str">
        <f>IF(OR(F190="",H190&lt;=0),"",MAX(0,TODAY()-E190))</f>
        <v/>
      </c>
      <c r="J190" s="17" t="str">
        <f>IF(F190="","",IF(H190&lt;=0,"Paid",IF(TODAY()&gt;E190,"Late","Open")))</f>
        <v/>
      </c>
      <c r="K190" s="11" t="n"/>
    </row>
    <row r="191">
      <c r="A191" s="10" t="n"/>
      <c r="B191" s="11" t="n"/>
      <c r="C191" s="12" t="n"/>
      <c r="D191" s="13" t="n"/>
      <c r="E191" s="14" t="str">
        <f>IF(C191="","",C191+IF(D191="",30,D191))</f>
        <v/>
      </c>
      <c r="F191" s="18" t="n"/>
      <c r="G191" s="18" t="n"/>
      <c r="H191" s="8" t="str">
        <f>IF(F191="","",F191-N(G191))</f>
        <v/>
      </c>
      <c r="I191" s="16" t="str">
        <f>IF(OR(F191="",H191&lt;=0),"",MAX(0,TODAY()-E191))</f>
        <v/>
      </c>
      <c r="J191" s="17" t="str">
        <f>IF(F191="","",IF(H191&lt;=0,"Paid",IF(TODAY()&gt;E191,"Late","Open")))</f>
        <v/>
      </c>
      <c r="K191" s="11" t="n"/>
    </row>
    <row r="192">
      <c r="A192" s="10" t="n"/>
      <c r="B192" s="11" t="n"/>
      <c r="C192" s="12" t="n"/>
      <c r="D192" s="13" t="n"/>
      <c r="E192" s="14" t="str">
        <f>IF(C192="","",C192+IF(D192="",30,D192))</f>
        <v/>
      </c>
      <c r="F192" s="18" t="n"/>
      <c r="G192" s="18" t="n"/>
      <c r="H192" s="8" t="str">
        <f>IF(F192="","",F192-N(G192))</f>
        <v/>
      </c>
      <c r="I192" s="16" t="str">
        <f>IF(OR(F192="",H192&lt;=0),"",MAX(0,TODAY()-E192))</f>
        <v/>
      </c>
      <c r="J192" s="17" t="str">
        <f>IF(F192="","",IF(H192&lt;=0,"Paid",IF(TODAY()&gt;E192,"Late","Open")))</f>
        <v/>
      </c>
      <c r="K192" s="11" t="n"/>
    </row>
    <row r="193">
      <c r="A193" s="10" t="n"/>
      <c r="B193" s="11" t="n"/>
      <c r="C193" s="12" t="n"/>
      <c r="D193" s="13" t="n"/>
      <c r="E193" s="14" t="str">
        <f>IF(C193="","",C193+IF(D193="",30,D193))</f>
        <v/>
      </c>
      <c r="F193" s="18" t="n"/>
      <c r="G193" s="18" t="n"/>
      <c r="H193" s="8" t="str">
        <f>IF(F193="","",F193-N(G193))</f>
        <v/>
      </c>
      <c r="I193" s="16" t="str">
        <f>IF(OR(F193="",H193&lt;=0),"",MAX(0,TODAY()-E193))</f>
        <v/>
      </c>
      <c r="J193" s="17" t="str">
        <f>IF(F193="","",IF(H193&lt;=0,"Paid",IF(TODAY()&gt;E193,"Late","Open")))</f>
        <v/>
      </c>
      <c r="K193" s="11" t="n"/>
    </row>
    <row r="194">
      <c r="A194" s="10" t="n"/>
      <c r="B194" s="11" t="n"/>
      <c r="C194" s="12" t="n"/>
      <c r="D194" s="13" t="n"/>
      <c r="E194" s="14" t="str">
        <f>IF(C194="","",C194+IF(D194="",30,D194))</f>
        <v/>
      </c>
      <c r="F194" s="18" t="n"/>
      <c r="G194" s="18" t="n"/>
      <c r="H194" s="8" t="str">
        <f>IF(F194="","",F194-N(G194))</f>
        <v/>
      </c>
      <c r="I194" s="16" t="str">
        <f>IF(OR(F194="",H194&lt;=0),"",MAX(0,TODAY()-E194))</f>
        <v/>
      </c>
      <c r="J194" s="17" t="str">
        <f>IF(F194="","",IF(H194&lt;=0,"Paid",IF(TODAY()&gt;E194,"Late","Open")))</f>
        <v/>
      </c>
      <c r="K194" s="11" t="n"/>
    </row>
    <row r="195">
      <c r="A195" s="10" t="n"/>
      <c r="B195" s="11" t="n"/>
      <c r="C195" s="12" t="n"/>
      <c r="D195" s="13" t="n"/>
      <c r="E195" s="14" t="str">
        <f>IF(C195="","",C195+IF(D195="",30,D195))</f>
        <v/>
      </c>
      <c r="F195" s="18" t="n"/>
      <c r="G195" s="18" t="n"/>
      <c r="H195" s="8" t="str">
        <f>IF(F195="","",F195-N(G195))</f>
        <v/>
      </c>
      <c r="I195" s="16" t="str">
        <f>IF(OR(F195="",H195&lt;=0),"",MAX(0,TODAY()-E195))</f>
        <v/>
      </c>
      <c r="J195" s="17" t="str">
        <f>IF(F195="","",IF(H195&lt;=0,"Paid",IF(TODAY()&gt;E195,"Late","Open")))</f>
        <v/>
      </c>
      <c r="K195" s="11" t="n"/>
    </row>
    <row r="196">
      <c r="A196" s="10" t="n"/>
      <c r="B196" s="11" t="n"/>
      <c r="C196" s="12" t="n"/>
      <c r="D196" s="13" t="n"/>
      <c r="E196" s="14" t="str">
        <f>IF(C196="","",C196+IF(D196="",30,D196))</f>
        <v/>
      </c>
      <c r="F196" s="18" t="n"/>
      <c r="G196" s="18" t="n"/>
      <c r="H196" s="8" t="str">
        <f>IF(F196="","",F196-N(G196))</f>
        <v/>
      </c>
      <c r="I196" s="16" t="str">
        <f>IF(OR(F196="",H196&lt;=0),"",MAX(0,TODAY()-E196))</f>
        <v/>
      </c>
      <c r="J196" s="17" t="str">
        <f>IF(F196="","",IF(H196&lt;=0,"Paid",IF(TODAY()&gt;E196,"Late","Open")))</f>
        <v/>
      </c>
      <c r="K196" s="11" t="n"/>
    </row>
    <row r="197">
      <c r="A197" s="10" t="n"/>
      <c r="B197" s="11" t="n"/>
      <c r="C197" s="12" t="n"/>
      <c r="D197" s="13" t="n"/>
      <c r="E197" s="14" t="str">
        <f>IF(C197="","",C197+IF(D197="",30,D197))</f>
        <v/>
      </c>
      <c r="F197" s="18" t="n"/>
      <c r="G197" s="18" t="n"/>
      <c r="H197" s="8" t="str">
        <f>IF(F197="","",F197-N(G197))</f>
        <v/>
      </c>
      <c r="I197" s="16" t="str">
        <f>IF(OR(F197="",H197&lt;=0),"",MAX(0,TODAY()-E197))</f>
        <v/>
      </c>
      <c r="J197" s="17" t="str">
        <f>IF(F197="","",IF(H197&lt;=0,"Paid",IF(TODAY()&gt;E197,"Late","Open")))</f>
        <v/>
      </c>
      <c r="K197" s="11" t="n"/>
    </row>
    <row r="198">
      <c r="A198" s="10" t="n"/>
      <c r="B198" s="11" t="n"/>
      <c r="C198" s="12" t="n"/>
      <c r="D198" s="13" t="n"/>
      <c r="E198" s="14" t="str">
        <f>IF(C198="","",C198+IF(D198="",30,D198))</f>
        <v/>
      </c>
      <c r="F198" s="18" t="n"/>
      <c r="G198" s="18" t="n"/>
      <c r="H198" s="8" t="str">
        <f>IF(F198="","",F198-N(G198))</f>
        <v/>
      </c>
      <c r="I198" s="16" t="str">
        <f>IF(OR(F198="",H198&lt;=0),"",MAX(0,TODAY()-E198))</f>
        <v/>
      </c>
      <c r="J198" s="17" t="str">
        <f>IF(F198="","",IF(H198&lt;=0,"Paid",IF(TODAY()&gt;E198,"Late","Open")))</f>
        <v/>
      </c>
      <c r="K198" s="11" t="n"/>
    </row>
    <row r="199">
      <c r="A199" s="10" t="n"/>
      <c r="B199" s="11" t="n"/>
      <c r="C199" s="12" t="n"/>
      <c r="D199" s="13" t="n"/>
      <c r="E199" s="14" t="str">
        <f>IF(C199="","",C199+IF(D199="",30,D199))</f>
        <v/>
      </c>
      <c r="F199" s="18" t="n"/>
      <c r="G199" s="18" t="n"/>
      <c r="H199" s="8" t="str">
        <f>IF(F199="","",F199-N(G199))</f>
        <v/>
      </c>
      <c r="I199" s="16" t="str">
        <f>IF(OR(F199="",H199&lt;=0),"",MAX(0,TODAY()-E199))</f>
        <v/>
      </c>
      <c r="J199" s="17" t="str">
        <f>IF(F199="","",IF(H199&lt;=0,"Paid",IF(TODAY()&gt;E199,"Late","Open")))</f>
        <v/>
      </c>
      <c r="K199" s="11" t="n"/>
    </row>
    <row r="200">
      <c r="A200" s="10" t="n"/>
      <c r="B200" s="11" t="n"/>
      <c r="C200" s="12" t="n"/>
      <c r="D200" s="13" t="n"/>
      <c r="E200" s="14" t="str">
        <f>IF(C200="","",C200+IF(D200="",30,D200))</f>
        <v/>
      </c>
      <c r="F200" s="18" t="n"/>
      <c r="G200" s="18" t="n"/>
      <c r="H200" s="8" t="str">
        <f>IF(F200="","",F200-N(G200))</f>
        <v/>
      </c>
      <c r="I200" s="16" t="str">
        <f>IF(OR(F200="",H200&lt;=0),"",MAX(0,TODAY()-E200))</f>
        <v/>
      </c>
      <c r="J200" s="17" t="str">
        <f>IF(F200="","",IF(H200&lt;=0,"Paid",IF(TODAY()&gt;E200,"Late","Open")))</f>
        <v/>
      </c>
      <c r="K200" s="11" t="n"/>
    </row>
    <row r="201">
      <c r="A201" s="10" t="n"/>
      <c r="B201" s="11" t="n"/>
      <c r="C201" s="12" t="n"/>
      <c r="D201" s="13" t="n"/>
      <c r="E201" s="14" t="str">
        <f>IF(C201="","",C201+IF(D201="",30,D201))</f>
        <v/>
      </c>
      <c r="F201" s="18" t="n"/>
      <c r="G201" s="18" t="n"/>
      <c r="H201" s="8" t="str">
        <f>IF(F201="","",F201-N(G201))</f>
        <v/>
      </c>
      <c r="I201" s="16" t="str">
        <f>IF(OR(F201="",H201&lt;=0),"",MAX(0,TODAY()-E201))</f>
        <v/>
      </c>
      <c r="J201" s="17" t="str">
        <f>IF(F201="","",IF(H201&lt;=0,"Paid",IF(TODAY()&gt;E201,"Late","Open")))</f>
        <v/>
      </c>
      <c r="K201" s="11" t="n"/>
    </row>
    <row r="202">
      <c r="A202" s="10" t="n"/>
      <c r="B202" s="11" t="n"/>
      <c r="C202" s="12" t="n"/>
      <c r="D202" s="13" t="n"/>
      <c r="E202" s="14" t="str">
        <f>IF(C202="","",C202+IF(D202="",30,D202))</f>
        <v/>
      </c>
      <c r="F202" s="18" t="n"/>
      <c r="G202" s="18" t="n"/>
      <c r="H202" s="8" t="str">
        <f>IF(F202="","",F202-N(G202))</f>
        <v/>
      </c>
      <c r="I202" s="16" t="str">
        <f>IF(OR(F202="",H202&lt;=0),"",MAX(0,TODAY()-E202))</f>
        <v/>
      </c>
      <c r="J202" s="17" t="str">
        <f>IF(F202="","",IF(H202&lt;=0,"Paid",IF(TODAY()&gt;E202,"Late","Open")))</f>
        <v/>
      </c>
      <c r="K202" s="11" t="n"/>
    </row>
    <row r="203">
      <c r="A203" s="10" t="n"/>
      <c r="B203" s="11" t="n"/>
      <c r="C203" s="12" t="n"/>
      <c r="D203" s="13" t="n"/>
      <c r="E203" s="14" t="str">
        <f>IF(C203="","",C203+IF(D203="",30,D203))</f>
        <v/>
      </c>
      <c r="F203" s="18" t="n"/>
      <c r="G203" s="18" t="n"/>
      <c r="H203" s="8" t="str">
        <f>IF(F203="","",F203-N(G203))</f>
        <v/>
      </c>
      <c r="I203" s="16" t="str">
        <f>IF(OR(F203="",H203&lt;=0),"",MAX(0,TODAY()-E203))</f>
        <v/>
      </c>
      <c r="J203" s="17" t="str">
        <f>IF(F203="","",IF(H203&lt;=0,"Paid",IF(TODAY()&gt;E203,"Late","Open")))</f>
        <v/>
      </c>
      <c r="K203" s="11" t="n"/>
    </row>
    <row r="204">
      <c r="A204" s="10" t="n"/>
      <c r="B204" s="11" t="n"/>
      <c r="C204" s="12" t="n"/>
      <c r="D204" s="13" t="n"/>
      <c r="E204" s="14" t="str">
        <f>IF(C204="","",C204+IF(D204="",30,D204))</f>
        <v/>
      </c>
      <c r="F204" s="18" t="n"/>
      <c r="G204" s="18" t="n"/>
      <c r="H204" s="8" t="str">
        <f>IF(F204="","",F204-N(G204))</f>
        <v/>
      </c>
      <c r="I204" s="16" t="str">
        <f>IF(OR(F204="",H204&lt;=0),"",MAX(0,TODAY()-E204))</f>
        <v/>
      </c>
      <c r="J204" s="17" t="str">
        <f>IF(F204="","",IF(H204&lt;=0,"Paid",IF(TODAY()&gt;E204,"Late","Open")))</f>
        <v/>
      </c>
      <c r="K204" s="11" t="n"/>
    </row>
    <row r="205">
      <c r="A205" s="10" t="n"/>
      <c r="B205" s="11" t="n"/>
      <c r="C205" s="12" t="n"/>
      <c r="D205" s="13" t="n"/>
      <c r="E205" s="14" t="str">
        <f>IF(C205="","",C205+IF(D205="",30,D205))</f>
        <v/>
      </c>
      <c r="F205" s="18" t="n"/>
      <c r="G205" s="18" t="n"/>
      <c r="H205" s="8" t="str">
        <f>IF(F205="","",F205-N(G205))</f>
        <v/>
      </c>
      <c r="I205" s="16" t="str">
        <f>IF(OR(F205="",H205&lt;=0),"",MAX(0,TODAY()-E205))</f>
        <v/>
      </c>
      <c r="J205" s="17" t="str">
        <f>IF(F205="","",IF(H205&lt;=0,"Paid",IF(TODAY()&gt;E205,"Late","Open")))</f>
        <v/>
      </c>
      <c r="K205" s="11" t="n"/>
    </row>
    <row r="206">
      <c r="A206" s="10" t="n"/>
      <c r="B206" s="11" t="n"/>
      <c r="C206" s="12" t="n"/>
      <c r="D206" s="13" t="n"/>
      <c r="E206" s="14" t="str">
        <f>IF(C206="","",C206+IF(D206="",30,D206))</f>
        <v/>
      </c>
      <c r="F206" s="18" t="n"/>
      <c r="G206" s="18" t="n"/>
      <c r="H206" s="8" t="str">
        <f>IF(F206="","",F206-N(G206))</f>
        <v/>
      </c>
      <c r="I206" s="16" t="str">
        <f>IF(OR(F206="",H206&lt;=0),"",MAX(0,TODAY()-E206))</f>
        <v/>
      </c>
      <c r="J206" s="17" t="str">
        <f>IF(F206="","",IF(H206&lt;=0,"Paid",IF(TODAY()&gt;E206,"Late","Open")))</f>
        <v/>
      </c>
      <c r="K206" s="11" t="n"/>
    </row>
    <row r="207">
      <c r="A207" s="10" t="n"/>
      <c r="B207" s="11" t="n"/>
      <c r="C207" s="12" t="n"/>
      <c r="D207" s="13" t="n"/>
      <c r="E207" s="14" t="str">
        <f>IF(C207="","",C207+IF(D207="",30,D207))</f>
        <v/>
      </c>
      <c r="F207" s="18" t="n"/>
      <c r="G207" s="18" t="n"/>
      <c r="H207" s="8" t="str">
        <f>IF(F207="","",F207-N(G207))</f>
        <v/>
      </c>
      <c r="I207" s="16" t="str">
        <f>IF(OR(F207="",H207&lt;=0),"",MAX(0,TODAY()-E207))</f>
        <v/>
      </c>
      <c r="J207" s="17" t="str">
        <f>IF(F207="","",IF(H207&lt;=0,"Paid",IF(TODAY()&gt;E207,"Late","Open")))</f>
        <v/>
      </c>
      <c r="K207" s="11" t="n"/>
    </row>
    <row r="208">
      <c r="A208" s="10" t="n"/>
      <c r="B208" s="11" t="n"/>
      <c r="C208" s="12" t="n"/>
      <c r="D208" s="13" t="n"/>
      <c r="E208" s="14" t="str">
        <f>IF(C208="","",C208+IF(D208="",30,D208))</f>
        <v/>
      </c>
      <c r="F208" s="18" t="n"/>
      <c r="G208" s="18" t="n"/>
      <c r="H208" s="8" t="str">
        <f>IF(F208="","",F208-N(G208))</f>
        <v/>
      </c>
      <c r="I208" s="16" t="str">
        <f>IF(OR(F208="",H208&lt;=0),"",MAX(0,TODAY()-E208))</f>
        <v/>
      </c>
      <c r="J208" s="17" t="str">
        <f>IF(F208="","",IF(H208&lt;=0,"Paid",IF(TODAY()&gt;E208,"Late","Open")))</f>
        <v/>
      </c>
      <c r="K208" s="11" t="n"/>
    </row>
    <row r="209">
      <c r="A209" s="10" t="n"/>
      <c r="B209" s="11" t="n"/>
      <c r="C209" s="12" t="n"/>
      <c r="D209" s="13" t="n"/>
      <c r="E209" s="14" t="str">
        <f>IF(C209="","",C209+IF(D209="",30,D209))</f>
        <v/>
      </c>
      <c r="F209" s="18" t="n"/>
      <c r="G209" s="18" t="n"/>
      <c r="H209" s="8" t="str">
        <f>IF(F209="","",F209-N(G209))</f>
        <v/>
      </c>
      <c r="I209" s="16" t="str">
        <f>IF(OR(F209="",H209&lt;=0),"",MAX(0,TODAY()-E209))</f>
        <v/>
      </c>
      <c r="J209" s="17" t="str">
        <f>IF(F209="","",IF(H209&lt;=0,"Paid",IF(TODAY()&gt;E209,"Late","Open")))</f>
        <v/>
      </c>
      <c r="K209" s="11" t="n"/>
    </row>
    <row r="210">
      <c r="A210" s="10" t="n"/>
      <c r="B210" s="11" t="n"/>
      <c r="C210" s="12" t="n"/>
      <c r="D210" s="13" t="n"/>
      <c r="E210" s="14" t="str">
        <f>IF(C210="","",C210+IF(D210="",30,D210))</f>
        <v/>
      </c>
      <c r="F210" s="18" t="n"/>
      <c r="G210" s="18" t="n"/>
      <c r="H210" s="8" t="str">
        <f>IF(F210="","",F210-N(G210))</f>
        <v/>
      </c>
      <c r="I210" s="16" t="str">
        <f>IF(OR(F210="",H210&lt;=0),"",MAX(0,TODAY()-E210))</f>
        <v/>
      </c>
      <c r="J210" s="17" t="str">
        <f>IF(F210="","",IF(H210&lt;=0,"Paid",IF(TODAY()&gt;E210,"Late","Open")))</f>
        <v/>
      </c>
      <c r="K210" s="11" t="n"/>
    </row>
    <row r="211">
      <c r="A211" s="10" t="n"/>
      <c r="B211" s="11" t="n"/>
      <c r="C211" s="12" t="n"/>
      <c r="D211" s="13" t="n"/>
      <c r="E211" s="14" t="str">
        <f>IF(C211="","",C211+IF(D211="",30,D211))</f>
        <v/>
      </c>
      <c r="F211" s="18" t="n"/>
      <c r="G211" s="18" t="n"/>
      <c r="H211" s="8" t="str">
        <f>IF(F211="","",F211-N(G211))</f>
        <v/>
      </c>
      <c r="I211" s="16" t="str">
        <f>IF(OR(F211="",H211&lt;=0),"",MAX(0,TODAY()-E211))</f>
        <v/>
      </c>
      <c r="J211" s="17" t="str">
        <f>IF(F211="","",IF(H211&lt;=0,"Paid",IF(TODAY()&gt;E211,"Late","Open")))</f>
        <v/>
      </c>
      <c r="K211" s="11" t="n"/>
    </row>
    <row r="212">
      <c r="A212" s="10" t="n"/>
      <c r="B212" s="11" t="n"/>
      <c r="C212" s="12" t="n"/>
      <c r="D212" s="13" t="n"/>
      <c r="E212" s="14" t="str">
        <f>IF(C212="","",C212+IF(D212="",30,D212))</f>
        <v/>
      </c>
      <c r="F212" s="18" t="n"/>
      <c r="G212" s="18" t="n"/>
      <c r="H212" s="8" t="str">
        <f>IF(F212="","",F212-N(G212))</f>
        <v/>
      </c>
      <c r="I212" s="16" t="str">
        <f>IF(OR(F212="",H212&lt;=0),"",MAX(0,TODAY()-E212))</f>
        <v/>
      </c>
      <c r="J212" s="17" t="str">
        <f>IF(F212="","",IF(H212&lt;=0,"Paid",IF(TODAY()&gt;E212,"Late","Open")))</f>
        <v/>
      </c>
      <c r="K212" s="11" t="n"/>
    </row>
    <row r="213">
      <c r="A213" s="10" t="n"/>
      <c r="B213" s="11" t="n"/>
      <c r="C213" s="12" t="n"/>
      <c r="D213" s="13" t="n"/>
      <c r="E213" s="14" t="str">
        <f>IF(C213="","",C213+IF(D213="",30,D213))</f>
        <v/>
      </c>
      <c r="F213" s="18" t="n"/>
      <c r="G213" s="18" t="n"/>
      <c r="H213" s="8" t="str">
        <f>IF(F213="","",F213-N(G213))</f>
        <v/>
      </c>
      <c r="I213" s="16" t="str">
        <f>IF(OR(F213="",H213&lt;=0),"",MAX(0,TODAY()-E213))</f>
        <v/>
      </c>
      <c r="J213" s="17" t="str">
        <f>IF(F213="","",IF(H213&lt;=0,"Paid",IF(TODAY()&gt;E213,"Late","Open")))</f>
        <v/>
      </c>
      <c r="K213" s="11" t="n"/>
    </row>
    <row r="214">
      <c r="A214" s="10" t="n"/>
      <c r="B214" s="11" t="n"/>
      <c r="C214" s="12" t="n"/>
      <c r="D214" s="13" t="n"/>
      <c r="E214" s="14" t="str">
        <f>IF(C214="","",C214+IF(D214="",30,D214))</f>
        <v/>
      </c>
      <c r="F214" s="18" t="n"/>
      <c r="G214" s="18" t="n"/>
      <c r="H214" s="8" t="str">
        <f>IF(F214="","",F214-N(G214))</f>
        <v/>
      </c>
      <c r="I214" s="16" t="str">
        <f>IF(OR(F214="",H214&lt;=0),"",MAX(0,TODAY()-E214))</f>
        <v/>
      </c>
      <c r="J214" s="17" t="str">
        <f>IF(F214="","",IF(H214&lt;=0,"Paid",IF(TODAY()&gt;E214,"Late","Open")))</f>
        <v/>
      </c>
      <c r="K214" s="11" t="n"/>
    </row>
    <row r="215">
      <c r="A215" s="10" t="n"/>
      <c r="B215" s="11" t="n"/>
      <c r="C215" s="12" t="n"/>
      <c r="D215" s="13" t="n"/>
      <c r="E215" s="14" t="str">
        <f>IF(C215="","",C215+IF(D215="",30,D215))</f>
        <v/>
      </c>
      <c r="F215" s="18" t="n"/>
      <c r="G215" s="18" t="n"/>
      <c r="H215" s="8" t="str">
        <f>IF(F215="","",F215-N(G215))</f>
        <v/>
      </c>
      <c r="I215" s="16" t="str">
        <f>IF(OR(F215="",H215&lt;=0),"",MAX(0,TODAY()-E215))</f>
        <v/>
      </c>
      <c r="J215" s="17" t="str">
        <f>IF(F215="","",IF(H215&lt;=0,"Paid",IF(TODAY()&gt;E215,"Late","Open")))</f>
        <v/>
      </c>
      <c r="K215" s="11" t="n"/>
    </row>
    <row r="216">
      <c r="A216" s="10" t="n"/>
      <c r="B216" s="11" t="n"/>
      <c r="C216" s="12" t="n"/>
      <c r="D216" s="13" t="n"/>
      <c r="E216" s="14" t="str">
        <f>IF(C216="","",C216+IF(D216="",30,D216))</f>
        <v/>
      </c>
      <c r="F216" s="18" t="n"/>
      <c r="G216" s="18" t="n"/>
      <c r="H216" s="8" t="str">
        <f>IF(F216="","",F216-N(G216))</f>
        <v/>
      </c>
      <c r="I216" s="16" t="str">
        <f>IF(OR(F216="",H216&lt;=0),"",MAX(0,TODAY()-E216))</f>
        <v/>
      </c>
      <c r="J216" s="17" t="str">
        <f>IF(F216="","",IF(H216&lt;=0,"Paid",IF(TODAY()&gt;E216,"Late","Open")))</f>
        <v/>
      </c>
      <c r="K216" s="11" t="n"/>
    </row>
    <row r="217">
      <c r="A217" s="10" t="n"/>
      <c r="B217" s="11" t="n"/>
      <c r="C217" s="12" t="n"/>
      <c r="D217" s="13" t="n"/>
      <c r="E217" s="14" t="str">
        <f>IF(C217="","",C217+IF(D217="",30,D217))</f>
        <v/>
      </c>
      <c r="F217" s="18" t="n"/>
      <c r="G217" s="18" t="n"/>
      <c r="H217" s="8" t="str">
        <f>IF(F217="","",F217-N(G217))</f>
        <v/>
      </c>
      <c r="I217" s="16" t="str">
        <f>IF(OR(F217="",H217&lt;=0),"",MAX(0,TODAY()-E217))</f>
        <v/>
      </c>
      <c r="J217" s="17" t="str">
        <f>IF(F217="","",IF(H217&lt;=0,"Paid",IF(TODAY()&gt;E217,"Late","Open")))</f>
        <v/>
      </c>
      <c r="K217" s="11" t="n"/>
    </row>
    <row r="218">
      <c r="A218" s="10" t="n"/>
      <c r="B218" s="11" t="n"/>
      <c r="C218" s="12" t="n"/>
      <c r="D218" s="13" t="n"/>
      <c r="E218" s="14" t="str">
        <f>IF(C218="","",C218+IF(D218="",30,D218))</f>
        <v/>
      </c>
      <c r="F218" s="18" t="n"/>
      <c r="G218" s="18" t="n"/>
      <c r="H218" s="8" t="str">
        <f>IF(F218="","",F218-N(G218))</f>
        <v/>
      </c>
      <c r="I218" s="16" t="str">
        <f>IF(OR(F218="",H218&lt;=0),"",MAX(0,TODAY()-E218))</f>
        <v/>
      </c>
      <c r="J218" s="17" t="str">
        <f>IF(F218="","",IF(H218&lt;=0,"Paid",IF(TODAY()&gt;E218,"Late","Open")))</f>
        <v/>
      </c>
      <c r="K218" s="11" t="n"/>
    </row>
    <row r="219">
      <c r="A219" s="10" t="n"/>
      <c r="B219" s="11" t="n"/>
      <c r="C219" s="12" t="n"/>
      <c r="D219" s="13" t="n"/>
      <c r="E219" s="14" t="str">
        <f>IF(C219="","",C219+IF(D219="",30,D219))</f>
        <v/>
      </c>
      <c r="F219" s="18" t="n"/>
      <c r="G219" s="18" t="n"/>
      <c r="H219" s="8" t="str">
        <f>IF(F219="","",F219-N(G219))</f>
        <v/>
      </c>
      <c r="I219" s="16" t="str">
        <f>IF(OR(F219="",H219&lt;=0),"",MAX(0,TODAY()-E219))</f>
        <v/>
      </c>
      <c r="J219" s="17" t="str">
        <f>IF(F219="","",IF(H219&lt;=0,"Paid",IF(TODAY()&gt;E219,"Late","Open")))</f>
        <v/>
      </c>
      <c r="K219" s="11" t="n"/>
    </row>
    <row r="220">
      <c r="A220" s="10" t="n"/>
      <c r="B220" s="11" t="n"/>
      <c r="C220" s="12" t="n"/>
      <c r="D220" s="13" t="n"/>
      <c r="E220" s="14" t="str">
        <f>IF(C220="","",C220+IF(D220="",30,D220))</f>
        <v/>
      </c>
      <c r="F220" s="18" t="n"/>
      <c r="G220" s="18" t="n"/>
      <c r="H220" s="8" t="str">
        <f>IF(F220="","",F220-N(G220))</f>
        <v/>
      </c>
      <c r="I220" s="16" t="str">
        <f>IF(OR(F220="",H220&lt;=0),"",MAX(0,TODAY()-E220))</f>
        <v/>
      </c>
      <c r="J220" s="17" t="str">
        <f>IF(F220="","",IF(H220&lt;=0,"Paid",IF(TODAY()&gt;E220,"Late","Open")))</f>
        <v/>
      </c>
      <c r="K220" s="11" t="n"/>
    </row>
    <row r="221">
      <c r="A221" s="10" t="n"/>
      <c r="B221" s="11" t="n"/>
      <c r="C221" s="12" t="n"/>
      <c r="D221" s="13" t="n"/>
      <c r="E221" s="14" t="str">
        <f>IF(C221="","",C221+IF(D221="",30,D221))</f>
        <v/>
      </c>
      <c r="F221" s="18" t="n"/>
      <c r="G221" s="18" t="n"/>
      <c r="H221" s="8" t="str">
        <f>IF(F221="","",F221-N(G221))</f>
        <v/>
      </c>
      <c r="I221" s="16" t="str">
        <f>IF(OR(F221="",H221&lt;=0),"",MAX(0,TODAY()-E221))</f>
        <v/>
      </c>
      <c r="J221" s="17" t="str">
        <f>IF(F221="","",IF(H221&lt;=0,"Paid",IF(TODAY()&gt;E221,"Late","Open")))</f>
        <v/>
      </c>
      <c r="K221" s="11" t="n"/>
    </row>
    <row r="222">
      <c r="A222" s="10" t="n"/>
      <c r="B222" s="11" t="n"/>
      <c r="C222" s="12" t="n"/>
      <c r="D222" s="13" t="n"/>
      <c r="E222" s="14" t="str">
        <f>IF(C222="","",C222+IF(D222="",30,D222))</f>
        <v/>
      </c>
      <c r="F222" s="18" t="n"/>
      <c r="G222" s="18" t="n"/>
      <c r="H222" s="8" t="str">
        <f>IF(F222="","",F222-N(G222))</f>
        <v/>
      </c>
      <c r="I222" s="16" t="str">
        <f>IF(OR(F222="",H222&lt;=0),"",MAX(0,TODAY()-E222))</f>
        <v/>
      </c>
      <c r="J222" s="17" t="str">
        <f>IF(F222="","",IF(H222&lt;=0,"Paid",IF(TODAY()&gt;E222,"Late","Open")))</f>
        <v/>
      </c>
      <c r="K222" s="11" t="n"/>
    </row>
    <row r="223">
      <c r="A223" s="10" t="n"/>
      <c r="B223" s="11" t="n"/>
      <c r="C223" s="12" t="n"/>
      <c r="D223" s="13" t="n"/>
      <c r="E223" s="14" t="str">
        <f>IF(C223="","",C223+IF(D223="",30,D223))</f>
        <v/>
      </c>
      <c r="F223" s="18" t="n"/>
      <c r="G223" s="18" t="n"/>
      <c r="H223" s="8" t="str">
        <f>IF(F223="","",F223-N(G223))</f>
        <v/>
      </c>
      <c r="I223" s="16" t="str">
        <f>IF(OR(F223="",H223&lt;=0),"",MAX(0,TODAY()-E223))</f>
        <v/>
      </c>
      <c r="J223" s="17" t="str">
        <f>IF(F223="","",IF(H223&lt;=0,"Paid",IF(TODAY()&gt;E223,"Late","Open")))</f>
        <v/>
      </c>
      <c r="K223" s="11" t="n"/>
    </row>
    <row r="224">
      <c r="A224" s="10" t="n"/>
      <c r="B224" s="11" t="n"/>
      <c r="C224" s="12" t="n"/>
      <c r="D224" s="13" t="n"/>
      <c r="E224" s="14" t="str">
        <f>IF(C224="","",C224+IF(D224="",30,D224))</f>
        <v/>
      </c>
      <c r="F224" s="18" t="n"/>
      <c r="G224" s="18" t="n"/>
      <c r="H224" s="8" t="str">
        <f>IF(F224="","",F224-N(G224))</f>
        <v/>
      </c>
      <c r="I224" s="16" t="str">
        <f>IF(OR(F224="",H224&lt;=0),"",MAX(0,TODAY()-E224))</f>
        <v/>
      </c>
      <c r="J224" s="17" t="str">
        <f>IF(F224="","",IF(H224&lt;=0,"Paid",IF(TODAY()&gt;E224,"Late","Open")))</f>
        <v/>
      </c>
      <c r="K224" s="11" t="n"/>
    </row>
    <row r="225">
      <c r="A225" s="10" t="n"/>
      <c r="B225" s="11" t="n"/>
      <c r="C225" s="12" t="n"/>
      <c r="D225" s="13" t="n"/>
      <c r="E225" s="14" t="str">
        <f>IF(C225="","",C225+IF(D225="",30,D225))</f>
        <v/>
      </c>
      <c r="F225" s="18" t="n"/>
      <c r="G225" s="18" t="n"/>
      <c r="H225" s="8" t="str">
        <f>IF(F225="","",F225-N(G225))</f>
        <v/>
      </c>
      <c r="I225" s="16" t="str">
        <f>IF(OR(F225="",H225&lt;=0),"",MAX(0,TODAY()-E225))</f>
        <v/>
      </c>
      <c r="J225" s="17" t="str">
        <f>IF(F225="","",IF(H225&lt;=0,"Paid",IF(TODAY()&gt;E225,"Late","Open")))</f>
        <v/>
      </c>
      <c r="K225" s="11" t="n"/>
    </row>
    <row r="226">
      <c r="A226" s="10" t="n"/>
      <c r="B226" s="11" t="n"/>
      <c r="C226" s="12" t="n"/>
      <c r="D226" s="13" t="n"/>
      <c r="E226" s="14" t="str">
        <f>IF(C226="","",C226+IF(D226="",30,D226))</f>
        <v/>
      </c>
      <c r="F226" s="18" t="n"/>
      <c r="G226" s="18" t="n"/>
      <c r="H226" s="8" t="str">
        <f>IF(F226="","",F226-N(G226))</f>
        <v/>
      </c>
      <c r="I226" s="16" t="str">
        <f>IF(OR(F226="",H226&lt;=0),"",MAX(0,TODAY()-E226))</f>
        <v/>
      </c>
      <c r="J226" s="17" t="str">
        <f>IF(F226="","",IF(H226&lt;=0,"Paid",IF(TODAY()&gt;E226,"Late","Open")))</f>
        <v/>
      </c>
      <c r="K226" s="11" t="n"/>
    </row>
    <row r="227">
      <c r="A227" s="10" t="n"/>
      <c r="B227" s="11" t="n"/>
      <c r="C227" s="12" t="n"/>
      <c r="D227" s="13" t="n"/>
      <c r="E227" s="14" t="str">
        <f>IF(C227="","",C227+IF(D227="",30,D227))</f>
        <v/>
      </c>
      <c r="F227" s="18" t="n"/>
      <c r="G227" s="18" t="n"/>
      <c r="H227" s="8" t="str">
        <f>IF(F227="","",F227-N(G227))</f>
        <v/>
      </c>
      <c r="I227" s="16" t="str">
        <f>IF(OR(F227="",H227&lt;=0),"",MAX(0,TODAY()-E227))</f>
        <v/>
      </c>
      <c r="J227" s="17" t="str">
        <f>IF(F227="","",IF(H227&lt;=0,"Paid",IF(TODAY()&gt;E227,"Late","Open")))</f>
        <v/>
      </c>
      <c r="K227" s="11" t="n"/>
    </row>
    <row r="228">
      <c r="A228" s="10" t="n"/>
      <c r="B228" s="11" t="n"/>
      <c r="C228" s="12" t="n"/>
      <c r="D228" s="13" t="n"/>
      <c r="E228" s="14" t="str">
        <f>IF(C228="","",C228+IF(D228="",30,D228))</f>
        <v/>
      </c>
      <c r="F228" s="18" t="n"/>
      <c r="G228" s="18" t="n"/>
      <c r="H228" s="8" t="str">
        <f>IF(F228="","",F228-N(G228))</f>
        <v/>
      </c>
      <c r="I228" s="16" t="str">
        <f>IF(OR(F228="",H228&lt;=0),"",MAX(0,TODAY()-E228))</f>
        <v/>
      </c>
      <c r="J228" s="17" t="str">
        <f>IF(F228="","",IF(H228&lt;=0,"Paid",IF(TODAY()&gt;E228,"Late","Open")))</f>
        <v/>
      </c>
      <c r="K228" s="11" t="n"/>
    </row>
    <row r="229">
      <c r="A229" s="10" t="n"/>
      <c r="B229" s="11" t="n"/>
      <c r="C229" s="12" t="n"/>
      <c r="D229" s="13" t="n"/>
      <c r="E229" s="14" t="str">
        <f>IF(C229="","",C229+IF(D229="",30,D229))</f>
        <v/>
      </c>
      <c r="F229" s="18" t="n"/>
      <c r="G229" s="18" t="n"/>
      <c r="H229" s="8" t="str">
        <f>IF(F229="","",F229-N(G229))</f>
        <v/>
      </c>
      <c r="I229" s="16" t="str">
        <f>IF(OR(F229="",H229&lt;=0),"",MAX(0,TODAY()-E229))</f>
        <v/>
      </c>
      <c r="J229" s="17" t="str">
        <f>IF(F229="","",IF(H229&lt;=0,"Paid",IF(TODAY()&gt;E229,"Late","Open")))</f>
        <v/>
      </c>
      <c r="K229" s="11" t="n"/>
    </row>
    <row r="230">
      <c r="A230" s="10" t="n"/>
      <c r="B230" s="11" t="n"/>
      <c r="C230" s="12" t="n"/>
      <c r="D230" s="13" t="n"/>
      <c r="E230" s="14" t="str">
        <f>IF(C230="","",C230+IF(D230="",30,D230))</f>
        <v/>
      </c>
      <c r="F230" s="18" t="n"/>
      <c r="G230" s="18" t="n"/>
      <c r="H230" s="8" t="str">
        <f>IF(F230="","",F230-N(G230))</f>
        <v/>
      </c>
      <c r="I230" s="16" t="str">
        <f>IF(OR(F230="",H230&lt;=0),"",MAX(0,TODAY()-E230))</f>
        <v/>
      </c>
      <c r="J230" s="17" t="str">
        <f>IF(F230="","",IF(H230&lt;=0,"Paid",IF(TODAY()&gt;E230,"Late","Open")))</f>
        <v/>
      </c>
      <c r="K230" s="11" t="n"/>
    </row>
    <row r="231">
      <c r="A231" s="10" t="n"/>
      <c r="B231" s="11" t="n"/>
      <c r="C231" s="12" t="n"/>
      <c r="D231" s="13" t="n"/>
      <c r="E231" s="14" t="str">
        <f>IF(C231="","",C231+IF(D231="",30,D231))</f>
        <v/>
      </c>
      <c r="F231" s="18" t="n"/>
      <c r="G231" s="18" t="n"/>
      <c r="H231" s="8" t="str">
        <f>IF(F231="","",F231-N(G231))</f>
        <v/>
      </c>
      <c r="I231" s="16" t="str">
        <f>IF(OR(F231="",H231&lt;=0),"",MAX(0,TODAY()-E231))</f>
        <v/>
      </c>
      <c r="J231" s="17" t="str">
        <f>IF(F231="","",IF(H231&lt;=0,"Paid",IF(TODAY()&gt;E231,"Late","Open")))</f>
        <v/>
      </c>
      <c r="K231" s="11" t="n"/>
    </row>
    <row r="232">
      <c r="A232" s="10" t="n"/>
      <c r="B232" s="11" t="n"/>
      <c r="C232" s="12" t="n"/>
      <c r="D232" s="13" t="n"/>
      <c r="E232" s="14" t="str">
        <f>IF(C232="","",C232+IF(D232="",30,D232))</f>
        <v/>
      </c>
      <c r="F232" s="18" t="n"/>
      <c r="G232" s="18" t="n"/>
      <c r="H232" s="8" t="str">
        <f>IF(F232="","",F232-N(G232))</f>
        <v/>
      </c>
      <c r="I232" s="16" t="str">
        <f>IF(OR(F232="",H232&lt;=0),"",MAX(0,TODAY()-E232))</f>
        <v/>
      </c>
      <c r="J232" s="17" t="str">
        <f>IF(F232="","",IF(H232&lt;=0,"Paid",IF(TODAY()&gt;E232,"Late","Open")))</f>
        <v/>
      </c>
      <c r="K232" s="11" t="n"/>
    </row>
    <row r="233">
      <c r="A233" s="10" t="n"/>
      <c r="B233" s="11" t="n"/>
      <c r="C233" s="12" t="n"/>
      <c r="D233" s="13" t="n"/>
      <c r="E233" s="14" t="str">
        <f>IF(C233="","",C233+IF(D233="",30,D233))</f>
        <v/>
      </c>
      <c r="F233" s="18" t="n"/>
      <c r="G233" s="18" t="n"/>
      <c r="H233" s="8" t="str">
        <f>IF(F233="","",F233-N(G233))</f>
        <v/>
      </c>
      <c r="I233" s="16" t="str">
        <f>IF(OR(F233="",H233&lt;=0),"",MAX(0,TODAY()-E233))</f>
        <v/>
      </c>
      <c r="J233" s="17" t="str">
        <f>IF(F233="","",IF(H233&lt;=0,"Paid",IF(TODAY()&gt;E233,"Late","Open")))</f>
        <v/>
      </c>
      <c r="K233" s="11" t="n"/>
    </row>
    <row r="234">
      <c r="A234" s="10" t="n"/>
      <c r="B234" s="11" t="n"/>
      <c r="C234" s="12" t="n"/>
      <c r="D234" s="13" t="n"/>
      <c r="E234" s="14" t="str">
        <f>IF(C234="","",C234+IF(D234="",30,D234))</f>
        <v/>
      </c>
      <c r="F234" s="18" t="n"/>
      <c r="G234" s="18" t="n"/>
      <c r="H234" s="8" t="str">
        <f>IF(F234="","",F234-N(G234))</f>
        <v/>
      </c>
      <c r="I234" s="16" t="str">
        <f>IF(OR(F234="",H234&lt;=0),"",MAX(0,TODAY()-E234))</f>
        <v/>
      </c>
      <c r="J234" s="17" t="str">
        <f>IF(F234="","",IF(H234&lt;=0,"Paid",IF(TODAY()&gt;E234,"Late","Open")))</f>
        <v/>
      </c>
      <c r="K234" s="11" t="n"/>
    </row>
    <row r="235">
      <c r="A235" s="10" t="n"/>
      <c r="B235" s="11" t="n"/>
      <c r="C235" s="12" t="n"/>
      <c r="D235" s="13" t="n"/>
      <c r="E235" s="14" t="str">
        <f>IF(C235="","",C235+IF(D235="",30,D235))</f>
        <v/>
      </c>
      <c r="F235" s="18" t="n"/>
      <c r="G235" s="18" t="n"/>
      <c r="H235" s="8" t="str">
        <f>IF(F235="","",F235-N(G235))</f>
        <v/>
      </c>
      <c r="I235" s="16" t="str">
        <f>IF(OR(F235="",H235&lt;=0),"",MAX(0,TODAY()-E235))</f>
        <v/>
      </c>
      <c r="J235" s="17" t="str">
        <f>IF(F235="","",IF(H235&lt;=0,"Paid",IF(TODAY()&gt;E235,"Late","Open")))</f>
        <v/>
      </c>
      <c r="K235" s="11" t="n"/>
    </row>
    <row r="236">
      <c r="A236" s="10" t="n"/>
      <c r="B236" s="11" t="n"/>
      <c r="C236" s="12" t="n"/>
      <c r="D236" s="13" t="n"/>
      <c r="E236" s="14" t="str">
        <f>IF(C236="","",C236+IF(D236="",30,D236))</f>
        <v/>
      </c>
      <c r="F236" s="18" t="n"/>
      <c r="G236" s="18" t="n"/>
      <c r="H236" s="8" t="str">
        <f>IF(F236="","",F236-N(G236))</f>
        <v/>
      </c>
      <c r="I236" s="16" t="str">
        <f>IF(OR(F236="",H236&lt;=0),"",MAX(0,TODAY()-E236))</f>
        <v/>
      </c>
      <c r="J236" s="17" t="str">
        <f>IF(F236="","",IF(H236&lt;=0,"Paid",IF(TODAY()&gt;E236,"Late","Open")))</f>
        <v/>
      </c>
      <c r="K236" s="11" t="n"/>
    </row>
    <row r="237">
      <c r="A237" s="10" t="n"/>
      <c r="B237" s="11" t="n"/>
      <c r="C237" s="12" t="n"/>
      <c r="D237" s="13" t="n"/>
      <c r="E237" s="14" t="str">
        <f>IF(C237="","",C237+IF(D237="",30,D237))</f>
        <v/>
      </c>
      <c r="F237" s="18" t="n"/>
      <c r="G237" s="18" t="n"/>
      <c r="H237" s="8" t="str">
        <f>IF(F237="","",F237-N(G237))</f>
        <v/>
      </c>
      <c r="I237" s="16" t="str">
        <f>IF(OR(F237="",H237&lt;=0),"",MAX(0,TODAY()-E237))</f>
        <v/>
      </c>
      <c r="J237" s="17" t="str">
        <f>IF(F237="","",IF(H237&lt;=0,"Paid",IF(TODAY()&gt;E237,"Late","Open")))</f>
        <v/>
      </c>
      <c r="K237" s="11" t="n"/>
    </row>
    <row r="238">
      <c r="A238" s="10" t="n"/>
      <c r="B238" s="11" t="n"/>
      <c r="C238" s="12" t="n"/>
      <c r="D238" s="13" t="n"/>
      <c r="E238" s="14" t="str">
        <f>IF(C238="","",C238+IF(D238="",30,D238))</f>
        <v/>
      </c>
      <c r="F238" s="18" t="n"/>
      <c r="G238" s="18" t="n"/>
      <c r="H238" s="8" t="str">
        <f>IF(F238="","",F238-N(G238))</f>
        <v/>
      </c>
      <c r="I238" s="16" t="str">
        <f>IF(OR(F238="",H238&lt;=0),"",MAX(0,TODAY()-E238))</f>
        <v/>
      </c>
      <c r="J238" s="17" t="str">
        <f>IF(F238="","",IF(H238&lt;=0,"Paid",IF(TODAY()&gt;E238,"Late","Open")))</f>
        <v/>
      </c>
      <c r="K238" s="11" t="n"/>
    </row>
    <row r="239">
      <c r="A239" s="10" t="n"/>
      <c r="B239" s="11" t="n"/>
      <c r="C239" s="12" t="n"/>
      <c r="D239" s="13" t="n"/>
      <c r="E239" s="14" t="str">
        <f>IF(C239="","",C239+IF(D239="",30,D239))</f>
        <v/>
      </c>
      <c r="F239" s="18" t="n"/>
      <c r="G239" s="18" t="n"/>
      <c r="H239" s="8" t="str">
        <f>IF(F239="","",F239-N(G239))</f>
        <v/>
      </c>
      <c r="I239" s="16" t="str">
        <f>IF(OR(F239="",H239&lt;=0),"",MAX(0,TODAY()-E239))</f>
        <v/>
      </c>
      <c r="J239" s="17" t="str">
        <f>IF(F239="","",IF(H239&lt;=0,"Paid",IF(TODAY()&gt;E239,"Late","Open")))</f>
        <v/>
      </c>
      <c r="K239" s="11" t="n"/>
    </row>
    <row r="240">
      <c r="A240" s="10" t="n"/>
      <c r="B240" s="11" t="n"/>
      <c r="C240" s="12" t="n"/>
      <c r="D240" s="13" t="n"/>
      <c r="E240" s="14" t="str">
        <f>IF(C240="","",C240+IF(D240="",30,D240))</f>
        <v/>
      </c>
      <c r="F240" s="18" t="n"/>
      <c r="G240" s="18" t="n"/>
      <c r="H240" s="8" t="str">
        <f>IF(F240="","",F240-N(G240))</f>
        <v/>
      </c>
      <c r="I240" s="16" t="str">
        <f>IF(OR(F240="",H240&lt;=0),"",MAX(0,TODAY()-E240))</f>
        <v/>
      </c>
      <c r="J240" s="17" t="str">
        <f>IF(F240="","",IF(H240&lt;=0,"Paid",IF(TODAY()&gt;E240,"Late","Open")))</f>
        <v/>
      </c>
      <c r="K240" s="11" t="n"/>
    </row>
    <row r="241">
      <c r="A241" s="10" t="n"/>
      <c r="B241" s="11" t="n"/>
      <c r="C241" s="12" t="n"/>
      <c r="D241" s="13" t="n"/>
      <c r="E241" s="14" t="str">
        <f>IF(C241="","",C241+IF(D241="",30,D241))</f>
        <v/>
      </c>
      <c r="F241" s="18" t="n"/>
      <c r="G241" s="18" t="n"/>
      <c r="H241" s="8" t="str">
        <f>IF(F241="","",F241-N(G241))</f>
        <v/>
      </c>
      <c r="I241" s="16" t="str">
        <f>IF(OR(F241="",H241&lt;=0),"",MAX(0,TODAY()-E241))</f>
        <v/>
      </c>
      <c r="J241" s="17" t="str">
        <f>IF(F241="","",IF(H241&lt;=0,"Paid",IF(TODAY()&gt;E241,"Late","Open")))</f>
        <v/>
      </c>
      <c r="K241" s="11" t="n"/>
    </row>
    <row r="242">
      <c r="A242" s="10" t="n"/>
      <c r="B242" s="11" t="n"/>
      <c r="C242" s="12" t="n"/>
      <c r="D242" s="13" t="n"/>
      <c r="E242" s="14" t="str">
        <f>IF(C242="","",C242+IF(D242="",30,D242))</f>
        <v/>
      </c>
      <c r="F242" s="18" t="n"/>
      <c r="G242" s="18" t="n"/>
      <c r="H242" s="8" t="str">
        <f>IF(F242="","",F242-N(G242))</f>
        <v/>
      </c>
      <c r="I242" s="16" t="str">
        <f>IF(OR(F242="",H242&lt;=0),"",MAX(0,TODAY()-E242))</f>
        <v/>
      </c>
      <c r="J242" s="17" t="str">
        <f>IF(F242="","",IF(H242&lt;=0,"Paid",IF(TODAY()&gt;E242,"Late","Open")))</f>
        <v/>
      </c>
      <c r="K242" s="11" t="n"/>
    </row>
    <row r="243">
      <c r="A243" s="10" t="n"/>
      <c r="B243" s="11" t="n"/>
      <c r="C243" s="12" t="n"/>
      <c r="D243" s="13" t="n"/>
      <c r="E243" s="14" t="str">
        <f>IF(C243="","",C243+IF(D243="",30,D243))</f>
        <v/>
      </c>
      <c r="F243" s="18" t="n"/>
      <c r="G243" s="18" t="n"/>
      <c r="H243" s="8" t="str">
        <f>IF(F243="","",F243-N(G243))</f>
        <v/>
      </c>
      <c r="I243" s="16" t="str">
        <f>IF(OR(F243="",H243&lt;=0),"",MAX(0,TODAY()-E243))</f>
        <v/>
      </c>
      <c r="J243" s="17" t="str">
        <f>IF(F243="","",IF(H243&lt;=0,"Paid",IF(TODAY()&gt;E243,"Late","Open")))</f>
        <v/>
      </c>
      <c r="K243" s="11" t="n"/>
    </row>
    <row r="244">
      <c r="A244" s="10" t="n"/>
      <c r="B244" s="11" t="n"/>
      <c r="C244" s="12" t="n"/>
      <c r="D244" s="13" t="n"/>
      <c r="E244" s="14" t="str">
        <f>IF(C244="","",C244+IF(D244="",30,D244))</f>
        <v/>
      </c>
      <c r="F244" s="18" t="n"/>
      <c r="G244" s="18" t="n"/>
      <c r="H244" s="8" t="str">
        <f>IF(F244="","",F244-N(G244))</f>
        <v/>
      </c>
      <c r="I244" s="16" t="str">
        <f>IF(OR(F244="",H244&lt;=0),"",MAX(0,TODAY()-E244))</f>
        <v/>
      </c>
      <c r="J244" s="17" t="str">
        <f>IF(F244="","",IF(H244&lt;=0,"Paid",IF(TODAY()&gt;E244,"Late","Open")))</f>
        <v/>
      </c>
      <c r="K244" s="11" t="n"/>
    </row>
    <row r="245">
      <c r="A245" s="10" t="n"/>
      <c r="B245" s="11" t="n"/>
      <c r="C245" s="12" t="n"/>
      <c r="D245" s="13" t="n"/>
      <c r="E245" s="14" t="str">
        <f>IF(C245="","",C245+IF(D245="",30,D245))</f>
        <v/>
      </c>
      <c r="F245" s="18" t="n"/>
      <c r="G245" s="18" t="n"/>
      <c r="H245" s="8" t="str">
        <f>IF(F245="","",F245-N(G245))</f>
        <v/>
      </c>
      <c r="I245" s="16" t="str">
        <f>IF(OR(F245="",H245&lt;=0),"",MAX(0,TODAY()-E245))</f>
        <v/>
      </c>
      <c r="J245" s="17" t="str">
        <f>IF(F245="","",IF(H245&lt;=0,"Paid",IF(TODAY()&gt;E245,"Late","Open")))</f>
        <v/>
      </c>
      <c r="K245" s="11" t="n"/>
    </row>
    <row r="246">
      <c r="A246" s="10" t="n"/>
      <c r="B246" s="11" t="n"/>
      <c r="C246" s="12" t="n"/>
      <c r="D246" s="13" t="n"/>
      <c r="E246" s="14" t="str">
        <f>IF(C246="","",C246+IF(D246="",30,D246))</f>
        <v/>
      </c>
      <c r="F246" s="18" t="n"/>
      <c r="G246" s="18" t="n"/>
      <c r="H246" s="8" t="str">
        <f>IF(F246="","",F246-N(G246))</f>
        <v/>
      </c>
      <c r="I246" s="16" t="str">
        <f>IF(OR(F246="",H246&lt;=0),"",MAX(0,TODAY()-E246))</f>
        <v/>
      </c>
      <c r="J246" s="17" t="str">
        <f>IF(F246="","",IF(H246&lt;=0,"Paid",IF(TODAY()&gt;E246,"Late","Open")))</f>
        <v/>
      </c>
      <c r="K246" s="11" t="n"/>
    </row>
    <row r="247">
      <c r="A247" s="10" t="n"/>
      <c r="B247" s="11" t="n"/>
      <c r="C247" s="12" t="n"/>
      <c r="D247" s="13" t="n"/>
      <c r="E247" s="14" t="str">
        <f>IF(C247="","",C247+IF(D247="",30,D247))</f>
        <v/>
      </c>
      <c r="F247" s="18" t="n"/>
      <c r="G247" s="18" t="n"/>
      <c r="H247" s="8" t="str">
        <f>IF(F247="","",F247-N(G247))</f>
        <v/>
      </c>
      <c r="I247" s="16" t="str">
        <f>IF(OR(F247="",H247&lt;=0),"",MAX(0,TODAY()-E247))</f>
        <v/>
      </c>
      <c r="J247" s="17" t="str">
        <f>IF(F247="","",IF(H247&lt;=0,"Paid",IF(TODAY()&gt;E247,"Late","Open")))</f>
        <v/>
      </c>
      <c r="K247" s="11" t="n"/>
    </row>
    <row r="248">
      <c r="A248" s="10" t="n"/>
      <c r="B248" s="11" t="n"/>
      <c r="C248" s="12" t="n"/>
      <c r="D248" s="13" t="n"/>
      <c r="E248" s="14" t="str">
        <f>IF(C248="","",C248+IF(D248="",30,D248))</f>
        <v/>
      </c>
      <c r="F248" s="18" t="n"/>
      <c r="G248" s="18" t="n"/>
      <c r="H248" s="8" t="str">
        <f>IF(F248="","",F248-N(G248))</f>
        <v/>
      </c>
      <c r="I248" s="16" t="str">
        <f>IF(OR(F248="",H248&lt;=0),"",MAX(0,TODAY()-E248))</f>
        <v/>
      </c>
      <c r="J248" s="17" t="str">
        <f>IF(F248="","",IF(H248&lt;=0,"Paid",IF(TODAY()&gt;E248,"Late","Open")))</f>
        <v/>
      </c>
      <c r="K248" s="11" t="n"/>
    </row>
    <row r="249">
      <c r="A249" s="10" t="n"/>
      <c r="B249" s="11" t="n"/>
      <c r="C249" s="12" t="n"/>
      <c r="D249" s="13" t="n"/>
      <c r="E249" s="14" t="str">
        <f>IF(C249="","",C249+IF(D249="",30,D249))</f>
        <v/>
      </c>
      <c r="F249" s="18" t="n"/>
      <c r="G249" s="18" t="n"/>
      <c r="H249" s="8" t="str">
        <f>IF(F249="","",F249-N(G249))</f>
        <v/>
      </c>
      <c r="I249" s="16" t="str">
        <f>IF(OR(F249="",H249&lt;=0),"",MAX(0,TODAY()-E249))</f>
        <v/>
      </c>
      <c r="J249" s="17" t="str">
        <f>IF(F249="","",IF(H249&lt;=0,"Paid",IF(TODAY()&gt;E249,"Late","Open")))</f>
        <v/>
      </c>
      <c r="K249" s="11" t="n"/>
    </row>
    <row r="250">
      <c r="A250" s="10" t="n"/>
      <c r="B250" s="11" t="n"/>
      <c r="C250" s="12" t="n"/>
      <c r="D250" s="13" t="n"/>
      <c r="E250" s="14" t="str">
        <f>IF(C250="","",C250+IF(D250="",30,D250))</f>
        <v/>
      </c>
      <c r="F250" s="18" t="n"/>
      <c r="G250" s="18" t="n"/>
      <c r="H250" s="8" t="str">
        <f>IF(F250="","",F250-N(G250))</f>
        <v/>
      </c>
      <c r="I250" s="16" t="str">
        <f>IF(OR(F250="",H250&lt;=0),"",MAX(0,TODAY()-E250))</f>
        <v/>
      </c>
      <c r="J250" s="17" t="str">
        <f>IF(F250="","",IF(H250&lt;=0,"Paid",IF(TODAY()&gt;E250,"Late","Open")))</f>
        <v/>
      </c>
      <c r="K250" s="11" t="n"/>
    </row>
    <row r="251">
      <c r="A251" s="10" t="n"/>
      <c r="B251" s="11" t="n"/>
      <c r="C251" s="12" t="n"/>
      <c r="D251" s="13" t="n"/>
      <c r="E251" s="14" t="str">
        <f>IF(C251="","",C251+IF(D251="",30,D251))</f>
        <v/>
      </c>
      <c r="F251" s="18" t="n"/>
      <c r="G251" s="18" t="n"/>
      <c r="H251" s="8" t="str">
        <f>IF(F251="","",F251-N(G251))</f>
        <v/>
      </c>
      <c r="I251" s="16" t="str">
        <f>IF(OR(F251="",H251&lt;=0),"",MAX(0,TODAY()-E251))</f>
        <v/>
      </c>
      <c r="J251" s="17" t="str">
        <f>IF(F251="","",IF(H251&lt;=0,"Paid",IF(TODAY()&gt;E251,"Late","Open")))</f>
        <v/>
      </c>
      <c r="K251" s="11" t="n"/>
    </row>
    <row r="252">
      <c r="A252" s="10" t="n"/>
      <c r="B252" s="11" t="n"/>
      <c r="C252" s="12" t="n"/>
      <c r="D252" s="13" t="n"/>
      <c r="E252" s="14" t="str">
        <f>IF(C252="","",C252+IF(D252="",30,D252))</f>
        <v/>
      </c>
      <c r="F252" s="18" t="n"/>
      <c r="G252" s="18" t="n"/>
      <c r="H252" s="8" t="str">
        <f>IF(F252="","",F252-N(G252))</f>
        <v/>
      </c>
      <c r="I252" s="16" t="str">
        <f>IF(OR(F252="",H252&lt;=0),"",MAX(0,TODAY()-E252))</f>
        <v/>
      </c>
      <c r="J252" s="17" t="str">
        <f>IF(F252="","",IF(H252&lt;=0,"Paid",IF(TODAY()&gt;E252,"Late","Open")))</f>
        <v/>
      </c>
      <c r="K252" s="11" t="n"/>
    </row>
    <row r="253">
      <c r="A253" s="10" t="n"/>
      <c r="B253" s="11" t="n"/>
      <c r="C253" s="12" t="n"/>
      <c r="D253" s="13" t="n"/>
      <c r="E253" s="14" t="str">
        <f>IF(C253="","",C253+IF(D253="",30,D253))</f>
        <v/>
      </c>
      <c r="F253" s="18" t="n"/>
      <c r="G253" s="18" t="n"/>
      <c r="H253" s="8" t="str">
        <f>IF(F253="","",F253-N(G253))</f>
        <v/>
      </c>
      <c r="I253" s="16" t="str">
        <f>IF(OR(F253="",H253&lt;=0),"",MAX(0,TODAY()-E253))</f>
        <v/>
      </c>
      <c r="J253" s="17" t="str">
        <f>IF(F253="","",IF(H253&lt;=0,"Paid",IF(TODAY()&gt;E253,"Late","Open")))</f>
        <v/>
      </c>
      <c r="K253" s="11" t="n"/>
    </row>
    <row r="254">
      <c r="A254" s="10" t="n"/>
      <c r="B254" s="11" t="n"/>
      <c r="C254" s="12" t="n"/>
      <c r="D254" s="13" t="n"/>
      <c r="E254" s="14" t="str">
        <f>IF(C254="","",C254+IF(D254="",30,D254))</f>
        <v/>
      </c>
      <c r="F254" s="18" t="n"/>
      <c r="G254" s="18" t="n"/>
      <c r="H254" s="8" t="str">
        <f>IF(F254="","",F254-N(G254))</f>
        <v/>
      </c>
      <c r="I254" s="16" t="str">
        <f>IF(OR(F254="",H254&lt;=0),"",MAX(0,TODAY()-E254))</f>
        <v/>
      </c>
      <c r="J254" s="17" t="str">
        <f>IF(F254="","",IF(H254&lt;=0,"Paid",IF(TODAY()&gt;E254,"Late","Open")))</f>
        <v/>
      </c>
      <c r="K254" s="11" t="n"/>
    </row>
    <row r="255">
      <c r="A255" s="10" t="n"/>
      <c r="B255" s="11" t="n"/>
      <c r="C255" s="12" t="n"/>
      <c r="D255" s="13" t="n"/>
      <c r="E255" s="14" t="str">
        <f>IF(C255="","",C255+IF(D255="",30,D255))</f>
        <v/>
      </c>
      <c r="F255" s="18" t="n"/>
      <c r="G255" s="18" t="n"/>
      <c r="H255" s="8" t="str">
        <f>IF(F255="","",F255-N(G255))</f>
        <v/>
      </c>
      <c r="I255" s="16" t="str">
        <f>IF(OR(F255="",H255&lt;=0),"",MAX(0,TODAY()-E255))</f>
        <v/>
      </c>
      <c r="J255" s="17" t="str">
        <f>IF(F255="","",IF(H255&lt;=0,"Paid",IF(TODAY()&gt;E255,"Late","Open")))</f>
        <v/>
      </c>
      <c r="K255" s="11" t="n"/>
    </row>
    <row r="256">
      <c r="A256" s="10" t="n"/>
      <c r="B256" s="11" t="n"/>
      <c r="C256" s="12" t="n"/>
      <c r="D256" s="13" t="n"/>
      <c r="E256" s="14" t="str">
        <f>IF(C256="","",C256+IF(D256="",30,D256))</f>
        <v/>
      </c>
      <c r="F256" s="18" t="n"/>
      <c r="G256" s="18" t="n"/>
      <c r="H256" s="8" t="str">
        <f>IF(F256="","",F256-N(G256))</f>
        <v/>
      </c>
      <c r="I256" s="16" t="str">
        <f>IF(OR(F256="",H256&lt;=0),"",MAX(0,TODAY()-E256))</f>
        <v/>
      </c>
      <c r="J256" s="17" t="str">
        <f>IF(F256="","",IF(H256&lt;=0,"Paid",IF(TODAY()&gt;E256,"Late","Open")))</f>
        <v/>
      </c>
      <c r="K256" s="11" t="n"/>
    </row>
    <row r="257">
      <c r="A257" s="10" t="n"/>
      <c r="B257" s="11" t="n"/>
      <c r="C257" s="12" t="n"/>
      <c r="D257" s="13" t="n"/>
      <c r="E257" s="14" t="str">
        <f>IF(C257="","",C257+IF(D257="",30,D257))</f>
        <v/>
      </c>
      <c r="F257" s="18" t="n"/>
      <c r="G257" s="18" t="n"/>
      <c r="H257" s="8" t="str">
        <f>IF(F257="","",F257-N(G257))</f>
        <v/>
      </c>
      <c r="I257" s="16" t="str">
        <f>IF(OR(F257="",H257&lt;=0),"",MAX(0,TODAY()-E257))</f>
        <v/>
      </c>
      <c r="J257" s="17" t="str">
        <f>IF(F257="","",IF(H257&lt;=0,"Paid",IF(TODAY()&gt;E257,"Late","Open")))</f>
        <v/>
      </c>
      <c r="K257" s="11" t="n"/>
    </row>
    <row r="258">
      <c r="A258" s="10" t="n"/>
      <c r="B258" s="11" t="n"/>
      <c r="C258" s="12" t="n"/>
      <c r="D258" s="13" t="n"/>
      <c r="E258" s="14" t="str">
        <f>IF(C258="","",C258+IF(D258="",30,D258))</f>
        <v/>
      </c>
      <c r="F258" s="18" t="n"/>
      <c r="G258" s="18" t="n"/>
      <c r="H258" s="8" t="str">
        <f>IF(F258="","",F258-N(G258))</f>
        <v/>
      </c>
      <c r="I258" s="16" t="str">
        <f>IF(OR(F258="",H258&lt;=0),"",MAX(0,TODAY()-E258))</f>
        <v/>
      </c>
      <c r="J258" s="17" t="str">
        <f>IF(F258="","",IF(H258&lt;=0,"Paid",IF(TODAY()&gt;E258,"Late","Open")))</f>
        <v/>
      </c>
      <c r="K258" s="11" t="n"/>
    </row>
    <row r="259">
      <c r="A259" s="10" t="n"/>
      <c r="B259" s="11" t="n"/>
      <c r="C259" s="12" t="n"/>
      <c r="D259" s="13" t="n"/>
      <c r="E259" s="14" t="str">
        <f>IF(C259="","",C259+IF(D259="",30,D259))</f>
        <v/>
      </c>
      <c r="F259" s="18" t="n"/>
      <c r="G259" s="18" t="n"/>
      <c r="H259" s="8" t="str">
        <f>IF(F259="","",F259-N(G259))</f>
        <v/>
      </c>
      <c r="I259" s="16" t="str">
        <f>IF(OR(F259="",H259&lt;=0),"",MAX(0,TODAY()-E259))</f>
        <v/>
      </c>
      <c r="J259" s="17" t="str">
        <f>IF(F259="","",IF(H259&lt;=0,"Paid",IF(TODAY()&gt;E259,"Late","Open")))</f>
        <v/>
      </c>
      <c r="K259" s="11" t="n"/>
    </row>
    <row r="260">
      <c r="A260" s="10" t="n"/>
      <c r="B260" s="11" t="n"/>
      <c r="C260" s="12" t="n"/>
      <c r="D260" s="13" t="n"/>
      <c r="E260" s="14" t="str">
        <f>IF(C260="","",C260+IF(D260="",30,D260))</f>
        <v/>
      </c>
      <c r="F260" s="18" t="n"/>
      <c r="G260" s="18" t="n"/>
      <c r="H260" s="8" t="str">
        <f>IF(F260="","",F260-N(G260))</f>
        <v/>
      </c>
      <c r="I260" s="16" t="str">
        <f>IF(OR(F260="",H260&lt;=0),"",MAX(0,TODAY()-E260))</f>
        <v/>
      </c>
      <c r="J260" s="17" t="str">
        <f>IF(F260="","",IF(H260&lt;=0,"Paid",IF(TODAY()&gt;E260,"Late","Open")))</f>
        <v/>
      </c>
      <c r="K260" s="11" t="n"/>
    </row>
    <row r="261">
      <c r="A261" s="10" t="n"/>
      <c r="B261" s="11" t="n"/>
      <c r="C261" s="12" t="n"/>
      <c r="D261" s="13" t="n"/>
      <c r="E261" s="14" t="str">
        <f>IF(C261="","",C261+IF(D261="",30,D261))</f>
        <v/>
      </c>
      <c r="F261" s="18" t="n"/>
      <c r="G261" s="18" t="n"/>
      <c r="H261" s="8" t="str">
        <f>IF(F261="","",F261-N(G261))</f>
        <v/>
      </c>
      <c r="I261" s="16" t="str">
        <f>IF(OR(F261="",H261&lt;=0),"",MAX(0,TODAY()-E261))</f>
        <v/>
      </c>
      <c r="J261" s="17" t="str">
        <f>IF(F261="","",IF(H261&lt;=0,"Paid",IF(TODAY()&gt;E261,"Late","Open")))</f>
        <v/>
      </c>
      <c r="K261" s="11" t="n"/>
    </row>
    <row r="262">
      <c r="A262" s="10" t="n"/>
      <c r="B262" s="11" t="n"/>
      <c r="C262" s="12" t="n"/>
      <c r="D262" s="13" t="n"/>
      <c r="E262" s="14" t="str">
        <f>IF(C262="","",C262+IF(D262="",30,D262))</f>
        <v/>
      </c>
      <c r="F262" s="18" t="n"/>
      <c r="G262" s="18" t="n"/>
      <c r="H262" s="8" t="str">
        <f>IF(F262="","",F262-N(G262))</f>
        <v/>
      </c>
      <c r="I262" s="16" t="str">
        <f>IF(OR(F262="",H262&lt;=0),"",MAX(0,TODAY()-E262))</f>
        <v/>
      </c>
      <c r="J262" s="17" t="str">
        <f>IF(F262="","",IF(H262&lt;=0,"Paid",IF(TODAY()&gt;E262,"Late","Open")))</f>
        <v/>
      </c>
      <c r="K262" s="11" t="n"/>
    </row>
    <row r="263">
      <c r="A263" s="10" t="n"/>
      <c r="B263" s="11" t="n"/>
      <c r="C263" s="12" t="n"/>
      <c r="D263" s="13" t="n"/>
      <c r="E263" s="14" t="str">
        <f>IF(C263="","",C263+IF(D263="",30,D263))</f>
        <v/>
      </c>
      <c r="F263" s="18" t="n"/>
      <c r="G263" s="18" t="n"/>
      <c r="H263" s="8" t="str">
        <f>IF(F263="","",F263-N(G263))</f>
        <v/>
      </c>
      <c r="I263" s="16" t="str">
        <f>IF(OR(F263="",H263&lt;=0),"",MAX(0,TODAY()-E263))</f>
        <v/>
      </c>
      <c r="J263" s="17" t="str">
        <f>IF(F263="","",IF(H263&lt;=0,"Paid",IF(TODAY()&gt;E263,"Late","Open")))</f>
        <v/>
      </c>
      <c r="K263" s="11" t="n"/>
    </row>
    <row r="264">
      <c r="A264" s="10" t="n"/>
      <c r="B264" s="11" t="n"/>
      <c r="C264" s="12" t="n"/>
      <c r="D264" s="13" t="n"/>
      <c r="E264" s="14" t="str">
        <f>IF(C264="","",C264+IF(D264="",30,D264))</f>
        <v/>
      </c>
      <c r="F264" s="18" t="n"/>
      <c r="G264" s="18" t="n"/>
      <c r="H264" s="8" t="str">
        <f>IF(F264="","",F264-N(G264))</f>
        <v/>
      </c>
      <c r="I264" s="16" t="str">
        <f>IF(OR(F264="",H264&lt;=0),"",MAX(0,TODAY()-E264))</f>
        <v/>
      </c>
      <c r="J264" s="17" t="str">
        <f>IF(F264="","",IF(H264&lt;=0,"Paid",IF(TODAY()&gt;E264,"Late","Open")))</f>
        <v/>
      </c>
      <c r="K264" s="11" t="n"/>
    </row>
    <row r="265">
      <c r="A265" s="10" t="n"/>
      <c r="B265" s="11" t="n"/>
      <c r="C265" s="12" t="n"/>
      <c r="D265" s="13" t="n"/>
      <c r="E265" s="14" t="str">
        <f>IF(C265="","",C265+IF(D265="",30,D265))</f>
        <v/>
      </c>
      <c r="F265" s="18" t="n"/>
      <c r="G265" s="18" t="n"/>
      <c r="H265" s="8" t="str">
        <f>IF(F265="","",F265-N(G265))</f>
        <v/>
      </c>
      <c r="I265" s="16" t="str">
        <f>IF(OR(F265="",H265&lt;=0),"",MAX(0,TODAY()-E265))</f>
        <v/>
      </c>
      <c r="J265" s="17" t="str">
        <f>IF(F265="","",IF(H265&lt;=0,"Paid",IF(TODAY()&gt;E265,"Late","Open")))</f>
        <v/>
      </c>
      <c r="K265" s="11" t="n"/>
    </row>
    <row r="266">
      <c r="A266" s="10" t="n"/>
      <c r="B266" s="11" t="n"/>
      <c r="C266" s="12" t="n"/>
      <c r="D266" s="13" t="n"/>
      <c r="E266" s="14" t="str">
        <f>IF(C266="","",C266+IF(D266="",30,D266))</f>
        <v/>
      </c>
      <c r="F266" s="18" t="n"/>
      <c r="G266" s="18" t="n"/>
      <c r="H266" s="8" t="str">
        <f>IF(F266="","",F266-N(G266))</f>
        <v/>
      </c>
      <c r="I266" s="16" t="str">
        <f>IF(OR(F266="",H266&lt;=0),"",MAX(0,TODAY()-E266))</f>
        <v/>
      </c>
      <c r="J266" s="17" t="str">
        <f>IF(F266="","",IF(H266&lt;=0,"Paid",IF(TODAY()&gt;E266,"Late","Open")))</f>
        <v/>
      </c>
      <c r="K266" s="11" t="n"/>
    </row>
    <row r="267">
      <c r="A267" s="10" t="n"/>
      <c r="B267" s="11" t="n"/>
      <c r="C267" s="12" t="n"/>
      <c r="D267" s="13" t="n"/>
      <c r="E267" s="14" t="str">
        <f>IF(C267="","",C267+IF(D267="",30,D267))</f>
        <v/>
      </c>
      <c r="F267" s="18" t="n"/>
      <c r="G267" s="18" t="n"/>
      <c r="H267" s="8" t="str">
        <f>IF(F267="","",F267-N(G267))</f>
        <v/>
      </c>
      <c r="I267" s="16" t="str">
        <f>IF(OR(F267="",H267&lt;=0),"",MAX(0,TODAY()-E267))</f>
        <v/>
      </c>
      <c r="J267" s="17" t="str">
        <f>IF(F267="","",IF(H267&lt;=0,"Paid",IF(TODAY()&gt;E267,"Late","Open")))</f>
        <v/>
      </c>
      <c r="K267" s="11" t="n"/>
    </row>
    <row r="268">
      <c r="A268" s="10" t="n"/>
      <c r="B268" s="11" t="n"/>
      <c r="C268" s="12" t="n"/>
      <c r="D268" s="13" t="n"/>
      <c r="E268" s="14" t="str">
        <f>IF(C268="","",C268+IF(D268="",30,D268))</f>
        <v/>
      </c>
      <c r="F268" s="18" t="n"/>
      <c r="G268" s="18" t="n"/>
      <c r="H268" s="8" t="str">
        <f>IF(F268="","",F268-N(G268))</f>
        <v/>
      </c>
      <c r="I268" s="16" t="str">
        <f>IF(OR(F268="",H268&lt;=0),"",MAX(0,TODAY()-E268))</f>
        <v/>
      </c>
      <c r="J268" s="17" t="str">
        <f>IF(F268="","",IF(H268&lt;=0,"Paid",IF(TODAY()&gt;E268,"Late","Open")))</f>
        <v/>
      </c>
      <c r="K268" s="11" t="n"/>
    </row>
    <row r="269">
      <c r="A269" s="10" t="n"/>
      <c r="B269" s="11" t="n"/>
      <c r="C269" s="12" t="n"/>
      <c r="D269" s="13" t="n"/>
      <c r="E269" s="14" t="str">
        <f>IF(C269="","",C269+IF(D269="",30,D269))</f>
        <v/>
      </c>
      <c r="F269" s="18" t="n"/>
      <c r="G269" s="18" t="n"/>
      <c r="H269" s="8" t="str">
        <f>IF(F269="","",F269-N(G269))</f>
        <v/>
      </c>
      <c r="I269" s="16" t="str">
        <f>IF(OR(F269="",H269&lt;=0),"",MAX(0,TODAY()-E269))</f>
        <v/>
      </c>
      <c r="J269" s="17" t="str">
        <f>IF(F269="","",IF(H269&lt;=0,"Paid",IF(TODAY()&gt;E269,"Late","Open")))</f>
        <v/>
      </c>
      <c r="K269" s="11" t="n"/>
    </row>
    <row r="270">
      <c r="A270" s="10" t="n"/>
      <c r="B270" s="11" t="n"/>
      <c r="C270" s="12" t="n"/>
      <c r="D270" s="13" t="n"/>
      <c r="E270" s="14" t="str">
        <f>IF(C270="","",C270+IF(D270="",30,D270))</f>
        <v/>
      </c>
      <c r="F270" s="18" t="n"/>
      <c r="G270" s="18" t="n"/>
      <c r="H270" s="8" t="str">
        <f>IF(F270="","",F270-N(G270))</f>
        <v/>
      </c>
      <c r="I270" s="16" t="str">
        <f>IF(OR(F270="",H270&lt;=0),"",MAX(0,TODAY()-E270))</f>
        <v/>
      </c>
      <c r="J270" s="17" t="str">
        <f>IF(F270="","",IF(H270&lt;=0,"Paid",IF(TODAY()&gt;E270,"Late","Open")))</f>
        <v/>
      </c>
      <c r="K270" s="11" t="n"/>
    </row>
    <row r="271">
      <c r="A271" s="10" t="n"/>
      <c r="B271" s="11" t="n"/>
      <c r="C271" s="12" t="n"/>
      <c r="D271" s="13" t="n"/>
      <c r="E271" s="14" t="str">
        <f>IF(C271="","",C271+IF(D271="",30,D271))</f>
        <v/>
      </c>
      <c r="F271" s="18" t="n"/>
      <c r="G271" s="18" t="n"/>
      <c r="H271" s="8" t="str">
        <f>IF(F271="","",F271-N(G271))</f>
        <v/>
      </c>
      <c r="I271" s="16" t="str">
        <f>IF(OR(F271="",H271&lt;=0),"",MAX(0,TODAY()-E271))</f>
        <v/>
      </c>
      <c r="J271" s="17" t="str">
        <f>IF(F271="","",IF(H271&lt;=0,"Paid",IF(TODAY()&gt;E271,"Late","Open")))</f>
        <v/>
      </c>
      <c r="K271" s="11" t="n"/>
    </row>
    <row r="272">
      <c r="A272" s="10" t="n"/>
      <c r="B272" s="11" t="n"/>
      <c r="C272" s="12" t="n"/>
      <c r="D272" s="13" t="n"/>
      <c r="E272" s="14" t="str">
        <f>IF(C272="","",C272+IF(D272="",30,D272))</f>
        <v/>
      </c>
      <c r="F272" s="18" t="n"/>
      <c r="G272" s="18" t="n"/>
      <c r="H272" s="8" t="str">
        <f>IF(F272="","",F272-N(G272))</f>
        <v/>
      </c>
      <c r="I272" s="16" t="str">
        <f>IF(OR(F272="",H272&lt;=0),"",MAX(0,TODAY()-E272))</f>
        <v/>
      </c>
      <c r="J272" s="17" t="str">
        <f>IF(F272="","",IF(H272&lt;=0,"Paid",IF(TODAY()&gt;E272,"Late","Open")))</f>
        <v/>
      </c>
      <c r="K272" s="11" t="n"/>
    </row>
    <row r="273">
      <c r="A273" s="10" t="n"/>
      <c r="B273" s="11" t="n"/>
      <c r="C273" s="12" t="n"/>
      <c r="D273" s="13" t="n"/>
      <c r="E273" s="14" t="str">
        <f>IF(C273="","",C273+IF(D273="",30,D273))</f>
        <v/>
      </c>
      <c r="F273" s="18" t="n"/>
      <c r="G273" s="18" t="n"/>
      <c r="H273" s="8" t="str">
        <f>IF(F273="","",F273-N(G273))</f>
        <v/>
      </c>
      <c r="I273" s="16" t="str">
        <f>IF(OR(F273="",H273&lt;=0),"",MAX(0,TODAY()-E273))</f>
        <v/>
      </c>
      <c r="J273" s="17" t="str">
        <f>IF(F273="","",IF(H273&lt;=0,"Paid",IF(TODAY()&gt;E273,"Late","Open")))</f>
        <v/>
      </c>
      <c r="K273" s="11" t="n"/>
    </row>
    <row r="274">
      <c r="A274" s="10" t="n"/>
      <c r="B274" s="11" t="n"/>
      <c r="C274" s="12" t="n"/>
      <c r="D274" s="13" t="n"/>
      <c r="E274" s="14" t="str">
        <f>IF(C274="","",C274+IF(D274="",30,D274))</f>
        <v/>
      </c>
      <c r="F274" s="18" t="n"/>
      <c r="G274" s="18" t="n"/>
      <c r="H274" s="8" t="str">
        <f>IF(F274="","",F274-N(G274))</f>
        <v/>
      </c>
      <c r="I274" s="16" t="str">
        <f>IF(OR(F274="",H274&lt;=0),"",MAX(0,TODAY()-E274))</f>
        <v/>
      </c>
      <c r="J274" s="17" t="str">
        <f>IF(F274="","",IF(H274&lt;=0,"Paid",IF(TODAY()&gt;E274,"Late","Open")))</f>
        <v/>
      </c>
      <c r="K274" s="11" t="n"/>
    </row>
    <row r="275">
      <c r="A275" s="10" t="n"/>
      <c r="B275" s="11" t="n"/>
      <c r="C275" s="12" t="n"/>
      <c r="D275" s="13" t="n"/>
      <c r="E275" s="14" t="str">
        <f>IF(C275="","",C275+IF(D275="",30,D275))</f>
        <v/>
      </c>
      <c r="F275" s="18" t="n"/>
      <c r="G275" s="18" t="n"/>
      <c r="H275" s="8" t="str">
        <f>IF(F275="","",F275-N(G275))</f>
        <v/>
      </c>
      <c r="I275" s="16" t="str">
        <f>IF(OR(F275="",H275&lt;=0),"",MAX(0,TODAY()-E275))</f>
        <v/>
      </c>
      <c r="J275" s="17" t="str">
        <f>IF(F275="","",IF(H275&lt;=0,"Paid",IF(TODAY()&gt;E275,"Late","Open")))</f>
        <v/>
      </c>
      <c r="K275" s="11" t="n"/>
    </row>
    <row r="276">
      <c r="A276" s="10" t="n"/>
      <c r="B276" s="11" t="n"/>
      <c r="C276" s="12" t="n"/>
      <c r="D276" s="13" t="n"/>
      <c r="E276" s="14" t="str">
        <f>IF(C276="","",C276+IF(D276="",30,D276))</f>
        <v/>
      </c>
      <c r="F276" s="18" t="n"/>
      <c r="G276" s="18" t="n"/>
      <c r="H276" s="8" t="str">
        <f>IF(F276="","",F276-N(G276))</f>
        <v/>
      </c>
      <c r="I276" s="16" t="str">
        <f>IF(OR(F276="",H276&lt;=0),"",MAX(0,TODAY()-E276))</f>
        <v/>
      </c>
      <c r="J276" s="17" t="str">
        <f>IF(F276="","",IF(H276&lt;=0,"Paid",IF(TODAY()&gt;E276,"Late","Open")))</f>
        <v/>
      </c>
      <c r="K276" s="11" t="n"/>
    </row>
    <row r="277">
      <c r="A277" s="10" t="n"/>
      <c r="B277" s="11" t="n"/>
      <c r="C277" s="12" t="n"/>
      <c r="D277" s="13" t="n"/>
      <c r="E277" s="14" t="str">
        <f>IF(C277="","",C277+IF(D277="",30,D277))</f>
        <v/>
      </c>
      <c r="F277" s="18" t="n"/>
      <c r="G277" s="18" t="n"/>
      <c r="H277" s="8" t="str">
        <f>IF(F277="","",F277-N(G277))</f>
        <v/>
      </c>
      <c r="I277" s="16" t="str">
        <f>IF(OR(F277="",H277&lt;=0),"",MAX(0,TODAY()-E277))</f>
        <v/>
      </c>
      <c r="J277" s="17" t="str">
        <f>IF(F277="","",IF(H277&lt;=0,"Paid",IF(TODAY()&gt;E277,"Late","Open")))</f>
        <v/>
      </c>
      <c r="K277" s="11" t="n"/>
    </row>
    <row r="278">
      <c r="A278" s="10" t="n"/>
      <c r="B278" s="11" t="n"/>
      <c r="C278" s="12" t="n"/>
      <c r="D278" s="13" t="n"/>
      <c r="E278" s="14" t="str">
        <f>IF(C278="","",C278+IF(D278="",30,D278))</f>
        <v/>
      </c>
      <c r="F278" s="18" t="n"/>
      <c r="G278" s="18" t="n"/>
      <c r="H278" s="8" t="str">
        <f>IF(F278="","",F278-N(G278))</f>
        <v/>
      </c>
      <c r="I278" s="16" t="str">
        <f>IF(OR(F278="",H278&lt;=0),"",MAX(0,TODAY()-E278))</f>
        <v/>
      </c>
      <c r="J278" s="17" t="str">
        <f>IF(F278="","",IF(H278&lt;=0,"Paid",IF(TODAY()&gt;E278,"Late","Open")))</f>
        <v/>
      </c>
      <c r="K278" s="11" t="n"/>
    </row>
    <row r="279">
      <c r="A279" s="10" t="n"/>
      <c r="B279" s="11" t="n"/>
      <c r="C279" s="12" t="n"/>
      <c r="D279" s="13" t="n"/>
      <c r="E279" s="14" t="str">
        <f>IF(C279="","",C279+IF(D279="",30,D279))</f>
        <v/>
      </c>
      <c r="F279" s="18" t="n"/>
      <c r="G279" s="18" t="n"/>
      <c r="H279" s="8" t="str">
        <f>IF(F279="","",F279-N(G279))</f>
        <v/>
      </c>
      <c r="I279" s="16" t="str">
        <f>IF(OR(F279="",H279&lt;=0),"",MAX(0,TODAY()-E279))</f>
        <v/>
      </c>
      <c r="J279" s="17" t="str">
        <f>IF(F279="","",IF(H279&lt;=0,"Paid",IF(TODAY()&gt;E279,"Late","Open")))</f>
        <v/>
      </c>
      <c r="K279" s="11" t="n"/>
    </row>
    <row r="280">
      <c r="A280" s="10" t="n"/>
      <c r="B280" s="11" t="n"/>
      <c r="C280" s="12" t="n"/>
      <c r="D280" s="13" t="n"/>
      <c r="E280" s="14" t="str">
        <f>IF(C280="","",C280+IF(D280="",30,D280))</f>
        <v/>
      </c>
      <c r="F280" s="18" t="n"/>
      <c r="G280" s="18" t="n"/>
      <c r="H280" s="8" t="str">
        <f>IF(F280="","",F280-N(G280))</f>
        <v/>
      </c>
      <c r="I280" s="16" t="str">
        <f>IF(OR(F280="",H280&lt;=0),"",MAX(0,TODAY()-E280))</f>
        <v/>
      </c>
      <c r="J280" s="17" t="str">
        <f>IF(F280="","",IF(H280&lt;=0,"Paid",IF(TODAY()&gt;E280,"Late","Open")))</f>
        <v/>
      </c>
      <c r="K280" s="11" t="n"/>
    </row>
    <row r="281">
      <c r="A281" s="10" t="n"/>
      <c r="B281" s="11" t="n"/>
      <c r="C281" s="12" t="n"/>
      <c r="D281" s="13" t="n"/>
      <c r="E281" s="14" t="str">
        <f>IF(C281="","",C281+IF(D281="",30,D281))</f>
        <v/>
      </c>
      <c r="F281" s="18" t="n"/>
      <c r="G281" s="18" t="n"/>
      <c r="H281" s="8" t="str">
        <f>IF(F281="","",F281-N(G281))</f>
        <v/>
      </c>
      <c r="I281" s="16" t="str">
        <f>IF(OR(F281="",H281&lt;=0),"",MAX(0,TODAY()-E281))</f>
        <v/>
      </c>
      <c r="J281" s="17" t="str">
        <f>IF(F281="","",IF(H281&lt;=0,"Paid",IF(TODAY()&gt;E281,"Late","Open")))</f>
        <v/>
      </c>
      <c r="K281" s="11" t="n"/>
    </row>
    <row r="282">
      <c r="A282" s="10" t="n"/>
      <c r="B282" s="11" t="n"/>
      <c r="C282" s="12" t="n"/>
      <c r="D282" s="13" t="n"/>
      <c r="E282" s="14" t="str">
        <f>IF(C282="","",C282+IF(D282="",30,D282))</f>
        <v/>
      </c>
      <c r="F282" s="18" t="n"/>
      <c r="G282" s="18" t="n"/>
      <c r="H282" s="8" t="str">
        <f>IF(F282="","",F282-N(G282))</f>
        <v/>
      </c>
      <c r="I282" s="16" t="str">
        <f>IF(OR(F282="",H282&lt;=0),"",MAX(0,TODAY()-E282))</f>
        <v/>
      </c>
      <c r="J282" s="17" t="str">
        <f>IF(F282="","",IF(H282&lt;=0,"Paid",IF(TODAY()&gt;E282,"Late","Open")))</f>
        <v/>
      </c>
      <c r="K282" s="11" t="n"/>
    </row>
    <row r="283">
      <c r="A283" s="10" t="n"/>
      <c r="B283" s="11" t="n"/>
      <c r="C283" s="12" t="n"/>
      <c r="D283" s="13" t="n"/>
      <c r="E283" s="14" t="str">
        <f>IF(C283="","",C283+IF(D283="",30,D283))</f>
        <v/>
      </c>
      <c r="F283" s="18" t="n"/>
      <c r="G283" s="18" t="n"/>
      <c r="H283" s="8" t="str">
        <f>IF(F283="","",F283-N(G283))</f>
        <v/>
      </c>
      <c r="I283" s="16" t="str">
        <f>IF(OR(F283="",H283&lt;=0),"",MAX(0,TODAY()-E283))</f>
        <v/>
      </c>
      <c r="J283" s="17" t="str">
        <f>IF(F283="","",IF(H283&lt;=0,"Paid",IF(TODAY()&gt;E283,"Late","Open")))</f>
        <v/>
      </c>
      <c r="K283" s="11" t="n"/>
    </row>
    <row r="284">
      <c r="A284" s="10" t="n"/>
      <c r="B284" s="11" t="n"/>
      <c r="C284" s="12" t="n"/>
      <c r="D284" s="13" t="n"/>
      <c r="E284" s="14" t="str">
        <f>IF(C284="","",C284+IF(D284="",30,D284))</f>
        <v/>
      </c>
      <c r="F284" s="18" t="n"/>
      <c r="G284" s="18" t="n"/>
      <c r="H284" s="8" t="str">
        <f>IF(F284="","",F284-N(G284))</f>
        <v/>
      </c>
      <c r="I284" s="16" t="str">
        <f>IF(OR(F284="",H284&lt;=0),"",MAX(0,TODAY()-E284))</f>
        <v/>
      </c>
      <c r="J284" s="17" t="str">
        <f>IF(F284="","",IF(H284&lt;=0,"Paid",IF(TODAY()&gt;E284,"Late","Open")))</f>
        <v/>
      </c>
      <c r="K284" s="11" t="n"/>
    </row>
    <row r="285">
      <c r="A285" s="10" t="n"/>
      <c r="B285" s="11" t="n"/>
      <c r="C285" s="12" t="n"/>
      <c r="D285" s="13" t="n"/>
      <c r="E285" s="14" t="str">
        <f>IF(C285="","",C285+IF(D285="",30,D285))</f>
        <v/>
      </c>
      <c r="F285" s="18" t="n"/>
      <c r="G285" s="18" t="n"/>
      <c r="H285" s="8" t="str">
        <f>IF(F285="","",F285-N(G285))</f>
        <v/>
      </c>
      <c r="I285" s="16" t="str">
        <f>IF(OR(F285="",H285&lt;=0),"",MAX(0,TODAY()-E285))</f>
        <v/>
      </c>
      <c r="J285" s="17" t="str">
        <f>IF(F285="","",IF(H285&lt;=0,"Paid",IF(TODAY()&gt;E285,"Late","Open")))</f>
        <v/>
      </c>
      <c r="K285" s="11" t="n"/>
    </row>
    <row r="286">
      <c r="A286" s="10" t="n"/>
      <c r="B286" s="11" t="n"/>
      <c r="C286" s="12" t="n"/>
      <c r="D286" s="13" t="n"/>
      <c r="E286" s="14" t="str">
        <f>IF(C286="","",C286+IF(D286="",30,D286))</f>
        <v/>
      </c>
      <c r="F286" s="18" t="n"/>
      <c r="G286" s="18" t="n"/>
      <c r="H286" s="8" t="str">
        <f>IF(F286="","",F286-N(G286))</f>
        <v/>
      </c>
      <c r="I286" s="16" t="str">
        <f>IF(OR(F286="",H286&lt;=0),"",MAX(0,TODAY()-E286))</f>
        <v/>
      </c>
      <c r="J286" s="17" t="str">
        <f>IF(F286="","",IF(H286&lt;=0,"Paid",IF(TODAY()&gt;E286,"Late","Open")))</f>
        <v/>
      </c>
      <c r="K286" s="11" t="n"/>
    </row>
    <row r="287">
      <c r="A287" s="10" t="n"/>
      <c r="B287" s="11" t="n"/>
      <c r="C287" s="12" t="n"/>
      <c r="D287" s="13" t="n"/>
      <c r="E287" s="14" t="str">
        <f>IF(C287="","",C287+IF(D287="",30,D287))</f>
        <v/>
      </c>
      <c r="F287" s="18" t="n"/>
      <c r="G287" s="18" t="n"/>
      <c r="H287" s="8" t="str">
        <f>IF(F287="","",F287-N(G287))</f>
        <v/>
      </c>
      <c r="I287" s="16" t="str">
        <f>IF(OR(F287="",H287&lt;=0),"",MAX(0,TODAY()-E287))</f>
        <v/>
      </c>
      <c r="J287" s="17" t="str">
        <f>IF(F287="","",IF(H287&lt;=0,"Paid",IF(TODAY()&gt;E287,"Late","Open")))</f>
        <v/>
      </c>
      <c r="K287" s="11" t="n"/>
    </row>
    <row r="288">
      <c r="A288" s="10" t="n"/>
      <c r="B288" s="11" t="n"/>
      <c r="C288" s="12" t="n"/>
      <c r="D288" s="13" t="n"/>
      <c r="E288" s="14" t="str">
        <f>IF(C288="","",C288+IF(D288="",30,D288))</f>
        <v/>
      </c>
      <c r="F288" s="18" t="n"/>
      <c r="G288" s="18" t="n"/>
      <c r="H288" s="8" t="str">
        <f>IF(F288="","",F288-N(G288))</f>
        <v/>
      </c>
      <c r="I288" s="16" t="str">
        <f>IF(OR(F288="",H288&lt;=0),"",MAX(0,TODAY()-E288))</f>
        <v/>
      </c>
      <c r="J288" s="17" t="str">
        <f>IF(F288="","",IF(H288&lt;=0,"Paid",IF(TODAY()&gt;E288,"Late","Open")))</f>
        <v/>
      </c>
      <c r="K288" s="11" t="n"/>
    </row>
    <row r="289">
      <c r="A289" s="10" t="n"/>
      <c r="B289" s="11" t="n"/>
      <c r="C289" s="12" t="n"/>
      <c r="D289" s="13" t="n"/>
      <c r="E289" s="14" t="str">
        <f>IF(C289="","",C289+IF(D289="",30,D289))</f>
        <v/>
      </c>
      <c r="F289" s="18" t="n"/>
      <c r="G289" s="18" t="n"/>
      <c r="H289" s="8" t="str">
        <f>IF(F289="","",F289-N(G289))</f>
        <v/>
      </c>
      <c r="I289" s="16" t="str">
        <f>IF(OR(F289="",H289&lt;=0),"",MAX(0,TODAY()-E289))</f>
        <v/>
      </c>
      <c r="J289" s="17" t="str">
        <f>IF(F289="","",IF(H289&lt;=0,"Paid",IF(TODAY()&gt;E289,"Late","Open")))</f>
        <v/>
      </c>
      <c r="K289" s="11" t="n"/>
    </row>
    <row r="290">
      <c r="A290" s="10" t="n"/>
      <c r="B290" s="11" t="n"/>
      <c r="C290" s="12" t="n"/>
      <c r="D290" s="13" t="n"/>
      <c r="E290" s="14" t="str">
        <f>IF(C290="","",C290+IF(D290="",30,D290))</f>
        <v/>
      </c>
      <c r="F290" s="18" t="n"/>
      <c r="G290" s="18" t="n"/>
      <c r="H290" s="8" t="str">
        <f>IF(F290="","",F290-N(G290))</f>
        <v/>
      </c>
      <c r="I290" s="16" t="str">
        <f>IF(OR(F290="",H290&lt;=0),"",MAX(0,TODAY()-E290))</f>
        <v/>
      </c>
      <c r="J290" s="17" t="str">
        <f>IF(F290="","",IF(H290&lt;=0,"Paid",IF(TODAY()&gt;E290,"Late","Open")))</f>
        <v/>
      </c>
      <c r="K290" s="11" t="n"/>
    </row>
    <row r="291">
      <c r="A291" s="10" t="n"/>
      <c r="B291" s="11" t="n"/>
      <c r="C291" s="12" t="n"/>
      <c r="D291" s="13" t="n"/>
      <c r="E291" s="14" t="str">
        <f>IF(C291="","",C291+IF(D291="",30,D291))</f>
        <v/>
      </c>
      <c r="F291" s="18" t="n"/>
      <c r="G291" s="18" t="n"/>
      <c r="H291" s="8" t="str">
        <f>IF(F291="","",F291-N(G291))</f>
        <v/>
      </c>
      <c r="I291" s="16" t="str">
        <f>IF(OR(F291="",H291&lt;=0),"",MAX(0,TODAY()-E291))</f>
        <v/>
      </c>
      <c r="J291" s="17" t="str">
        <f>IF(F291="","",IF(H291&lt;=0,"Paid",IF(TODAY()&gt;E291,"Late","Open")))</f>
        <v/>
      </c>
      <c r="K291" s="11" t="n"/>
    </row>
    <row r="292">
      <c r="A292" s="10" t="n"/>
      <c r="B292" s="11" t="n"/>
      <c r="C292" s="12" t="n"/>
      <c r="D292" s="13" t="n"/>
      <c r="E292" s="14" t="str">
        <f>IF(C292="","",C292+IF(D292="",30,D292))</f>
        <v/>
      </c>
      <c r="F292" s="18" t="n"/>
      <c r="G292" s="18" t="n"/>
      <c r="H292" s="8" t="str">
        <f>IF(F292="","",F292-N(G292))</f>
        <v/>
      </c>
      <c r="I292" s="16" t="str">
        <f>IF(OR(F292="",H292&lt;=0),"",MAX(0,TODAY()-E292))</f>
        <v/>
      </c>
      <c r="J292" s="17" t="str">
        <f>IF(F292="","",IF(H292&lt;=0,"Paid",IF(TODAY()&gt;E292,"Late","Open")))</f>
        <v/>
      </c>
      <c r="K292" s="11" t="n"/>
    </row>
    <row r="293">
      <c r="A293" s="10" t="n"/>
      <c r="B293" s="11" t="n"/>
      <c r="C293" s="12" t="n"/>
      <c r="D293" s="13" t="n"/>
      <c r="E293" s="14" t="str">
        <f>IF(C293="","",C293+IF(D293="",30,D293))</f>
        <v/>
      </c>
      <c r="F293" s="18" t="n"/>
      <c r="G293" s="18" t="n"/>
      <c r="H293" s="8" t="str">
        <f>IF(F293="","",F293-N(G293))</f>
        <v/>
      </c>
      <c r="I293" s="16" t="str">
        <f>IF(OR(F293="",H293&lt;=0),"",MAX(0,TODAY()-E293))</f>
        <v/>
      </c>
      <c r="J293" s="17" t="str">
        <f>IF(F293="","",IF(H293&lt;=0,"Paid",IF(TODAY()&gt;E293,"Late","Open")))</f>
        <v/>
      </c>
      <c r="K293" s="11" t="n"/>
    </row>
    <row r="294">
      <c r="A294" s="10" t="n"/>
      <c r="B294" s="11" t="n"/>
      <c r="C294" s="12" t="n"/>
      <c r="D294" s="13" t="n"/>
      <c r="E294" s="14" t="str">
        <f>IF(C294="","",C294+IF(D294="",30,D294))</f>
        <v/>
      </c>
      <c r="F294" s="18" t="n"/>
      <c r="G294" s="18" t="n"/>
      <c r="H294" s="8" t="str">
        <f>IF(F294="","",F294-N(G294))</f>
        <v/>
      </c>
      <c r="I294" s="16" t="str">
        <f>IF(OR(F294="",H294&lt;=0),"",MAX(0,TODAY()-E294))</f>
        <v/>
      </c>
      <c r="J294" s="17" t="str">
        <f>IF(F294="","",IF(H294&lt;=0,"Paid",IF(TODAY()&gt;E294,"Late","Open")))</f>
        <v/>
      </c>
      <c r="K294" s="11" t="n"/>
    </row>
    <row r="295">
      <c r="A295" s="10" t="n"/>
      <c r="B295" s="11" t="n"/>
      <c r="C295" s="12" t="n"/>
      <c r="D295" s="13" t="n"/>
      <c r="E295" s="14" t="str">
        <f>IF(C295="","",C295+IF(D295="",30,D295))</f>
        <v/>
      </c>
      <c r="F295" s="18" t="n"/>
      <c r="G295" s="18" t="n"/>
      <c r="H295" s="8" t="str">
        <f>IF(F295="","",F295-N(G295))</f>
        <v/>
      </c>
      <c r="I295" s="16" t="str">
        <f>IF(OR(F295="",H295&lt;=0),"",MAX(0,TODAY()-E295))</f>
        <v/>
      </c>
      <c r="J295" s="17" t="str">
        <f>IF(F295="","",IF(H295&lt;=0,"Paid",IF(TODAY()&gt;E295,"Late","Open")))</f>
        <v/>
      </c>
      <c r="K295" s="11" t="n"/>
    </row>
    <row r="296">
      <c r="A296" s="10" t="n"/>
      <c r="B296" s="11" t="n"/>
      <c r="C296" s="12" t="n"/>
      <c r="D296" s="13" t="n"/>
      <c r="E296" s="14" t="str">
        <f>IF(C296="","",C296+IF(D296="",30,D296))</f>
        <v/>
      </c>
      <c r="F296" s="18" t="n"/>
      <c r="G296" s="18" t="n"/>
      <c r="H296" s="8" t="str">
        <f>IF(F296="","",F296-N(G296))</f>
        <v/>
      </c>
      <c r="I296" s="16" t="str">
        <f>IF(OR(F296="",H296&lt;=0),"",MAX(0,TODAY()-E296))</f>
        <v/>
      </c>
      <c r="J296" s="17" t="str">
        <f>IF(F296="","",IF(H296&lt;=0,"Paid",IF(TODAY()&gt;E296,"Late","Open")))</f>
        <v/>
      </c>
      <c r="K296" s="11" t="n"/>
    </row>
    <row r="297">
      <c r="A297" s="10" t="n"/>
      <c r="B297" s="11" t="n"/>
      <c r="C297" s="12" t="n"/>
      <c r="D297" s="13" t="n"/>
      <c r="E297" s="14" t="str">
        <f>IF(C297="","",C297+IF(D297="",30,D297))</f>
        <v/>
      </c>
      <c r="F297" s="18" t="n"/>
      <c r="G297" s="18" t="n"/>
      <c r="H297" s="8" t="str">
        <f>IF(F297="","",F297-N(G297))</f>
        <v/>
      </c>
      <c r="I297" s="16" t="str">
        <f>IF(OR(F297="",H297&lt;=0),"",MAX(0,TODAY()-E297))</f>
        <v/>
      </c>
      <c r="J297" s="17" t="str">
        <f>IF(F297="","",IF(H297&lt;=0,"Paid",IF(TODAY()&gt;E297,"Late","Open")))</f>
        <v/>
      </c>
      <c r="K297" s="11" t="n"/>
    </row>
    <row r="298">
      <c r="A298" s="10" t="n"/>
      <c r="B298" s="11" t="n"/>
      <c r="C298" s="12" t="n"/>
      <c r="D298" s="13" t="n"/>
      <c r="E298" s="14" t="str">
        <f>IF(C298="","",C298+IF(D298="",30,D298))</f>
        <v/>
      </c>
      <c r="F298" s="18" t="n"/>
      <c r="G298" s="18" t="n"/>
      <c r="H298" s="8" t="str">
        <f>IF(F298="","",F298-N(G298))</f>
        <v/>
      </c>
      <c r="I298" s="16" t="str">
        <f>IF(OR(F298="",H298&lt;=0),"",MAX(0,TODAY()-E298))</f>
        <v/>
      </c>
      <c r="J298" s="17" t="str">
        <f>IF(F298="","",IF(H298&lt;=0,"Paid",IF(TODAY()&gt;E298,"Late","Open")))</f>
        <v/>
      </c>
      <c r="K298" s="11" t="n"/>
    </row>
    <row r="299">
      <c r="A299" s="10" t="n"/>
      <c r="B299" s="11" t="n"/>
      <c r="C299" s="12" t="n"/>
      <c r="D299" s="13" t="n"/>
      <c r="E299" s="14" t="str">
        <f>IF(C299="","",C299+IF(D299="",30,D299))</f>
        <v/>
      </c>
      <c r="F299" s="18" t="n"/>
      <c r="G299" s="18" t="n"/>
      <c r="H299" s="8" t="str">
        <f>IF(F299="","",F299-N(G299))</f>
        <v/>
      </c>
      <c r="I299" s="16" t="str">
        <f>IF(OR(F299="",H299&lt;=0),"",MAX(0,TODAY()-E299))</f>
        <v/>
      </c>
      <c r="J299" s="17" t="str">
        <f>IF(F299="","",IF(H299&lt;=0,"Paid",IF(TODAY()&gt;E299,"Late","Open")))</f>
        <v/>
      </c>
      <c r="K299" s="11" t="n"/>
    </row>
    <row r="300">
      <c r="A300" s="10" t="n"/>
      <c r="B300" s="11" t="n"/>
      <c r="C300" s="12" t="n"/>
      <c r="D300" s="13" t="n"/>
      <c r="E300" s="14" t="str">
        <f>IF(C300="","",C300+IF(D300="",30,D300))</f>
        <v/>
      </c>
      <c r="F300" s="18" t="n"/>
      <c r="G300" s="18" t="n"/>
      <c r="H300" s="8" t="str">
        <f>IF(F300="","",F300-N(G300))</f>
        <v/>
      </c>
      <c r="I300" s="16" t="str">
        <f>IF(OR(F300="",H300&lt;=0),"",MAX(0,TODAY()-E300))</f>
        <v/>
      </c>
      <c r="J300" s="17" t="str">
        <f>IF(F300="","",IF(H300&lt;=0,"Paid",IF(TODAY()&gt;E300,"Late","Open")))</f>
        <v/>
      </c>
      <c r="K300" s="11" t="n"/>
    </row>
    <row r="301">
      <c r="A301" s="10" t="n"/>
      <c r="B301" s="11" t="n"/>
      <c r="C301" s="12" t="n"/>
      <c r="D301" s="13" t="n"/>
      <c r="E301" s="14" t="str">
        <f>IF(C301="","",C301+IF(D301="",30,D301))</f>
        <v/>
      </c>
      <c r="F301" s="18" t="n"/>
      <c r="G301" s="18" t="n"/>
      <c r="H301" s="8" t="str">
        <f>IF(F301="","",F301-N(G301))</f>
        <v/>
      </c>
      <c r="I301" s="16" t="str">
        <f>IF(OR(F301="",H301&lt;=0),"",MAX(0,TODAY()-E301))</f>
        <v/>
      </c>
      <c r="J301" s="17" t="str">
        <f>IF(F301="","",IF(H301&lt;=0,"Paid",IF(TODAY()&gt;E301,"Late","Open")))</f>
        <v/>
      </c>
      <c r="K301" s="11" t="n"/>
    </row>
    <row r="302">
      <c r="A302" s="10" t="n"/>
      <c r="B302" s="11" t="n"/>
      <c r="C302" s="12" t="n"/>
      <c r="D302" s="13" t="n"/>
      <c r="E302" s="14" t="str">
        <f>IF(C302="","",C302+IF(D302="",30,D302))</f>
        <v/>
      </c>
      <c r="F302" s="18" t="n"/>
      <c r="G302" s="18" t="n"/>
      <c r="H302" s="8" t="str">
        <f>IF(F302="","",F302-N(G302))</f>
        <v/>
      </c>
      <c r="I302" s="16" t="str">
        <f>IF(OR(F302="",H302&lt;=0),"",MAX(0,TODAY()-E302))</f>
        <v/>
      </c>
      <c r="J302" s="17" t="str">
        <f>IF(F302="","",IF(H302&lt;=0,"Paid",IF(TODAY()&gt;E302,"Late","Open")))</f>
        <v/>
      </c>
      <c r="K302" s="11" t="n"/>
    </row>
    <row r="303">
      <c r="A303" s="10" t="n"/>
      <c r="B303" s="11" t="n"/>
      <c r="C303" s="12" t="n"/>
      <c r="D303" s="13" t="n"/>
      <c r="E303" s="14" t="str">
        <f>IF(C303="","",C303+IF(D303="",30,D303))</f>
        <v/>
      </c>
      <c r="F303" s="18" t="n"/>
      <c r="G303" s="18" t="n"/>
      <c r="H303" s="8" t="str">
        <f>IF(F303="","",F303-N(G303))</f>
        <v/>
      </c>
      <c r="I303" s="16" t="str">
        <f>IF(OR(F303="",H303&lt;=0),"",MAX(0,TODAY()-E303))</f>
        <v/>
      </c>
      <c r="J303" s="17" t="str">
        <f>IF(F303="","",IF(H303&lt;=0,"Paid",IF(TODAY()&gt;E303,"Late","Open")))</f>
        <v/>
      </c>
      <c r="K303" s="11" t="n"/>
    </row>
    <row r="304">
      <c r="A304" s="10" t="n"/>
      <c r="B304" s="11" t="n"/>
      <c r="C304" s="12" t="n"/>
      <c r="D304" s="13" t="n"/>
      <c r="E304" s="14" t="str">
        <f>IF(C304="","",C304+IF(D304="",30,D304))</f>
        <v/>
      </c>
      <c r="F304" s="18" t="n"/>
      <c r="G304" s="18" t="n"/>
      <c r="H304" s="8" t="str">
        <f>IF(F304="","",F304-N(G304))</f>
        <v/>
      </c>
      <c r="I304" s="16" t="str">
        <f>IF(OR(F304="",H304&lt;=0),"",MAX(0,TODAY()-E304))</f>
        <v/>
      </c>
      <c r="J304" s="17" t="str">
        <f>IF(F304="","",IF(H304&lt;=0,"Paid",IF(TODAY()&gt;E304,"Late","Open")))</f>
        <v/>
      </c>
      <c r="K304" s="11" t="n"/>
    </row>
    <row r="305">
      <c r="A305" s="10" t="n"/>
      <c r="B305" s="11" t="n"/>
      <c r="C305" s="12" t="n"/>
      <c r="D305" s="13" t="n"/>
      <c r="E305" s="14" t="str">
        <f>IF(C305="","",C305+IF(D305="",30,D305))</f>
        <v/>
      </c>
      <c r="F305" s="18" t="n"/>
      <c r="G305" s="18" t="n"/>
      <c r="H305" s="8" t="str">
        <f>IF(F305="","",F305-N(G305))</f>
        <v/>
      </c>
      <c r="I305" s="16" t="str">
        <f>IF(OR(F305="",H305&lt;=0),"",MAX(0,TODAY()-E305))</f>
        <v/>
      </c>
      <c r="J305" s="17" t="str">
        <f>IF(F305="","",IF(H305&lt;=0,"Paid",IF(TODAY()&gt;E305,"Late","Open")))</f>
        <v/>
      </c>
      <c r="K305" s="11" t="n"/>
    </row>
    <row r="306">
      <c r="A306" s="10" t="n"/>
      <c r="B306" s="11" t="n"/>
      <c r="C306" s="12" t="n"/>
      <c r="D306" s="13" t="n"/>
      <c r="E306" s="14" t="str">
        <f>IF(C306="","",C306+IF(D306="",30,D306))</f>
        <v/>
      </c>
      <c r="F306" s="18" t="n"/>
      <c r="G306" s="18" t="n"/>
      <c r="H306" s="8" t="str">
        <f>IF(F306="","",F306-N(G306))</f>
        <v/>
      </c>
      <c r="I306" s="16" t="str">
        <f>IF(OR(F306="",H306&lt;=0),"",MAX(0,TODAY()-E306))</f>
        <v/>
      </c>
      <c r="J306" s="17" t="str">
        <f>IF(F306="","",IF(H306&lt;=0,"Paid",IF(TODAY()&gt;E306,"Late","Open")))</f>
        <v/>
      </c>
      <c r="K306" s="11" t="n"/>
    </row>
    <row r="307">
      <c r="A307" s="10" t="n"/>
      <c r="B307" s="11" t="n"/>
      <c r="C307" s="12" t="n"/>
      <c r="D307" s="13" t="n"/>
      <c r="E307" s="14" t="str">
        <f>IF(C307="","",C307+IF(D307="",30,D307))</f>
        <v/>
      </c>
      <c r="F307" s="18" t="n"/>
      <c r="G307" s="18" t="n"/>
      <c r="H307" s="8" t="str">
        <f>IF(F307="","",F307-N(G307))</f>
        <v/>
      </c>
      <c r="I307" s="16" t="str">
        <f>IF(OR(F307="",H307&lt;=0),"",MAX(0,TODAY()-E307))</f>
        <v/>
      </c>
      <c r="J307" s="17" t="str">
        <f>IF(F307="","",IF(H307&lt;=0,"Paid",IF(TODAY()&gt;E307,"Late","Open")))</f>
        <v/>
      </c>
      <c r="K307" s="11" t="n"/>
    </row>
    <row r="308">
      <c r="A308" s="10" t="n"/>
      <c r="B308" s="11" t="n"/>
      <c r="C308" s="12" t="n"/>
      <c r="D308" s="13" t="n"/>
      <c r="E308" s="14" t="str">
        <f>IF(C308="","",C308+IF(D308="",30,D308))</f>
        <v/>
      </c>
      <c r="F308" s="18" t="n"/>
      <c r="G308" s="18" t="n"/>
      <c r="H308" s="8" t="str">
        <f>IF(F308="","",F308-N(G308))</f>
        <v/>
      </c>
      <c r="I308" s="16" t="str">
        <f>IF(OR(F308="",H308&lt;=0),"",MAX(0,TODAY()-E308))</f>
        <v/>
      </c>
      <c r="J308" s="17" t="str">
        <f>IF(F308="","",IF(H308&lt;=0,"Paid",IF(TODAY()&gt;E308,"Late","Open")))</f>
        <v/>
      </c>
      <c r="K308" s="11" t="n"/>
    </row>
    <row r="309">
      <c r="A309" s="10" t="n"/>
      <c r="B309" s="11" t="n"/>
      <c r="C309" s="12" t="n"/>
      <c r="D309" s="13" t="n"/>
      <c r="E309" s="14" t="str">
        <f>IF(C309="","",C309+IF(D309="",30,D309))</f>
        <v/>
      </c>
      <c r="F309" s="18" t="n"/>
      <c r="G309" s="18" t="n"/>
      <c r="H309" s="8" t="str">
        <f>IF(F309="","",F309-N(G309))</f>
        <v/>
      </c>
      <c r="I309" s="16" t="str">
        <f>IF(OR(F309="",H309&lt;=0),"",MAX(0,TODAY()-E309))</f>
        <v/>
      </c>
      <c r="J309" s="17" t="str">
        <f>IF(F309="","",IF(H309&lt;=0,"Paid",IF(TODAY()&gt;E309,"Late","Open")))</f>
        <v/>
      </c>
      <c r="K309" s="11" t="n"/>
    </row>
    <row r="310">
      <c r="A310" s="10" t="n"/>
      <c r="B310" s="11" t="n"/>
      <c r="C310" s="12" t="n"/>
      <c r="D310" s="13" t="n"/>
      <c r="E310" s="14" t="str">
        <f>IF(C310="","",C310+IF(D310="",30,D310))</f>
        <v/>
      </c>
      <c r="F310" s="18" t="n"/>
      <c r="G310" s="18" t="n"/>
      <c r="H310" s="8" t="str">
        <f>IF(F310="","",F310-N(G310))</f>
        <v/>
      </c>
      <c r="I310" s="16" t="str">
        <f>IF(OR(F310="",H310&lt;=0),"",MAX(0,TODAY()-E310))</f>
        <v/>
      </c>
      <c r="J310" s="17" t="str">
        <f>IF(F310="","",IF(H310&lt;=0,"Paid",IF(TODAY()&gt;E310,"Late","Open")))</f>
        <v/>
      </c>
      <c r="K310" s="11" t="n"/>
    </row>
    <row r="311">
      <c r="A311" s="10" t="n"/>
      <c r="B311" s="11" t="n"/>
      <c r="C311" s="12" t="n"/>
      <c r="D311" s="13" t="n"/>
      <c r="E311" s="14" t="str">
        <f>IF(C311="","",C311+IF(D311="",30,D311))</f>
        <v/>
      </c>
      <c r="F311" s="18" t="n"/>
      <c r="G311" s="18" t="n"/>
      <c r="H311" s="8" t="str">
        <f>IF(F311="","",F311-N(G311))</f>
        <v/>
      </c>
      <c r="I311" s="16" t="str">
        <f>IF(OR(F311="",H311&lt;=0),"",MAX(0,TODAY()-E311))</f>
        <v/>
      </c>
      <c r="J311" s="17" t="str">
        <f>IF(F311="","",IF(H311&lt;=0,"Paid",IF(TODAY()&gt;E311,"Late","Open")))</f>
        <v/>
      </c>
      <c r="K311" s="11" t="n"/>
    </row>
    <row r="312">
      <c r="A312" s="10" t="n"/>
      <c r="B312" s="11" t="n"/>
      <c r="C312" s="12" t="n"/>
      <c r="D312" s="13" t="n"/>
      <c r="E312" s="14" t="str">
        <f>IF(C312="","",C312+IF(D312="",30,D312))</f>
        <v/>
      </c>
      <c r="F312" s="18" t="n"/>
      <c r="G312" s="18" t="n"/>
      <c r="H312" s="8" t="str">
        <f>IF(F312="","",F312-N(G312))</f>
        <v/>
      </c>
      <c r="I312" s="16" t="str">
        <f>IF(OR(F312="",H312&lt;=0),"",MAX(0,TODAY()-E312))</f>
        <v/>
      </c>
      <c r="J312" s="17" t="str">
        <f>IF(F312="","",IF(H312&lt;=0,"Paid",IF(TODAY()&gt;E312,"Late","Open")))</f>
        <v/>
      </c>
      <c r="K312" s="11" t="n"/>
    </row>
    <row r="313">
      <c r="A313" s="10" t="n"/>
      <c r="B313" s="11" t="n"/>
      <c r="C313" s="12" t="n"/>
      <c r="D313" s="13" t="n"/>
      <c r="E313" s="14" t="str">
        <f>IF(C313="","",C313+IF(D313="",30,D313))</f>
        <v/>
      </c>
      <c r="F313" s="18" t="n"/>
      <c r="G313" s="18" t="n"/>
      <c r="H313" s="8" t="str">
        <f>IF(F313="","",F313-N(G313))</f>
        <v/>
      </c>
      <c r="I313" s="16" t="str">
        <f>IF(OR(F313="",H313&lt;=0),"",MAX(0,TODAY()-E313))</f>
        <v/>
      </c>
      <c r="J313" s="17" t="str">
        <f>IF(F313="","",IF(H313&lt;=0,"Paid",IF(TODAY()&gt;E313,"Late","Open")))</f>
        <v/>
      </c>
      <c r="K313" s="11" t="n"/>
    </row>
    <row r="314">
      <c r="A314" s="10" t="n"/>
      <c r="B314" s="11" t="n"/>
      <c r="C314" s="12" t="n"/>
      <c r="D314" s="13" t="n"/>
      <c r="E314" s="14" t="str">
        <f>IF(C314="","",C314+IF(D314="",30,D314))</f>
        <v/>
      </c>
      <c r="F314" s="18" t="n"/>
      <c r="G314" s="18" t="n"/>
      <c r="H314" s="8" t="str">
        <f>IF(F314="","",F314-N(G314))</f>
        <v/>
      </c>
      <c r="I314" s="16" t="str">
        <f>IF(OR(F314="",H314&lt;=0),"",MAX(0,TODAY()-E314))</f>
        <v/>
      </c>
      <c r="J314" s="17" t="str">
        <f>IF(F314="","",IF(H314&lt;=0,"Paid",IF(TODAY()&gt;E314,"Late","Open")))</f>
        <v/>
      </c>
      <c r="K314" s="11" t="n"/>
    </row>
    <row r="315">
      <c r="A315" s="10" t="n"/>
      <c r="B315" s="11" t="n"/>
      <c r="C315" s="12" t="n"/>
      <c r="D315" s="13" t="n"/>
      <c r="E315" s="14" t="str">
        <f>IF(C315="","",C315+IF(D315="",30,D315))</f>
        <v/>
      </c>
      <c r="F315" s="18" t="n"/>
      <c r="G315" s="18" t="n"/>
      <c r="H315" s="8" t="str">
        <f>IF(F315="","",F315-N(G315))</f>
        <v/>
      </c>
      <c r="I315" s="16" t="str">
        <f>IF(OR(F315="",H315&lt;=0),"",MAX(0,TODAY()-E315))</f>
        <v/>
      </c>
      <c r="J315" s="17" t="str">
        <f>IF(F315="","",IF(H315&lt;=0,"Paid",IF(TODAY()&gt;E315,"Late","Open")))</f>
        <v/>
      </c>
      <c r="K315" s="11" t="n"/>
    </row>
    <row r="316">
      <c r="A316" s="10" t="n"/>
      <c r="B316" s="11" t="n"/>
      <c r="C316" s="12" t="n"/>
      <c r="D316" s="13" t="n"/>
      <c r="E316" s="14" t="str">
        <f>IF(C316="","",C316+IF(D316="",30,D316))</f>
        <v/>
      </c>
      <c r="F316" s="18" t="n"/>
      <c r="G316" s="18" t="n"/>
      <c r="H316" s="8" t="str">
        <f>IF(F316="","",F316-N(G316))</f>
        <v/>
      </c>
      <c r="I316" s="16" t="str">
        <f>IF(OR(F316="",H316&lt;=0),"",MAX(0,TODAY()-E316))</f>
        <v/>
      </c>
      <c r="J316" s="17" t="str">
        <f>IF(F316="","",IF(H316&lt;=0,"Paid",IF(TODAY()&gt;E316,"Late","Open")))</f>
        <v/>
      </c>
      <c r="K316" s="11" t="n"/>
    </row>
    <row r="317">
      <c r="A317" s="10" t="n"/>
      <c r="B317" s="11" t="n"/>
      <c r="C317" s="12" t="n"/>
      <c r="D317" s="13" t="n"/>
      <c r="E317" s="14" t="str">
        <f>IF(C317="","",C317+IF(D317="",30,D317))</f>
        <v/>
      </c>
      <c r="F317" s="18" t="n"/>
      <c r="G317" s="18" t="n"/>
      <c r="H317" s="8" t="str">
        <f>IF(F317="","",F317-N(G317))</f>
        <v/>
      </c>
      <c r="I317" s="16" t="str">
        <f>IF(OR(F317="",H317&lt;=0),"",MAX(0,TODAY()-E317))</f>
        <v/>
      </c>
      <c r="J317" s="17" t="str">
        <f>IF(F317="","",IF(H317&lt;=0,"Paid",IF(TODAY()&gt;E317,"Late","Open")))</f>
        <v/>
      </c>
      <c r="K317" s="11" t="n"/>
    </row>
    <row r="318">
      <c r="A318" s="10" t="n"/>
      <c r="B318" s="11" t="n"/>
      <c r="C318" s="12" t="n"/>
      <c r="D318" s="13" t="n"/>
      <c r="E318" s="14" t="str">
        <f>IF(C318="","",C318+IF(D318="",30,D318))</f>
        <v/>
      </c>
      <c r="F318" s="18" t="n"/>
      <c r="G318" s="18" t="n"/>
      <c r="H318" s="8" t="str">
        <f>IF(F318="","",F318-N(G318))</f>
        <v/>
      </c>
      <c r="I318" s="16" t="str">
        <f>IF(OR(F318="",H318&lt;=0),"",MAX(0,TODAY()-E318))</f>
        <v/>
      </c>
      <c r="J318" s="17" t="str">
        <f>IF(F318="","",IF(H318&lt;=0,"Paid",IF(TODAY()&gt;E318,"Late","Open")))</f>
        <v/>
      </c>
      <c r="K318" s="11" t="n"/>
    </row>
    <row r="319">
      <c r="A319" s="10" t="n"/>
      <c r="B319" s="11" t="n"/>
      <c r="C319" s="12" t="n"/>
      <c r="D319" s="13" t="n"/>
      <c r="E319" s="14" t="str">
        <f>IF(C319="","",C319+IF(D319="",30,D319))</f>
        <v/>
      </c>
      <c r="F319" s="18" t="n"/>
      <c r="G319" s="18" t="n"/>
      <c r="H319" s="8" t="str">
        <f>IF(F319="","",F319-N(G319))</f>
        <v/>
      </c>
      <c r="I319" s="16" t="str">
        <f>IF(OR(F319="",H319&lt;=0),"",MAX(0,TODAY()-E319))</f>
        <v/>
      </c>
      <c r="J319" s="17" t="str">
        <f>IF(F319="","",IF(H319&lt;=0,"Paid",IF(TODAY()&gt;E319,"Late","Open")))</f>
        <v/>
      </c>
      <c r="K319" s="11" t="n"/>
    </row>
    <row r="320">
      <c r="A320" s="10" t="n"/>
      <c r="B320" s="11" t="n"/>
      <c r="C320" s="12" t="n"/>
      <c r="D320" s="13" t="n"/>
      <c r="E320" s="14" t="str">
        <f>IF(C320="","",C320+IF(D320="",30,D320))</f>
        <v/>
      </c>
      <c r="F320" s="18" t="n"/>
      <c r="G320" s="18" t="n"/>
      <c r="H320" s="8" t="str">
        <f>IF(F320="","",F320-N(G320))</f>
        <v/>
      </c>
      <c r="I320" s="16" t="str">
        <f>IF(OR(F320="",H320&lt;=0),"",MAX(0,TODAY()-E320))</f>
        <v/>
      </c>
      <c r="J320" s="17" t="str">
        <f>IF(F320="","",IF(H320&lt;=0,"Paid",IF(TODAY()&gt;E320,"Late","Open")))</f>
        <v/>
      </c>
      <c r="K320" s="11" t="n"/>
    </row>
    <row r="321">
      <c r="A321" s="10" t="n"/>
      <c r="B321" s="11" t="n"/>
      <c r="C321" s="12" t="n"/>
      <c r="D321" s="13" t="n"/>
      <c r="E321" s="14" t="str">
        <f>IF(C321="","",C321+IF(D321="",30,D321))</f>
        <v/>
      </c>
      <c r="F321" s="18" t="n"/>
      <c r="G321" s="18" t="n"/>
      <c r="H321" s="8" t="str">
        <f>IF(F321="","",F321-N(G321))</f>
        <v/>
      </c>
      <c r="I321" s="16" t="str">
        <f>IF(OR(F321="",H321&lt;=0),"",MAX(0,TODAY()-E321))</f>
        <v/>
      </c>
      <c r="J321" s="17" t="str">
        <f>IF(F321="","",IF(H321&lt;=0,"Paid",IF(TODAY()&gt;E321,"Late","Open")))</f>
        <v/>
      </c>
      <c r="K321" s="11" t="n"/>
    </row>
    <row r="322">
      <c r="A322" s="10" t="n"/>
      <c r="B322" s="11" t="n"/>
      <c r="C322" s="12" t="n"/>
      <c r="D322" s="13" t="n"/>
      <c r="E322" s="14" t="str">
        <f>IF(C322="","",C322+IF(D322="",30,D322))</f>
        <v/>
      </c>
      <c r="F322" s="18" t="n"/>
      <c r="G322" s="18" t="n"/>
      <c r="H322" s="8" t="str">
        <f>IF(F322="","",F322-N(G322))</f>
        <v/>
      </c>
      <c r="I322" s="16" t="str">
        <f>IF(OR(F322="",H322&lt;=0),"",MAX(0,TODAY()-E322))</f>
        <v/>
      </c>
      <c r="J322" s="17" t="str">
        <f>IF(F322="","",IF(H322&lt;=0,"Paid",IF(TODAY()&gt;E322,"Late","Open")))</f>
        <v/>
      </c>
      <c r="K322" s="11" t="n"/>
    </row>
    <row r="323">
      <c r="A323" s="10" t="n"/>
      <c r="B323" s="11" t="n"/>
      <c r="C323" s="12" t="n"/>
      <c r="D323" s="13" t="n"/>
      <c r="E323" s="14" t="str">
        <f>IF(C323="","",C323+IF(D323="",30,D323))</f>
        <v/>
      </c>
      <c r="F323" s="18" t="n"/>
      <c r="G323" s="18" t="n"/>
      <c r="H323" s="8" t="str">
        <f>IF(F323="","",F323-N(G323))</f>
        <v/>
      </c>
      <c r="I323" s="16" t="str">
        <f>IF(OR(F323="",H323&lt;=0),"",MAX(0,TODAY()-E323))</f>
        <v/>
      </c>
      <c r="J323" s="17" t="str">
        <f>IF(F323="","",IF(H323&lt;=0,"Paid",IF(TODAY()&gt;E323,"Late","Open")))</f>
        <v/>
      </c>
      <c r="K323" s="11" t="n"/>
    </row>
    <row r="324">
      <c r="A324" s="10" t="n"/>
      <c r="B324" s="11" t="n"/>
      <c r="C324" s="12" t="n"/>
      <c r="D324" s="13" t="n"/>
      <c r="E324" s="14" t="str">
        <f>IF(C324="","",C324+IF(D324="",30,D324))</f>
        <v/>
      </c>
      <c r="F324" s="18" t="n"/>
      <c r="G324" s="18" t="n"/>
      <c r="H324" s="8" t="str">
        <f>IF(F324="","",F324-N(G324))</f>
        <v/>
      </c>
      <c r="I324" s="16" t="str">
        <f>IF(OR(F324="",H324&lt;=0),"",MAX(0,TODAY()-E324))</f>
        <v/>
      </c>
      <c r="J324" s="17" t="str">
        <f>IF(F324="","",IF(H324&lt;=0,"Paid",IF(TODAY()&gt;E324,"Late","Open")))</f>
        <v/>
      </c>
      <c r="K324" s="11" t="n"/>
    </row>
    <row r="325">
      <c r="A325" s="10" t="n"/>
      <c r="B325" s="11" t="n"/>
      <c r="C325" s="12" t="n"/>
      <c r="D325" s="13" t="n"/>
      <c r="E325" s="14" t="str">
        <f>IF(C325="","",C325+IF(D325="",30,D325))</f>
        <v/>
      </c>
      <c r="F325" s="18" t="n"/>
      <c r="G325" s="18" t="n"/>
      <c r="H325" s="8" t="str">
        <f>IF(F325="","",F325-N(G325))</f>
        <v/>
      </c>
      <c r="I325" s="16" t="str">
        <f>IF(OR(F325="",H325&lt;=0),"",MAX(0,TODAY()-E325))</f>
        <v/>
      </c>
      <c r="J325" s="17" t="str">
        <f>IF(F325="","",IF(H325&lt;=0,"Paid",IF(TODAY()&gt;E325,"Late","Open")))</f>
        <v/>
      </c>
      <c r="K325" s="11" t="n"/>
    </row>
    <row r="326">
      <c r="A326" s="10" t="n"/>
      <c r="B326" s="11" t="n"/>
      <c r="C326" s="12" t="n"/>
      <c r="D326" s="13" t="n"/>
      <c r="E326" s="14" t="str">
        <f>IF(C326="","",C326+IF(D326="",30,D326))</f>
        <v/>
      </c>
      <c r="F326" s="18" t="n"/>
      <c r="G326" s="18" t="n"/>
      <c r="H326" s="8" t="str">
        <f>IF(F326="","",F326-N(G326))</f>
        <v/>
      </c>
      <c r="I326" s="16" t="str">
        <f>IF(OR(F326="",H326&lt;=0),"",MAX(0,TODAY()-E326))</f>
        <v/>
      </c>
      <c r="J326" s="17" t="str">
        <f>IF(F326="","",IF(H326&lt;=0,"Paid",IF(TODAY()&gt;E326,"Late","Open")))</f>
        <v/>
      </c>
      <c r="K326" s="11" t="n"/>
    </row>
    <row r="327">
      <c r="A327" s="10" t="n"/>
      <c r="B327" s="11" t="n"/>
      <c r="C327" s="12" t="n"/>
      <c r="D327" s="13" t="n"/>
      <c r="E327" s="14" t="str">
        <f>IF(C327="","",C327+IF(D327="",30,D327))</f>
        <v/>
      </c>
      <c r="F327" s="18" t="n"/>
      <c r="G327" s="18" t="n"/>
      <c r="H327" s="8" t="str">
        <f>IF(F327="","",F327-N(G327))</f>
        <v/>
      </c>
      <c r="I327" s="16" t="str">
        <f>IF(OR(F327="",H327&lt;=0),"",MAX(0,TODAY()-E327))</f>
        <v/>
      </c>
      <c r="J327" s="17" t="str">
        <f>IF(F327="","",IF(H327&lt;=0,"Paid",IF(TODAY()&gt;E327,"Late","Open")))</f>
        <v/>
      </c>
      <c r="K327" s="11" t="n"/>
    </row>
    <row r="328">
      <c r="A328" s="10" t="n"/>
      <c r="B328" s="11" t="n"/>
      <c r="C328" s="12" t="n"/>
      <c r="D328" s="13" t="n"/>
      <c r="E328" s="14" t="str">
        <f>IF(C328="","",C328+IF(D328="",30,D328))</f>
        <v/>
      </c>
      <c r="F328" s="18" t="n"/>
      <c r="G328" s="18" t="n"/>
      <c r="H328" s="8" t="str">
        <f>IF(F328="","",F328-N(G328))</f>
        <v/>
      </c>
      <c r="I328" s="16" t="str">
        <f>IF(OR(F328="",H328&lt;=0),"",MAX(0,TODAY()-E328))</f>
        <v/>
      </c>
      <c r="J328" s="17" t="str">
        <f>IF(F328="","",IF(H328&lt;=0,"Paid",IF(TODAY()&gt;E328,"Late","Open")))</f>
        <v/>
      </c>
      <c r="K328" s="11" t="n"/>
    </row>
    <row r="329">
      <c r="A329" s="10" t="n"/>
      <c r="B329" s="11" t="n"/>
      <c r="C329" s="12" t="n"/>
      <c r="D329" s="13" t="n"/>
      <c r="E329" s="14" t="str">
        <f>IF(C329="","",C329+IF(D329="",30,D329))</f>
        <v/>
      </c>
      <c r="F329" s="18" t="n"/>
      <c r="G329" s="18" t="n"/>
      <c r="H329" s="8" t="str">
        <f>IF(F329="","",F329-N(G329))</f>
        <v/>
      </c>
      <c r="I329" s="16" t="str">
        <f>IF(OR(F329="",H329&lt;=0),"",MAX(0,TODAY()-E329))</f>
        <v/>
      </c>
      <c r="J329" s="17" t="str">
        <f>IF(F329="","",IF(H329&lt;=0,"Paid",IF(TODAY()&gt;E329,"Late","Open")))</f>
        <v/>
      </c>
      <c r="K329" s="11" t="n"/>
    </row>
    <row r="330">
      <c r="A330" s="10" t="n"/>
      <c r="B330" s="11" t="n"/>
      <c r="C330" s="12" t="n"/>
      <c r="D330" s="13" t="n"/>
      <c r="E330" s="14" t="str">
        <f>IF(C330="","",C330+IF(D330="",30,D330))</f>
        <v/>
      </c>
      <c r="F330" s="18" t="n"/>
      <c r="G330" s="18" t="n"/>
      <c r="H330" s="8" t="str">
        <f>IF(F330="","",F330-N(G330))</f>
        <v/>
      </c>
      <c r="I330" s="16" t="str">
        <f>IF(OR(F330="",H330&lt;=0),"",MAX(0,TODAY()-E330))</f>
        <v/>
      </c>
      <c r="J330" s="17" t="str">
        <f>IF(F330="","",IF(H330&lt;=0,"Paid",IF(TODAY()&gt;E330,"Late","Open")))</f>
        <v/>
      </c>
      <c r="K330" s="11" t="n"/>
    </row>
    <row r="331">
      <c r="A331" s="10" t="n"/>
      <c r="B331" s="11" t="n"/>
      <c r="C331" s="12" t="n"/>
      <c r="D331" s="13" t="n"/>
      <c r="E331" s="14" t="str">
        <f>IF(C331="","",C331+IF(D331="",30,D331))</f>
        <v/>
      </c>
      <c r="F331" s="18" t="n"/>
      <c r="G331" s="18" t="n"/>
      <c r="H331" s="8" t="str">
        <f>IF(F331="","",F331-N(G331))</f>
        <v/>
      </c>
      <c r="I331" s="16" t="str">
        <f>IF(OR(F331="",H331&lt;=0),"",MAX(0,TODAY()-E331))</f>
        <v/>
      </c>
      <c r="J331" s="17" t="str">
        <f>IF(F331="","",IF(H331&lt;=0,"Paid",IF(TODAY()&gt;E331,"Late","Open")))</f>
        <v/>
      </c>
      <c r="K331" s="11" t="n"/>
    </row>
    <row r="332">
      <c r="A332" s="10" t="n"/>
      <c r="B332" s="11" t="n"/>
      <c r="C332" s="12" t="n"/>
      <c r="D332" s="13" t="n"/>
      <c r="E332" s="14" t="str">
        <f>IF(C332="","",C332+IF(D332="",30,D332))</f>
        <v/>
      </c>
      <c r="F332" s="18" t="n"/>
      <c r="G332" s="18" t="n"/>
      <c r="H332" s="8" t="str">
        <f>IF(F332="","",F332-N(G332))</f>
        <v/>
      </c>
      <c r="I332" s="16" t="str">
        <f>IF(OR(F332="",H332&lt;=0),"",MAX(0,TODAY()-E332))</f>
        <v/>
      </c>
      <c r="J332" s="17" t="str">
        <f>IF(F332="","",IF(H332&lt;=0,"Paid",IF(TODAY()&gt;E332,"Late","Open")))</f>
        <v/>
      </c>
      <c r="K332" s="11" t="n"/>
    </row>
    <row r="333">
      <c r="A333" s="10" t="n"/>
      <c r="B333" s="11" t="n"/>
      <c r="C333" s="12" t="n"/>
      <c r="D333" s="13" t="n"/>
      <c r="E333" s="14" t="str">
        <f>IF(C333="","",C333+IF(D333="",30,D333))</f>
        <v/>
      </c>
      <c r="F333" s="18" t="n"/>
      <c r="G333" s="18" t="n"/>
      <c r="H333" s="8" t="str">
        <f>IF(F333="","",F333-N(G333))</f>
        <v/>
      </c>
      <c r="I333" s="16" t="str">
        <f>IF(OR(F333="",H333&lt;=0),"",MAX(0,TODAY()-E333))</f>
        <v/>
      </c>
      <c r="J333" s="17" t="str">
        <f>IF(F333="","",IF(H333&lt;=0,"Paid",IF(TODAY()&gt;E333,"Late","Open")))</f>
        <v/>
      </c>
      <c r="K333" s="11" t="n"/>
    </row>
    <row r="334">
      <c r="A334" s="10" t="n"/>
      <c r="B334" s="11" t="n"/>
      <c r="C334" s="12" t="n"/>
      <c r="D334" s="13" t="n"/>
      <c r="E334" s="14" t="str">
        <f>IF(C334="","",C334+IF(D334="",30,D334))</f>
        <v/>
      </c>
      <c r="F334" s="18" t="n"/>
      <c r="G334" s="18" t="n"/>
      <c r="H334" s="8" t="str">
        <f>IF(F334="","",F334-N(G334))</f>
        <v/>
      </c>
      <c r="I334" s="16" t="str">
        <f>IF(OR(F334="",H334&lt;=0),"",MAX(0,TODAY()-E334))</f>
        <v/>
      </c>
      <c r="J334" s="17" t="str">
        <f>IF(F334="","",IF(H334&lt;=0,"Paid",IF(TODAY()&gt;E334,"Late","Open")))</f>
        <v/>
      </c>
      <c r="K334" s="11" t="n"/>
    </row>
    <row r="335">
      <c r="A335" s="10" t="n"/>
      <c r="B335" s="11" t="n"/>
      <c r="C335" s="12" t="n"/>
      <c r="D335" s="13" t="n"/>
      <c r="E335" s="14" t="str">
        <f>IF(C335="","",C335+IF(D335="",30,D335))</f>
        <v/>
      </c>
      <c r="F335" s="18" t="n"/>
      <c r="G335" s="18" t="n"/>
      <c r="H335" s="8" t="str">
        <f>IF(F335="","",F335-N(G335))</f>
        <v/>
      </c>
      <c r="I335" s="16" t="str">
        <f>IF(OR(F335="",H335&lt;=0),"",MAX(0,TODAY()-E335))</f>
        <v/>
      </c>
      <c r="J335" s="17" t="str">
        <f>IF(F335="","",IF(H335&lt;=0,"Paid",IF(TODAY()&gt;E335,"Late","Open")))</f>
        <v/>
      </c>
      <c r="K335" s="11" t="n"/>
    </row>
    <row r="336">
      <c r="A336" s="10" t="n"/>
      <c r="B336" s="11" t="n"/>
      <c r="C336" s="12" t="n"/>
      <c r="D336" s="13" t="n"/>
      <c r="E336" s="14" t="str">
        <f>IF(C336="","",C336+IF(D336="",30,D336))</f>
        <v/>
      </c>
      <c r="F336" s="18" t="n"/>
      <c r="G336" s="18" t="n"/>
      <c r="H336" s="8" t="str">
        <f>IF(F336="","",F336-N(G336))</f>
        <v/>
      </c>
      <c r="I336" s="16" t="str">
        <f>IF(OR(F336="",H336&lt;=0),"",MAX(0,TODAY()-E336))</f>
        <v/>
      </c>
      <c r="J336" s="17" t="str">
        <f>IF(F336="","",IF(H336&lt;=0,"Paid",IF(TODAY()&gt;E336,"Late","Open")))</f>
        <v/>
      </c>
      <c r="K336" s="11" t="n"/>
    </row>
    <row r="337">
      <c r="A337" s="10" t="n"/>
      <c r="B337" s="11" t="n"/>
      <c r="C337" s="12" t="n"/>
      <c r="D337" s="13" t="n"/>
      <c r="E337" s="14" t="str">
        <f>IF(C337="","",C337+IF(D337="",30,D337))</f>
        <v/>
      </c>
      <c r="F337" s="18" t="n"/>
      <c r="G337" s="18" t="n"/>
      <c r="H337" s="8" t="str">
        <f>IF(F337="","",F337-N(G337))</f>
        <v/>
      </c>
      <c r="I337" s="16" t="str">
        <f>IF(OR(F337="",H337&lt;=0),"",MAX(0,TODAY()-E337))</f>
        <v/>
      </c>
      <c r="J337" s="17" t="str">
        <f>IF(F337="","",IF(H337&lt;=0,"Paid",IF(TODAY()&gt;E337,"Late","Open")))</f>
        <v/>
      </c>
      <c r="K337" s="11" t="n"/>
    </row>
    <row r="338">
      <c r="A338" s="10" t="n"/>
      <c r="B338" s="11" t="n"/>
      <c r="C338" s="12" t="n"/>
      <c r="D338" s="13" t="n"/>
      <c r="E338" s="14" t="str">
        <f>IF(C338="","",C338+IF(D338="",30,D338))</f>
        <v/>
      </c>
      <c r="F338" s="18" t="n"/>
      <c r="G338" s="18" t="n"/>
      <c r="H338" s="8" t="str">
        <f>IF(F338="","",F338-N(G338))</f>
        <v/>
      </c>
      <c r="I338" s="16" t="str">
        <f>IF(OR(F338="",H338&lt;=0),"",MAX(0,TODAY()-E338))</f>
        <v/>
      </c>
      <c r="J338" s="17" t="str">
        <f>IF(F338="","",IF(H338&lt;=0,"Paid",IF(TODAY()&gt;E338,"Late","Open")))</f>
        <v/>
      </c>
      <c r="K338" s="11" t="n"/>
    </row>
    <row r="339">
      <c r="A339" s="10" t="n"/>
      <c r="B339" s="11" t="n"/>
      <c r="C339" s="12" t="n"/>
      <c r="D339" s="13" t="n"/>
      <c r="E339" s="14" t="str">
        <f>IF(C339="","",C339+IF(D339="",30,D339))</f>
        <v/>
      </c>
      <c r="F339" s="18" t="n"/>
      <c r="G339" s="18" t="n"/>
      <c r="H339" s="8" t="str">
        <f>IF(F339="","",F339-N(G339))</f>
        <v/>
      </c>
      <c r="I339" s="16" t="str">
        <f>IF(OR(F339="",H339&lt;=0),"",MAX(0,TODAY()-E339))</f>
        <v/>
      </c>
      <c r="J339" s="17" t="str">
        <f>IF(F339="","",IF(H339&lt;=0,"Paid",IF(TODAY()&gt;E339,"Late","Open")))</f>
        <v/>
      </c>
      <c r="K339" s="11" t="n"/>
    </row>
    <row r="340">
      <c r="A340" s="10" t="n"/>
      <c r="B340" s="11" t="n"/>
      <c r="C340" s="12" t="n"/>
      <c r="D340" s="13" t="n"/>
      <c r="E340" s="14" t="str">
        <f>IF(C340="","",C340+IF(D340="",30,D340))</f>
        <v/>
      </c>
      <c r="F340" s="18" t="n"/>
      <c r="G340" s="18" t="n"/>
      <c r="H340" s="8" t="str">
        <f>IF(F340="","",F340-N(G340))</f>
        <v/>
      </c>
      <c r="I340" s="16" t="str">
        <f>IF(OR(F340="",H340&lt;=0),"",MAX(0,TODAY()-E340))</f>
        <v/>
      </c>
      <c r="J340" s="17" t="str">
        <f>IF(F340="","",IF(H340&lt;=0,"Paid",IF(TODAY()&gt;E340,"Late","Open")))</f>
        <v/>
      </c>
      <c r="K340" s="11" t="n"/>
    </row>
    <row r="341">
      <c r="A341" s="10" t="n"/>
      <c r="B341" s="11" t="n"/>
      <c r="C341" s="12" t="n"/>
      <c r="D341" s="13" t="n"/>
      <c r="E341" s="14" t="str">
        <f>IF(C341="","",C341+IF(D341="",30,D341))</f>
        <v/>
      </c>
      <c r="F341" s="18" t="n"/>
      <c r="G341" s="18" t="n"/>
      <c r="H341" s="8" t="str">
        <f>IF(F341="","",F341-N(G341))</f>
        <v/>
      </c>
      <c r="I341" s="16" t="str">
        <f>IF(OR(F341="",H341&lt;=0),"",MAX(0,TODAY()-E341))</f>
        <v/>
      </c>
      <c r="J341" s="17" t="str">
        <f>IF(F341="","",IF(H341&lt;=0,"Paid",IF(TODAY()&gt;E341,"Late","Open")))</f>
        <v/>
      </c>
      <c r="K341" s="11" t="n"/>
    </row>
    <row r="342">
      <c r="A342" s="10" t="n"/>
      <c r="B342" s="11" t="n"/>
      <c r="C342" s="12" t="n"/>
      <c r="D342" s="13" t="n"/>
      <c r="E342" s="14" t="str">
        <f>IF(C342="","",C342+IF(D342="",30,D342))</f>
        <v/>
      </c>
      <c r="F342" s="18" t="n"/>
      <c r="G342" s="18" t="n"/>
      <c r="H342" s="8" t="str">
        <f>IF(F342="","",F342-N(G342))</f>
        <v/>
      </c>
      <c r="I342" s="16" t="str">
        <f>IF(OR(F342="",H342&lt;=0),"",MAX(0,TODAY()-E342))</f>
        <v/>
      </c>
      <c r="J342" s="17" t="str">
        <f>IF(F342="","",IF(H342&lt;=0,"Paid",IF(TODAY()&gt;E342,"Late","Open")))</f>
        <v/>
      </c>
      <c r="K342" s="11" t="n"/>
    </row>
    <row r="343">
      <c r="A343" s="10" t="n"/>
      <c r="B343" s="11" t="n"/>
      <c r="C343" s="12" t="n"/>
      <c r="D343" s="13" t="n"/>
      <c r="E343" s="14" t="str">
        <f>IF(C343="","",C343+IF(D343="",30,D343))</f>
        <v/>
      </c>
      <c r="F343" s="18" t="n"/>
      <c r="G343" s="18" t="n"/>
      <c r="H343" s="8" t="str">
        <f>IF(F343="","",F343-N(G343))</f>
        <v/>
      </c>
      <c r="I343" s="16" t="str">
        <f>IF(OR(F343="",H343&lt;=0),"",MAX(0,TODAY()-E343))</f>
        <v/>
      </c>
      <c r="J343" s="17" t="str">
        <f>IF(F343="","",IF(H343&lt;=0,"Paid",IF(TODAY()&gt;E343,"Late","Open")))</f>
        <v/>
      </c>
      <c r="K343" s="11" t="n"/>
    </row>
    <row r="344">
      <c r="A344" s="10" t="n"/>
      <c r="B344" s="11" t="n"/>
      <c r="C344" s="12" t="n"/>
      <c r="D344" s="13" t="n"/>
      <c r="E344" s="14" t="str">
        <f>IF(C344="","",C344+IF(D344="",30,D344))</f>
        <v/>
      </c>
      <c r="F344" s="18" t="n"/>
      <c r="G344" s="18" t="n"/>
      <c r="H344" s="8" t="str">
        <f>IF(F344="","",F344-N(G344))</f>
        <v/>
      </c>
      <c r="I344" s="16" t="str">
        <f>IF(OR(F344="",H344&lt;=0),"",MAX(0,TODAY()-E344))</f>
        <v/>
      </c>
      <c r="J344" s="17" t="str">
        <f>IF(F344="","",IF(H344&lt;=0,"Paid",IF(TODAY()&gt;E344,"Late","Open")))</f>
        <v/>
      </c>
      <c r="K344" s="11" t="n"/>
    </row>
    <row r="345">
      <c r="A345" s="10" t="n"/>
      <c r="B345" s="11" t="n"/>
      <c r="C345" s="12" t="n"/>
      <c r="D345" s="13" t="n"/>
      <c r="E345" s="14" t="str">
        <f>IF(C345="","",C345+IF(D345="",30,D345))</f>
        <v/>
      </c>
      <c r="F345" s="18" t="n"/>
      <c r="G345" s="18" t="n"/>
      <c r="H345" s="8" t="str">
        <f>IF(F345="","",F345-N(G345))</f>
        <v/>
      </c>
      <c r="I345" s="16" t="str">
        <f>IF(OR(F345="",H345&lt;=0),"",MAX(0,TODAY()-E345))</f>
        <v/>
      </c>
      <c r="J345" s="17" t="str">
        <f>IF(F345="","",IF(H345&lt;=0,"Paid",IF(TODAY()&gt;E345,"Late","Open")))</f>
        <v/>
      </c>
      <c r="K345" s="11" t="n"/>
    </row>
    <row r="346">
      <c r="A346" s="10" t="n"/>
      <c r="B346" s="11" t="n"/>
      <c r="C346" s="12" t="n"/>
      <c r="D346" s="13" t="n"/>
      <c r="E346" s="14" t="str">
        <f>IF(C346="","",C346+IF(D346="",30,D346))</f>
        <v/>
      </c>
      <c r="F346" s="18" t="n"/>
      <c r="G346" s="18" t="n"/>
      <c r="H346" s="8" t="str">
        <f>IF(F346="","",F346-N(G346))</f>
        <v/>
      </c>
      <c r="I346" s="16" t="str">
        <f>IF(OR(F346="",H346&lt;=0),"",MAX(0,TODAY()-E346))</f>
        <v/>
      </c>
      <c r="J346" s="17" t="str">
        <f>IF(F346="","",IF(H346&lt;=0,"Paid",IF(TODAY()&gt;E346,"Late","Open")))</f>
        <v/>
      </c>
      <c r="K346" s="11" t="n"/>
    </row>
    <row r="347">
      <c r="A347" s="10" t="n"/>
      <c r="B347" s="11" t="n"/>
      <c r="C347" s="12" t="n"/>
      <c r="D347" s="13" t="n"/>
      <c r="E347" s="14" t="str">
        <f>IF(C347="","",C347+IF(D347="",30,D347))</f>
        <v/>
      </c>
      <c r="F347" s="18" t="n"/>
      <c r="G347" s="18" t="n"/>
      <c r="H347" s="8" t="str">
        <f>IF(F347="","",F347-N(G347))</f>
        <v/>
      </c>
      <c r="I347" s="16" t="str">
        <f>IF(OR(F347="",H347&lt;=0),"",MAX(0,TODAY()-E347))</f>
        <v/>
      </c>
      <c r="J347" s="17" t="str">
        <f>IF(F347="","",IF(H347&lt;=0,"Paid",IF(TODAY()&gt;E347,"Late","Open")))</f>
        <v/>
      </c>
      <c r="K347" s="11" t="n"/>
    </row>
    <row r="348">
      <c r="A348" s="10" t="n"/>
      <c r="B348" s="11" t="n"/>
      <c r="C348" s="12" t="n"/>
      <c r="D348" s="13" t="n"/>
      <c r="E348" s="14" t="str">
        <f>IF(C348="","",C348+IF(D348="",30,D348))</f>
        <v/>
      </c>
      <c r="F348" s="18" t="n"/>
      <c r="G348" s="18" t="n"/>
      <c r="H348" s="8" t="str">
        <f>IF(F348="","",F348-N(G348))</f>
        <v/>
      </c>
      <c r="I348" s="16" t="str">
        <f>IF(OR(F348="",H348&lt;=0),"",MAX(0,TODAY()-E348))</f>
        <v/>
      </c>
      <c r="J348" s="17" t="str">
        <f>IF(F348="","",IF(H348&lt;=0,"Paid",IF(TODAY()&gt;E348,"Late","Open")))</f>
        <v/>
      </c>
      <c r="K348" s="11" t="n"/>
    </row>
    <row r="349">
      <c r="A349" s="10" t="n"/>
      <c r="B349" s="11" t="n"/>
      <c r="C349" s="12" t="n"/>
      <c r="D349" s="13" t="n"/>
      <c r="E349" s="14" t="str">
        <f>IF(C349="","",C349+IF(D349="",30,D349))</f>
        <v/>
      </c>
      <c r="F349" s="18" t="n"/>
      <c r="G349" s="18" t="n"/>
      <c r="H349" s="8" t="str">
        <f>IF(F349="","",F349-N(G349))</f>
        <v/>
      </c>
      <c r="I349" s="16" t="str">
        <f>IF(OR(F349="",H349&lt;=0),"",MAX(0,TODAY()-E349))</f>
        <v/>
      </c>
      <c r="J349" s="17" t="str">
        <f>IF(F349="","",IF(H349&lt;=0,"Paid",IF(TODAY()&gt;E349,"Late","Open")))</f>
        <v/>
      </c>
      <c r="K349" s="11" t="n"/>
    </row>
    <row r="350">
      <c r="A350" s="10" t="n"/>
      <c r="B350" s="11" t="n"/>
      <c r="C350" s="12" t="n"/>
      <c r="D350" s="13" t="n"/>
      <c r="E350" s="14" t="str">
        <f>IF(C350="","",C350+IF(D350="",30,D350))</f>
        <v/>
      </c>
      <c r="F350" s="18" t="n"/>
      <c r="G350" s="18" t="n"/>
      <c r="H350" s="8" t="str">
        <f>IF(F350="","",F350-N(G350))</f>
        <v/>
      </c>
      <c r="I350" s="16" t="str">
        <f>IF(OR(F350="",H350&lt;=0),"",MAX(0,TODAY()-E350))</f>
        <v/>
      </c>
      <c r="J350" s="17" t="str">
        <f>IF(F350="","",IF(H350&lt;=0,"Paid",IF(TODAY()&gt;E350,"Late","Open")))</f>
        <v/>
      </c>
      <c r="K350" s="11" t="n"/>
    </row>
    <row r="351">
      <c r="A351" s="10" t="n"/>
      <c r="B351" s="11" t="n"/>
      <c r="C351" s="12" t="n"/>
      <c r="D351" s="13" t="n"/>
      <c r="E351" s="14" t="str">
        <f>IF(C351="","",C351+IF(D351="",30,D351))</f>
        <v/>
      </c>
      <c r="F351" s="18" t="n"/>
      <c r="G351" s="18" t="n"/>
      <c r="H351" s="8" t="str">
        <f>IF(F351="","",F351-N(G351))</f>
        <v/>
      </c>
      <c r="I351" s="16" t="str">
        <f>IF(OR(F351="",H351&lt;=0),"",MAX(0,TODAY()-E351))</f>
        <v/>
      </c>
      <c r="J351" s="17" t="str">
        <f>IF(F351="","",IF(H351&lt;=0,"Paid",IF(TODAY()&gt;E351,"Late","Open")))</f>
        <v/>
      </c>
      <c r="K351" s="11" t="n"/>
    </row>
    <row r="352">
      <c r="A352" s="10" t="n"/>
      <c r="B352" s="11" t="n"/>
      <c r="C352" s="12" t="n"/>
      <c r="D352" s="13" t="n"/>
      <c r="E352" s="14" t="str">
        <f>IF(C352="","",C352+IF(D352="",30,D352))</f>
        <v/>
      </c>
      <c r="F352" s="18" t="n"/>
      <c r="G352" s="18" t="n"/>
      <c r="H352" s="8" t="str">
        <f>IF(F352="","",F352-N(G352))</f>
        <v/>
      </c>
      <c r="I352" s="16" t="str">
        <f>IF(OR(F352="",H352&lt;=0),"",MAX(0,TODAY()-E352))</f>
        <v/>
      </c>
      <c r="J352" s="17" t="str">
        <f>IF(F352="","",IF(H352&lt;=0,"Paid",IF(TODAY()&gt;E352,"Late","Open")))</f>
        <v/>
      </c>
      <c r="K352" s="11" t="n"/>
    </row>
    <row r="353">
      <c r="A353" s="10" t="n"/>
      <c r="B353" s="11" t="n"/>
      <c r="C353" s="12" t="n"/>
      <c r="D353" s="13" t="n"/>
      <c r="E353" s="14" t="str">
        <f>IF(C353="","",C353+IF(D353="",30,D353))</f>
        <v/>
      </c>
      <c r="F353" s="18" t="n"/>
      <c r="G353" s="18" t="n"/>
      <c r="H353" s="8" t="str">
        <f>IF(F353="","",F353-N(G353))</f>
        <v/>
      </c>
      <c r="I353" s="16" t="str">
        <f>IF(OR(F353="",H353&lt;=0),"",MAX(0,TODAY()-E353))</f>
        <v/>
      </c>
      <c r="J353" s="17" t="str">
        <f>IF(F353="","",IF(H353&lt;=0,"Paid",IF(TODAY()&gt;E353,"Late","Open")))</f>
        <v/>
      </c>
      <c r="K353" s="11" t="n"/>
    </row>
    <row r="354">
      <c r="A354" s="10" t="n"/>
      <c r="B354" s="11" t="n"/>
      <c r="C354" s="12" t="n"/>
      <c r="D354" s="13" t="n"/>
      <c r="E354" s="14" t="str">
        <f>IF(C354="","",C354+IF(D354="",30,D354))</f>
        <v/>
      </c>
      <c r="F354" s="18" t="n"/>
      <c r="G354" s="18" t="n"/>
      <c r="H354" s="8" t="str">
        <f>IF(F354="","",F354-N(G354))</f>
        <v/>
      </c>
      <c r="I354" s="16" t="str">
        <f>IF(OR(F354="",H354&lt;=0),"",MAX(0,TODAY()-E354))</f>
        <v/>
      </c>
      <c r="J354" s="17" t="str">
        <f>IF(F354="","",IF(H354&lt;=0,"Paid",IF(TODAY()&gt;E354,"Late","Open")))</f>
        <v/>
      </c>
      <c r="K354" s="11" t="n"/>
    </row>
    <row r="355">
      <c r="A355" s="10" t="n"/>
      <c r="B355" s="11" t="n"/>
      <c r="C355" s="12" t="n"/>
      <c r="D355" s="13" t="n"/>
      <c r="E355" s="14" t="str">
        <f>IF(C355="","",C355+IF(D355="",30,D355))</f>
        <v/>
      </c>
      <c r="F355" s="18" t="n"/>
      <c r="G355" s="18" t="n"/>
      <c r="H355" s="8" t="str">
        <f>IF(F355="","",F355-N(G355))</f>
        <v/>
      </c>
      <c r="I355" s="16" t="str">
        <f>IF(OR(F355="",H355&lt;=0),"",MAX(0,TODAY()-E355))</f>
        <v/>
      </c>
      <c r="J355" s="17" t="str">
        <f>IF(F355="","",IF(H355&lt;=0,"Paid",IF(TODAY()&gt;E355,"Late","Open")))</f>
        <v/>
      </c>
      <c r="K355" s="11" t="n"/>
    </row>
    <row r="356">
      <c r="A356" s="10" t="n"/>
      <c r="B356" s="11" t="n"/>
      <c r="C356" s="12" t="n"/>
      <c r="D356" s="13" t="n"/>
      <c r="E356" s="14" t="str">
        <f>IF(C356="","",C356+IF(D356="",30,D356))</f>
        <v/>
      </c>
      <c r="F356" s="18" t="n"/>
      <c r="G356" s="18" t="n"/>
      <c r="H356" s="8" t="str">
        <f>IF(F356="","",F356-N(G356))</f>
        <v/>
      </c>
      <c r="I356" s="16" t="str">
        <f>IF(OR(F356="",H356&lt;=0),"",MAX(0,TODAY()-E356))</f>
        <v/>
      </c>
      <c r="J356" s="17" t="str">
        <f>IF(F356="","",IF(H356&lt;=0,"Paid",IF(TODAY()&gt;E356,"Late","Open")))</f>
        <v/>
      </c>
      <c r="K356" s="11" t="n"/>
    </row>
    <row r="357">
      <c r="A357" s="10" t="n"/>
      <c r="B357" s="11" t="n"/>
      <c r="C357" s="12" t="n"/>
      <c r="D357" s="13" t="n"/>
      <c r="E357" s="14" t="str">
        <f>IF(C357="","",C357+IF(D357="",30,D357))</f>
        <v/>
      </c>
      <c r="F357" s="18" t="n"/>
      <c r="G357" s="18" t="n"/>
      <c r="H357" s="8" t="str">
        <f>IF(F357="","",F357-N(G357))</f>
        <v/>
      </c>
      <c r="I357" s="16" t="str">
        <f>IF(OR(F357="",H357&lt;=0),"",MAX(0,TODAY()-E357))</f>
        <v/>
      </c>
      <c r="J357" s="17" t="str">
        <f>IF(F357="","",IF(H357&lt;=0,"Paid",IF(TODAY()&gt;E357,"Late","Open")))</f>
        <v/>
      </c>
      <c r="K357" s="11" t="n"/>
    </row>
    <row r="358">
      <c r="A358" s="10" t="n"/>
      <c r="B358" s="11" t="n"/>
      <c r="C358" s="12" t="n"/>
      <c r="D358" s="13" t="n"/>
      <c r="E358" s="14" t="str">
        <f>IF(C358="","",C358+IF(D358="",30,D358))</f>
        <v/>
      </c>
      <c r="F358" s="18" t="n"/>
      <c r="G358" s="18" t="n"/>
      <c r="H358" s="8" t="str">
        <f>IF(F358="","",F358-N(G358))</f>
        <v/>
      </c>
      <c r="I358" s="16" t="str">
        <f>IF(OR(F358="",H358&lt;=0),"",MAX(0,TODAY()-E358))</f>
        <v/>
      </c>
      <c r="J358" s="17" t="str">
        <f>IF(F358="","",IF(H358&lt;=0,"Paid",IF(TODAY()&gt;E358,"Late","Open")))</f>
        <v/>
      </c>
      <c r="K358" s="11" t="n"/>
    </row>
    <row r="359">
      <c r="A359" s="10" t="n"/>
      <c r="B359" s="11" t="n"/>
      <c r="C359" s="12" t="n"/>
      <c r="D359" s="13" t="n"/>
      <c r="E359" s="14" t="str">
        <f>IF(C359="","",C359+IF(D359="",30,D359))</f>
        <v/>
      </c>
      <c r="F359" s="18" t="n"/>
      <c r="G359" s="18" t="n"/>
      <c r="H359" s="8" t="str">
        <f>IF(F359="","",F359-N(G359))</f>
        <v/>
      </c>
      <c r="I359" s="16" t="str">
        <f>IF(OR(F359="",H359&lt;=0),"",MAX(0,TODAY()-E359))</f>
        <v/>
      </c>
      <c r="J359" s="17" t="str">
        <f>IF(F359="","",IF(H359&lt;=0,"Paid",IF(TODAY()&gt;E359,"Late","Open")))</f>
        <v/>
      </c>
      <c r="K359" s="11" t="n"/>
    </row>
    <row r="360">
      <c r="A360" s="10" t="n"/>
      <c r="B360" s="11" t="n"/>
      <c r="C360" s="12" t="n"/>
      <c r="D360" s="13" t="n"/>
      <c r="E360" s="14" t="str">
        <f>IF(C360="","",C360+IF(D360="",30,D360))</f>
        <v/>
      </c>
      <c r="F360" s="18" t="n"/>
      <c r="G360" s="18" t="n"/>
      <c r="H360" s="8" t="str">
        <f>IF(F360="","",F360-N(G360))</f>
        <v/>
      </c>
      <c r="I360" s="16" t="str">
        <f>IF(OR(F360="",H360&lt;=0),"",MAX(0,TODAY()-E360))</f>
        <v/>
      </c>
      <c r="J360" s="17" t="str">
        <f>IF(F360="","",IF(H360&lt;=0,"Paid",IF(TODAY()&gt;E360,"Late","Open")))</f>
        <v/>
      </c>
      <c r="K360" s="11" t="n"/>
    </row>
    <row r="361">
      <c r="A361" s="10" t="n"/>
      <c r="B361" s="11" t="n"/>
      <c r="C361" s="12" t="n"/>
      <c r="D361" s="13" t="n"/>
      <c r="E361" s="14" t="str">
        <f>IF(C361="","",C361+IF(D361="",30,D361))</f>
        <v/>
      </c>
      <c r="F361" s="18" t="n"/>
      <c r="G361" s="18" t="n"/>
      <c r="H361" s="8" t="str">
        <f>IF(F361="","",F361-N(G361))</f>
        <v/>
      </c>
      <c r="I361" s="16" t="str">
        <f>IF(OR(F361="",H361&lt;=0),"",MAX(0,TODAY()-E361))</f>
        <v/>
      </c>
      <c r="J361" s="17" t="str">
        <f>IF(F361="","",IF(H361&lt;=0,"Paid",IF(TODAY()&gt;E361,"Late","Open")))</f>
        <v/>
      </c>
      <c r="K361" s="11" t="n"/>
    </row>
    <row r="362">
      <c r="A362" s="10" t="n"/>
      <c r="B362" s="11" t="n"/>
      <c r="C362" s="12" t="n"/>
      <c r="D362" s="13" t="n"/>
      <c r="E362" s="14" t="str">
        <f>IF(C362="","",C362+IF(D362="",30,D362))</f>
        <v/>
      </c>
      <c r="F362" s="18" t="n"/>
      <c r="G362" s="18" t="n"/>
      <c r="H362" s="8" t="str">
        <f>IF(F362="","",F362-N(G362))</f>
        <v/>
      </c>
      <c r="I362" s="16" t="str">
        <f>IF(OR(F362="",H362&lt;=0),"",MAX(0,TODAY()-E362))</f>
        <v/>
      </c>
      <c r="J362" s="17" t="str">
        <f>IF(F362="","",IF(H362&lt;=0,"Paid",IF(TODAY()&gt;E362,"Late","Open")))</f>
        <v/>
      </c>
      <c r="K362" s="11" t="n"/>
    </row>
    <row r="363">
      <c r="A363" s="10" t="n"/>
      <c r="B363" s="11" t="n"/>
      <c r="C363" s="12" t="n"/>
      <c r="D363" s="13" t="n"/>
      <c r="E363" s="14" t="str">
        <f>IF(C363="","",C363+IF(D363="",30,D363))</f>
        <v/>
      </c>
      <c r="F363" s="18" t="n"/>
      <c r="G363" s="18" t="n"/>
      <c r="H363" s="8" t="str">
        <f>IF(F363="","",F363-N(G363))</f>
        <v/>
      </c>
      <c r="I363" s="16" t="str">
        <f>IF(OR(F363="",H363&lt;=0),"",MAX(0,TODAY()-E363))</f>
        <v/>
      </c>
      <c r="J363" s="17" t="str">
        <f>IF(F363="","",IF(H363&lt;=0,"Paid",IF(TODAY()&gt;E363,"Late","Open")))</f>
        <v/>
      </c>
      <c r="K363" s="11" t="n"/>
    </row>
    <row r="364">
      <c r="A364" s="10" t="n"/>
      <c r="B364" s="11" t="n"/>
      <c r="C364" s="12" t="n"/>
      <c r="D364" s="13" t="n"/>
      <c r="E364" s="14" t="str">
        <f>IF(C364="","",C364+IF(D364="",30,D364))</f>
        <v/>
      </c>
      <c r="F364" s="18" t="n"/>
      <c r="G364" s="18" t="n"/>
      <c r="H364" s="8" t="str">
        <f>IF(F364="","",F364-N(G364))</f>
        <v/>
      </c>
      <c r="I364" s="16" t="str">
        <f>IF(OR(F364="",H364&lt;=0),"",MAX(0,TODAY()-E364))</f>
        <v/>
      </c>
      <c r="J364" s="17" t="str">
        <f>IF(F364="","",IF(H364&lt;=0,"Paid",IF(TODAY()&gt;E364,"Late","Open")))</f>
        <v/>
      </c>
      <c r="K364" s="11" t="n"/>
    </row>
    <row r="365">
      <c r="A365" s="10" t="n"/>
      <c r="B365" s="11" t="n"/>
      <c r="C365" s="12" t="n"/>
      <c r="D365" s="13" t="n"/>
      <c r="E365" s="14" t="str">
        <f>IF(C365="","",C365+IF(D365="",30,D365))</f>
        <v/>
      </c>
      <c r="F365" s="18" t="n"/>
      <c r="G365" s="18" t="n"/>
      <c r="H365" s="8" t="str">
        <f>IF(F365="","",F365-N(G365))</f>
        <v/>
      </c>
      <c r="I365" s="16" t="str">
        <f>IF(OR(F365="",H365&lt;=0),"",MAX(0,TODAY()-E365))</f>
        <v/>
      </c>
      <c r="J365" s="17" t="str">
        <f>IF(F365="","",IF(H365&lt;=0,"Paid",IF(TODAY()&gt;E365,"Late","Open")))</f>
        <v/>
      </c>
      <c r="K365" s="11" t="n"/>
    </row>
    <row r="366">
      <c r="A366" s="10" t="n"/>
      <c r="B366" s="11" t="n"/>
      <c r="C366" s="12" t="n"/>
      <c r="D366" s="13" t="n"/>
      <c r="E366" s="14" t="str">
        <f>IF(C366="","",C366+IF(D366="",30,D366))</f>
        <v/>
      </c>
      <c r="F366" s="18" t="n"/>
      <c r="G366" s="18" t="n"/>
      <c r="H366" s="8" t="str">
        <f>IF(F366="","",F366-N(G366))</f>
        <v/>
      </c>
      <c r="I366" s="16" t="str">
        <f>IF(OR(F366="",H366&lt;=0),"",MAX(0,TODAY()-E366))</f>
        <v/>
      </c>
      <c r="J366" s="17" t="str">
        <f>IF(F366="","",IF(H366&lt;=0,"Paid",IF(TODAY()&gt;E366,"Late","Open")))</f>
        <v/>
      </c>
      <c r="K366" s="11" t="n"/>
    </row>
    <row r="367">
      <c r="A367" s="10" t="n"/>
      <c r="B367" s="11" t="n"/>
      <c r="C367" s="12" t="n"/>
      <c r="D367" s="13" t="n"/>
      <c r="E367" s="14" t="str">
        <f>IF(C367="","",C367+IF(D367="",30,D367))</f>
        <v/>
      </c>
      <c r="F367" s="18" t="n"/>
      <c r="G367" s="18" t="n"/>
      <c r="H367" s="8" t="str">
        <f>IF(F367="","",F367-N(G367))</f>
        <v/>
      </c>
      <c r="I367" s="16" t="str">
        <f>IF(OR(F367="",H367&lt;=0),"",MAX(0,TODAY()-E367))</f>
        <v/>
      </c>
      <c r="J367" s="17" t="str">
        <f>IF(F367="","",IF(H367&lt;=0,"Paid",IF(TODAY()&gt;E367,"Late","Open")))</f>
        <v/>
      </c>
      <c r="K367" s="11" t="n"/>
    </row>
    <row r="368">
      <c r="A368" s="10" t="n"/>
      <c r="B368" s="11" t="n"/>
      <c r="C368" s="12" t="n"/>
      <c r="D368" s="13" t="n"/>
      <c r="E368" s="14" t="str">
        <f>IF(C368="","",C368+IF(D368="",30,D368))</f>
        <v/>
      </c>
      <c r="F368" s="18" t="n"/>
      <c r="G368" s="18" t="n"/>
      <c r="H368" s="8" t="str">
        <f>IF(F368="","",F368-N(G368))</f>
        <v/>
      </c>
      <c r="I368" s="16" t="str">
        <f>IF(OR(F368="",H368&lt;=0),"",MAX(0,TODAY()-E368))</f>
        <v/>
      </c>
      <c r="J368" s="17" t="str">
        <f>IF(F368="","",IF(H368&lt;=0,"Paid",IF(TODAY()&gt;E368,"Late","Open")))</f>
        <v/>
      </c>
      <c r="K368" s="11" t="n"/>
    </row>
    <row r="369">
      <c r="A369" s="10" t="n"/>
      <c r="B369" s="11" t="n"/>
      <c r="C369" s="12" t="n"/>
      <c r="D369" s="13" t="n"/>
      <c r="E369" s="14" t="str">
        <f>IF(C369="","",C369+IF(D369="",30,D369))</f>
        <v/>
      </c>
      <c r="F369" s="18" t="n"/>
      <c r="G369" s="18" t="n"/>
      <c r="H369" s="8" t="str">
        <f>IF(F369="","",F369-N(G369))</f>
        <v/>
      </c>
      <c r="I369" s="16" t="str">
        <f>IF(OR(F369="",H369&lt;=0),"",MAX(0,TODAY()-E369))</f>
        <v/>
      </c>
      <c r="J369" s="17" t="str">
        <f>IF(F369="","",IF(H369&lt;=0,"Paid",IF(TODAY()&gt;E369,"Late","Open")))</f>
        <v/>
      </c>
      <c r="K369" s="11" t="n"/>
    </row>
    <row r="370">
      <c r="A370" s="10" t="n"/>
      <c r="B370" s="11" t="n"/>
      <c r="C370" s="12" t="n"/>
      <c r="D370" s="13" t="n"/>
      <c r="E370" s="14" t="str">
        <f>IF(C370="","",C370+IF(D370="",30,D370))</f>
        <v/>
      </c>
      <c r="F370" s="18" t="n"/>
      <c r="G370" s="18" t="n"/>
      <c r="H370" s="8" t="str">
        <f>IF(F370="","",F370-N(G370))</f>
        <v/>
      </c>
      <c r="I370" s="16" t="str">
        <f>IF(OR(F370="",H370&lt;=0),"",MAX(0,TODAY()-E370))</f>
        <v/>
      </c>
      <c r="J370" s="17" t="str">
        <f>IF(F370="","",IF(H370&lt;=0,"Paid",IF(TODAY()&gt;E370,"Late","Open")))</f>
        <v/>
      </c>
      <c r="K370" s="11" t="n"/>
    </row>
    <row r="371">
      <c r="A371" s="10" t="n"/>
      <c r="B371" s="11" t="n"/>
      <c r="C371" s="12" t="n"/>
      <c r="D371" s="13" t="n"/>
      <c r="E371" s="14" t="str">
        <f>IF(C371="","",C371+IF(D371="",30,D371))</f>
        <v/>
      </c>
      <c r="F371" s="18" t="n"/>
      <c r="G371" s="18" t="n"/>
      <c r="H371" s="8" t="str">
        <f>IF(F371="","",F371-N(G371))</f>
        <v/>
      </c>
      <c r="I371" s="16" t="str">
        <f>IF(OR(F371="",H371&lt;=0),"",MAX(0,TODAY()-E371))</f>
        <v/>
      </c>
      <c r="J371" s="17" t="str">
        <f>IF(F371="","",IF(H371&lt;=0,"Paid",IF(TODAY()&gt;E371,"Late","Open")))</f>
        <v/>
      </c>
      <c r="K371" s="11" t="n"/>
    </row>
    <row r="372">
      <c r="A372" s="10" t="n"/>
      <c r="B372" s="11" t="n"/>
      <c r="C372" s="12" t="n"/>
      <c r="D372" s="13" t="n"/>
      <c r="E372" s="14" t="str">
        <f>IF(C372="","",C372+IF(D372="",30,D372))</f>
        <v/>
      </c>
      <c r="F372" s="18" t="n"/>
      <c r="G372" s="18" t="n"/>
      <c r="H372" s="8" t="str">
        <f>IF(F372="","",F372-N(G372))</f>
        <v/>
      </c>
      <c r="I372" s="16" t="str">
        <f>IF(OR(F372="",H372&lt;=0),"",MAX(0,TODAY()-E372))</f>
        <v/>
      </c>
      <c r="J372" s="17" t="str">
        <f>IF(F372="","",IF(H372&lt;=0,"Paid",IF(TODAY()&gt;E372,"Late","Open")))</f>
        <v/>
      </c>
      <c r="K372" s="11" t="n"/>
    </row>
    <row r="373">
      <c r="A373" s="10" t="n"/>
      <c r="B373" s="11" t="n"/>
      <c r="C373" s="12" t="n"/>
      <c r="D373" s="13" t="n"/>
      <c r="E373" s="14" t="str">
        <f>IF(C373="","",C373+IF(D373="",30,D373))</f>
        <v/>
      </c>
      <c r="F373" s="18" t="n"/>
      <c r="G373" s="18" t="n"/>
      <c r="H373" s="8" t="str">
        <f>IF(F373="","",F373-N(G373))</f>
        <v/>
      </c>
      <c r="I373" s="16" t="str">
        <f>IF(OR(F373="",H373&lt;=0),"",MAX(0,TODAY()-E373))</f>
        <v/>
      </c>
      <c r="J373" s="17" t="str">
        <f>IF(F373="","",IF(H373&lt;=0,"Paid",IF(TODAY()&gt;E373,"Late","Open")))</f>
        <v/>
      </c>
      <c r="K373" s="11" t="n"/>
    </row>
    <row r="374">
      <c r="A374" s="10" t="n"/>
      <c r="B374" s="11" t="n"/>
      <c r="C374" s="12" t="n"/>
      <c r="D374" s="13" t="n"/>
      <c r="E374" s="14" t="str">
        <f>IF(C374="","",C374+IF(D374="",30,D374))</f>
        <v/>
      </c>
      <c r="F374" s="18" t="n"/>
      <c r="G374" s="18" t="n"/>
      <c r="H374" s="8" t="str">
        <f>IF(F374="","",F374-N(G374))</f>
        <v/>
      </c>
      <c r="I374" s="16" t="str">
        <f>IF(OR(F374="",H374&lt;=0),"",MAX(0,TODAY()-E374))</f>
        <v/>
      </c>
      <c r="J374" s="17" t="str">
        <f>IF(F374="","",IF(H374&lt;=0,"Paid",IF(TODAY()&gt;E374,"Late","Open")))</f>
        <v/>
      </c>
      <c r="K374" s="11" t="n"/>
    </row>
    <row r="375">
      <c r="A375" s="10" t="n"/>
      <c r="B375" s="11" t="n"/>
      <c r="C375" s="12" t="n"/>
      <c r="D375" s="13" t="n"/>
      <c r="E375" s="14" t="str">
        <f>IF(C375="","",C375+IF(D375="",30,D375))</f>
        <v/>
      </c>
      <c r="F375" s="18" t="n"/>
      <c r="G375" s="18" t="n"/>
      <c r="H375" s="8" t="str">
        <f>IF(F375="","",F375-N(G375))</f>
        <v/>
      </c>
      <c r="I375" s="16" t="str">
        <f>IF(OR(F375="",H375&lt;=0),"",MAX(0,TODAY()-E375))</f>
        <v/>
      </c>
      <c r="J375" s="17" t="str">
        <f>IF(F375="","",IF(H375&lt;=0,"Paid",IF(TODAY()&gt;E375,"Late","Open")))</f>
        <v/>
      </c>
      <c r="K375" s="11" t="n"/>
    </row>
    <row r="376">
      <c r="A376" s="10" t="n"/>
      <c r="B376" s="11" t="n"/>
      <c r="C376" s="12" t="n"/>
      <c r="D376" s="13" t="n"/>
      <c r="E376" s="14" t="str">
        <f>IF(C376="","",C376+IF(D376="",30,D376))</f>
        <v/>
      </c>
      <c r="F376" s="18" t="n"/>
      <c r="G376" s="18" t="n"/>
      <c r="H376" s="8" t="str">
        <f>IF(F376="","",F376-N(G376))</f>
        <v/>
      </c>
      <c r="I376" s="16" t="str">
        <f>IF(OR(F376="",H376&lt;=0),"",MAX(0,TODAY()-E376))</f>
        <v/>
      </c>
      <c r="J376" s="17" t="str">
        <f>IF(F376="","",IF(H376&lt;=0,"Paid",IF(TODAY()&gt;E376,"Late","Open")))</f>
        <v/>
      </c>
      <c r="K376" s="11" t="n"/>
    </row>
    <row r="377">
      <c r="A377" s="10" t="n"/>
      <c r="B377" s="11" t="n"/>
      <c r="C377" s="12" t="n"/>
      <c r="D377" s="13" t="n"/>
      <c r="E377" s="14" t="str">
        <f>IF(C377="","",C377+IF(D377="",30,D377))</f>
        <v/>
      </c>
      <c r="F377" s="18" t="n"/>
      <c r="G377" s="18" t="n"/>
      <c r="H377" s="8" t="str">
        <f>IF(F377="","",F377-N(G377))</f>
        <v/>
      </c>
      <c r="I377" s="16" t="str">
        <f>IF(OR(F377="",H377&lt;=0),"",MAX(0,TODAY()-E377))</f>
        <v/>
      </c>
      <c r="J377" s="17" t="str">
        <f>IF(F377="","",IF(H377&lt;=0,"Paid",IF(TODAY()&gt;E377,"Late","Open")))</f>
        <v/>
      </c>
      <c r="K377" s="11" t="n"/>
    </row>
    <row r="378">
      <c r="A378" s="10" t="n"/>
      <c r="B378" s="11" t="n"/>
      <c r="C378" s="12" t="n"/>
      <c r="D378" s="13" t="n"/>
      <c r="E378" s="14" t="str">
        <f>IF(C378="","",C378+IF(D378="",30,D378))</f>
        <v/>
      </c>
      <c r="F378" s="18" t="n"/>
      <c r="G378" s="18" t="n"/>
      <c r="H378" s="8" t="str">
        <f>IF(F378="","",F378-N(G378))</f>
        <v/>
      </c>
      <c r="I378" s="16" t="str">
        <f>IF(OR(F378="",H378&lt;=0),"",MAX(0,TODAY()-E378))</f>
        <v/>
      </c>
      <c r="J378" s="17" t="str">
        <f>IF(F378="","",IF(H378&lt;=0,"Paid",IF(TODAY()&gt;E378,"Late","Open")))</f>
        <v/>
      </c>
      <c r="K378" s="11" t="n"/>
    </row>
    <row r="379">
      <c r="A379" s="10" t="n"/>
      <c r="B379" s="11" t="n"/>
      <c r="C379" s="12" t="n"/>
      <c r="D379" s="13" t="n"/>
      <c r="E379" s="14" t="str">
        <f>IF(C379="","",C379+IF(D379="",30,D379))</f>
        <v/>
      </c>
      <c r="F379" s="18" t="n"/>
      <c r="G379" s="18" t="n"/>
      <c r="H379" s="8" t="str">
        <f>IF(F379="","",F379-N(G379))</f>
        <v/>
      </c>
      <c r="I379" s="16" t="str">
        <f>IF(OR(F379="",H379&lt;=0),"",MAX(0,TODAY()-E379))</f>
        <v/>
      </c>
      <c r="J379" s="17" t="str">
        <f>IF(F379="","",IF(H379&lt;=0,"Paid",IF(TODAY()&gt;E379,"Late","Open")))</f>
        <v/>
      </c>
      <c r="K379" s="11" t="n"/>
    </row>
    <row r="380">
      <c r="A380" s="10" t="n"/>
      <c r="B380" s="11" t="n"/>
      <c r="C380" s="12" t="n"/>
      <c r="D380" s="13" t="n"/>
      <c r="E380" s="14" t="str">
        <f>IF(C380="","",C380+IF(D380="",30,D380))</f>
        <v/>
      </c>
      <c r="F380" s="18" t="n"/>
      <c r="G380" s="18" t="n"/>
      <c r="H380" s="8" t="str">
        <f>IF(F380="","",F380-N(G380))</f>
        <v/>
      </c>
      <c r="I380" s="16" t="str">
        <f>IF(OR(F380="",H380&lt;=0),"",MAX(0,TODAY()-E380))</f>
        <v/>
      </c>
      <c r="J380" s="17" t="str">
        <f>IF(F380="","",IF(H380&lt;=0,"Paid",IF(TODAY()&gt;E380,"Late","Open")))</f>
        <v/>
      </c>
      <c r="K380" s="11" t="n"/>
    </row>
    <row r="381">
      <c r="A381" s="10" t="n"/>
      <c r="B381" s="11" t="n"/>
      <c r="C381" s="12" t="n"/>
      <c r="D381" s="13" t="n"/>
      <c r="E381" s="14" t="str">
        <f>IF(C381="","",C381+IF(D381="",30,D381))</f>
        <v/>
      </c>
      <c r="F381" s="18" t="n"/>
      <c r="G381" s="18" t="n"/>
      <c r="H381" s="8" t="str">
        <f>IF(F381="","",F381-N(G381))</f>
        <v/>
      </c>
      <c r="I381" s="16" t="str">
        <f>IF(OR(F381="",H381&lt;=0),"",MAX(0,TODAY()-E381))</f>
        <v/>
      </c>
      <c r="J381" s="17" t="str">
        <f>IF(F381="","",IF(H381&lt;=0,"Paid",IF(TODAY()&gt;E381,"Late","Open")))</f>
        <v/>
      </c>
      <c r="K381" s="11" t="n"/>
    </row>
    <row r="382">
      <c r="A382" s="10" t="n"/>
      <c r="B382" s="11" t="n"/>
      <c r="C382" s="12" t="n"/>
      <c r="D382" s="13" t="n"/>
      <c r="E382" s="14" t="str">
        <f>IF(C382="","",C382+IF(D382="",30,D382))</f>
        <v/>
      </c>
      <c r="F382" s="18" t="n"/>
      <c r="G382" s="18" t="n"/>
      <c r="H382" s="8" t="str">
        <f>IF(F382="","",F382-N(G382))</f>
        <v/>
      </c>
      <c r="I382" s="16" t="str">
        <f>IF(OR(F382="",H382&lt;=0),"",MAX(0,TODAY()-E382))</f>
        <v/>
      </c>
      <c r="J382" s="17" t="str">
        <f>IF(F382="","",IF(H382&lt;=0,"Paid",IF(TODAY()&gt;E382,"Late","Open")))</f>
        <v/>
      </c>
      <c r="K382" s="11" t="n"/>
    </row>
    <row r="383">
      <c r="A383" s="10" t="n"/>
      <c r="B383" s="11" t="n"/>
      <c r="C383" s="12" t="n"/>
      <c r="D383" s="13" t="n"/>
      <c r="E383" s="14" t="str">
        <f>IF(C383="","",C383+IF(D383="",30,D383))</f>
        <v/>
      </c>
      <c r="F383" s="18" t="n"/>
      <c r="G383" s="18" t="n"/>
      <c r="H383" s="8" t="str">
        <f>IF(F383="","",F383-N(G383))</f>
        <v/>
      </c>
      <c r="I383" s="16" t="str">
        <f>IF(OR(F383="",H383&lt;=0),"",MAX(0,TODAY()-E383))</f>
        <v/>
      </c>
      <c r="J383" s="17" t="str">
        <f>IF(F383="","",IF(H383&lt;=0,"Paid",IF(TODAY()&gt;E383,"Late","Open")))</f>
        <v/>
      </c>
      <c r="K383" s="11" t="n"/>
    </row>
    <row r="384">
      <c r="A384" s="10" t="n"/>
      <c r="B384" s="11" t="n"/>
      <c r="C384" s="12" t="n"/>
      <c r="D384" s="13" t="n"/>
      <c r="E384" s="14" t="str">
        <f>IF(C384="","",C384+IF(D384="",30,D384))</f>
        <v/>
      </c>
      <c r="F384" s="18" t="n"/>
      <c r="G384" s="18" t="n"/>
      <c r="H384" s="8" t="str">
        <f>IF(F384="","",F384-N(G384))</f>
        <v/>
      </c>
      <c r="I384" s="16" t="str">
        <f>IF(OR(F384="",H384&lt;=0),"",MAX(0,TODAY()-E384))</f>
        <v/>
      </c>
      <c r="J384" s="17" t="str">
        <f>IF(F384="","",IF(H384&lt;=0,"Paid",IF(TODAY()&gt;E384,"Late","Open")))</f>
        <v/>
      </c>
      <c r="K384" s="11" t="n"/>
    </row>
    <row r="385">
      <c r="A385" s="10" t="n"/>
      <c r="B385" s="11" t="n"/>
      <c r="C385" s="12" t="n"/>
      <c r="D385" s="13" t="n"/>
      <c r="E385" s="14" t="str">
        <f>IF(C385="","",C385+IF(D385="",30,D385))</f>
        <v/>
      </c>
      <c r="F385" s="18" t="n"/>
      <c r="G385" s="18" t="n"/>
      <c r="H385" s="8" t="str">
        <f>IF(F385="","",F385-N(G385))</f>
        <v/>
      </c>
      <c r="I385" s="16" t="str">
        <f>IF(OR(F385="",H385&lt;=0),"",MAX(0,TODAY()-E385))</f>
        <v/>
      </c>
      <c r="J385" s="17" t="str">
        <f>IF(F385="","",IF(H385&lt;=0,"Paid",IF(TODAY()&gt;E385,"Late","Open")))</f>
        <v/>
      </c>
      <c r="K385" s="11" t="n"/>
    </row>
    <row r="386">
      <c r="A386" s="10" t="n"/>
      <c r="B386" s="11" t="n"/>
      <c r="C386" s="12" t="n"/>
      <c r="D386" s="13" t="n"/>
      <c r="E386" s="14" t="str">
        <f>IF(C386="","",C386+IF(D386="",30,D386))</f>
        <v/>
      </c>
      <c r="F386" s="18" t="n"/>
      <c r="G386" s="18" t="n"/>
      <c r="H386" s="8" t="str">
        <f>IF(F386="","",F386-N(G386))</f>
        <v/>
      </c>
      <c r="I386" s="16" t="str">
        <f>IF(OR(F386="",H386&lt;=0),"",MAX(0,TODAY()-E386))</f>
        <v/>
      </c>
      <c r="J386" s="17" t="str">
        <f>IF(F386="","",IF(H386&lt;=0,"Paid",IF(TODAY()&gt;E386,"Late","Open")))</f>
        <v/>
      </c>
      <c r="K386" s="11" t="n"/>
    </row>
    <row r="387">
      <c r="A387" s="10" t="n"/>
      <c r="B387" s="11" t="n"/>
      <c r="C387" s="12" t="n"/>
      <c r="D387" s="13" t="n"/>
      <c r="E387" s="14" t="str">
        <f>IF(C387="","",C387+IF(D387="",30,D387))</f>
        <v/>
      </c>
      <c r="F387" s="18" t="n"/>
      <c r="G387" s="18" t="n"/>
      <c r="H387" s="8" t="str">
        <f>IF(F387="","",F387-N(G387))</f>
        <v/>
      </c>
      <c r="I387" s="16" t="str">
        <f>IF(OR(F387="",H387&lt;=0),"",MAX(0,TODAY()-E387))</f>
        <v/>
      </c>
      <c r="J387" s="17" t="str">
        <f>IF(F387="","",IF(H387&lt;=0,"Paid",IF(TODAY()&gt;E387,"Late","Open")))</f>
        <v/>
      </c>
      <c r="K387" s="11" t="n"/>
    </row>
    <row r="388">
      <c r="A388" s="10" t="n"/>
      <c r="B388" s="11" t="n"/>
      <c r="C388" s="12" t="n"/>
      <c r="D388" s="13" t="n"/>
      <c r="E388" s="14" t="str">
        <f>IF(C388="","",C388+IF(D388="",30,D388))</f>
        <v/>
      </c>
      <c r="F388" s="18" t="n"/>
      <c r="G388" s="18" t="n"/>
      <c r="H388" s="8" t="str">
        <f>IF(F388="","",F388-N(G388))</f>
        <v/>
      </c>
      <c r="I388" s="16" t="str">
        <f>IF(OR(F388="",H388&lt;=0),"",MAX(0,TODAY()-E388))</f>
        <v/>
      </c>
      <c r="J388" s="17" t="str">
        <f>IF(F388="","",IF(H388&lt;=0,"Paid",IF(TODAY()&gt;E388,"Late","Open")))</f>
        <v/>
      </c>
      <c r="K388" s="11" t="n"/>
    </row>
    <row r="389">
      <c r="A389" s="10" t="n"/>
      <c r="B389" s="11" t="n"/>
      <c r="C389" s="12" t="n"/>
      <c r="D389" s="13" t="n"/>
      <c r="E389" s="14" t="str">
        <f>IF(C389="","",C389+IF(D389="",30,D389))</f>
        <v/>
      </c>
      <c r="F389" s="18" t="n"/>
      <c r="G389" s="18" t="n"/>
      <c r="H389" s="8" t="str">
        <f>IF(F389="","",F389-N(G389))</f>
        <v/>
      </c>
      <c r="I389" s="16" t="str">
        <f>IF(OR(F389="",H389&lt;=0),"",MAX(0,TODAY()-E389))</f>
        <v/>
      </c>
      <c r="J389" s="17" t="str">
        <f>IF(F389="","",IF(H389&lt;=0,"Paid",IF(TODAY()&gt;E389,"Late","Open")))</f>
        <v/>
      </c>
      <c r="K389" s="11" t="n"/>
    </row>
    <row r="390">
      <c r="A390" s="10" t="n"/>
      <c r="B390" s="11" t="n"/>
      <c r="C390" s="12" t="n"/>
      <c r="D390" s="13" t="n"/>
      <c r="E390" s="14" t="str">
        <f>IF(C390="","",C390+IF(D390="",30,D390))</f>
        <v/>
      </c>
      <c r="F390" s="18" t="n"/>
      <c r="G390" s="18" t="n"/>
      <c r="H390" s="8" t="str">
        <f>IF(F390="","",F390-N(G390))</f>
        <v/>
      </c>
      <c r="I390" s="16" t="str">
        <f>IF(OR(F390="",H390&lt;=0),"",MAX(0,TODAY()-E390))</f>
        <v/>
      </c>
      <c r="J390" s="17" t="str">
        <f>IF(F390="","",IF(H390&lt;=0,"Paid",IF(TODAY()&gt;E390,"Late","Open")))</f>
        <v/>
      </c>
      <c r="K390" s="11" t="n"/>
    </row>
    <row r="391">
      <c r="A391" s="10" t="n"/>
      <c r="B391" s="11" t="n"/>
      <c r="C391" s="12" t="n"/>
      <c r="D391" s="13" t="n"/>
      <c r="E391" s="14" t="str">
        <f>IF(C391="","",C391+IF(D391="",30,D391))</f>
        <v/>
      </c>
      <c r="F391" s="18" t="n"/>
      <c r="G391" s="18" t="n"/>
      <c r="H391" s="8" t="str">
        <f>IF(F391="","",F391-N(G391))</f>
        <v/>
      </c>
      <c r="I391" s="16" t="str">
        <f>IF(OR(F391="",H391&lt;=0),"",MAX(0,TODAY()-E391))</f>
        <v/>
      </c>
      <c r="J391" s="17" t="str">
        <f>IF(F391="","",IF(H391&lt;=0,"Paid",IF(TODAY()&gt;E391,"Late","Open")))</f>
        <v/>
      </c>
      <c r="K391" s="11" t="n"/>
    </row>
    <row r="392">
      <c r="A392" s="10" t="n"/>
      <c r="B392" s="11" t="n"/>
      <c r="C392" s="12" t="n"/>
      <c r="D392" s="13" t="n"/>
      <c r="E392" s="14" t="str">
        <f>IF(C392="","",C392+IF(D392="",30,D392))</f>
        <v/>
      </c>
      <c r="F392" s="18" t="n"/>
      <c r="G392" s="18" t="n"/>
      <c r="H392" s="8" t="str">
        <f>IF(F392="","",F392-N(G392))</f>
        <v/>
      </c>
      <c r="I392" s="16" t="str">
        <f>IF(OR(F392="",H392&lt;=0),"",MAX(0,TODAY()-E392))</f>
        <v/>
      </c>
      <c r="J392" s="17" t="str">
        <f>IF(F392="","",IF(H392&lt;=0,"Paid",IF(TODAY()&gt;E392,"Late","Open")))</f>
        <v/>
      </c>
      <c r="K392" s="11" t="n"/>
    </row>
    <row r="393">
      <c r="A393" s="10" t="n"/>
      <c r="B393" s="11" t="n"/>
      <c r="C393" s="12" t="n"/>
      <c r="D393" s="13" t="n"/>
      <c r="E393" s="14" t="str">
        <f>IF(C393="","",C393+IF(D393="",30,D393))</f>
        <v/>
      </c>
      <c r="F393" s="18" t="n"/>
      <c r="G393" s="18" t="n"/>
      <c r="H393" s="8" t="str">
        <f>IF(F393="","",F393-N(G393))</f>
        <v/>
      </c>
      <c r="I393" s="16" t="str">
        <f>IF(OR(F393="",H393&lt;=0),"",MAX(0,TODAY()-E393))</f>
        <v/>
      </c>
      <c r="J393" s="17" t="str">
        <f>IF(F393="","",IF(H393&lt;=0,"Paid",IF(TODAY()&gt;E393,"Late","Open")))</f>
        <v/>
      </c>
      <c r="K393" s="11" t="n"/>
    </row>
    <row r="394">
      <c r="A394" s="10" t="n"/>
      <c r="B394" s="11" t="n"/>
      <c r="C394" s="12" t="n"/>
      <c r="D394" s="13" t="n"/>
      <c r="E394" s="14" t="str">
        <f>IF(C394="","",C394+IF(D394="",30,D394))</f>
        <v/>
      </c>
      <c r="F394" s="18" t="n"/>
      <c r="G394" s="18" t="n"/>
      <c r="H394" s="8" t="str">
        <f>IF(F394="","",F394-N(G394))</f>
        <v/>
      </c>
      <c r="I394" s="16" t="str">
        <f>IF(OR(F394="",H394&lt;=0),"",MAX(0,TODAY()-E394))</f>
        <v/>
      </c>
      <c r="J394" s="17" t="str">
        <f>IF(F394="","",IF(H394&lt;=0,"Paid",IF(TODAY()&gt;E394,"Late","Open")))</f>
        <v/>
      </c>
      <c r="K394" s="11" t="n"/>
    </row>
    <row r="395">
      <c r="A395" s="10" t="n"/>
      <c r="B395" s="11" t="n"/>
      <c r="C395" s="12" t="n"/>
      <c r="D395" s="13" t="n"/>
      <c r="E395" s="14" t="str">
        <f>IF(C395="","",C395+IF(D395="",30,D395))</f>
        <v/>
      </c>
      <c r="F395" s="18" t="n"/>
      <c r="G395" s="18" t="n"/>
      <c r="H395" s="8" t="str">
        <f>IF(F395="","",F395-N(G395))</f>
        <v/>
      </c>
      <c r="I395" s="16" t="str">
        <f>IF(OR(F395="",H395&lt;=0),"",MAX(0,TODAY()-E395))</f>
        <v/>
      </c>
      <c r="J395" s="17" t="str">
        <f>IF(F395="","",IF(H395&lt;=0,"Paid",IF(TODAY()&gt;E395,"Late","Open")))</f>
        <v/>
      </c>
      <c r="K395" s="11" t="n"/>
    </row>
    <row r="396">
      <c r="A396" s="10" t="n"/>
      <c r="B396" s="11" t="n"/>
      <c r="C396" s="12" t="n"/>
      <c r="D396" s="13" t="n"/>
      <c r="E396" s="14" t="str">
        <f>IF(C396="","",C396+IF(D396="",30,D396))</f>
        <v/>
      </c>
      <c r="F396" s="18" t="n"/>
      <c r="G396" s="18" t="n"/>
      <c r="H396" s="8" t="str">
        <f>IF(F396="","",F396-N(G396))</f>
        <v/>
      </c>
      <c r="I396" s="16" t="str">
        <f>IF(OR(F396="",H396&lt;=0),"",MAX(0,TODAY()-E396))</f>
        <v/>
      </c>
      <c r="J396" s="17" t="str">
        <f>IF(F396="","",IF(H396&lt;=0,"Paid",IF(TODAY()&gt;E396,"Late","Open")))</f>
        <v/>
      </c>
      <c r="K396" s="11" t="n"/>
    </row>
    <row r="397">
      <c r="A397" s="10" t="n"/>
      <c r="B397" s="11" t="n"/>
      <c r="C397" s="12" t="n"/>
      <c r="D397" s="13" t="n"/>
      <c r="E397" s="14" t="str">
        <f>IF(C397="","",C397+IF(D397="",30,D397))</f>
        <v/>
      </c>
      <c r="F397" s="18" t="n"/>
      <c r="G397" s="18" t="n"/>
      <c r="H397" s="8" t="str">
        <f>IF(F397="","",F397-N(G397))</f>
        <v/>
      </c>
      <c r="I397" s="16" t="str">
        <f>IF(OR(F397="",H397&lt;=0),"",MAX(0,TODAY()-E397))</f>
        <v/>
      </c>
      <c r="J397" s="17" t="str">
        <f>IF(F397="","",IF(H397&lt;=0,"Paid",IF(TODAY()&gt;E397,"Late","Open")))</f>
        <v/>
      </c>
      <c r="K397" s="11" t="n"/>
    </row>
    <row r="398">
      <c r="A398" s="10" t="n"/>
      <c r="B398" s="11" t="n"/>
      <c r="C398" s="12" t="n"/>
      <c r="D398" s="13" t="n"/>
      <c r="E398" s="14" t="str">
        <f>IF(C398="","",C398+IF(D398="",30,D398))</f>
        <v/>
      </c>
      <c r="F398" s="18" t="n"/>
      <c r="G398" s="18" t="n"/>
      <c r="H398" s="8" t="str">
        <f>IF(F398="","",F398-N(G398))</f>
        <v/>
      </c>
      <c r="I398" s="16" t="str">
        <f>IF(OR(F398="",H398&lt;=0),"",MAX(0,TODAY()-E398))</f>
        <v/>
      </c>
      <c r="J398" s="17" t="str">
        <f>IF(F398="","",IF(H398&lt;=0,"Paid",IF(TODAY()&gt;E398,"Late","Open")))</f>
        <v/>
      </c>
      <c r="K398" s="11" t="n"/>
    </row>
    <row r="399">
      <c r="A399" s="10" t="n"/>
      <c r="B399" s="11" t="n"/>
      <c r="C399" s="12" t="n"/>
      <c r="D399" s="13" t="n"/>
      <c r="E399" s="14" t="str">
        <f>IF(C399="","",C399+IF(D399="",30,D399))</f>
        <v/>
      </c>
      <c r="F399" s="18" t="n"/>
      <c r="G399" s="18" t="n"/>
      <c r="H399" s="8" t="str">
        <f>IF(F399="","",F399-N(G399))</f>
        <v/>
      </c>
      <c r="I399" s="16" t="str">
        <f>IF(OR(F399="",H399&lt;=0),"",MAX(0,TODAY()-E399))</f>
        <v/>
      </c>
      <c r="J399" s="17" t="str">
        <f>IF(F399="","",IF(H399&lt;=0,"Paid",IF(TODAY()&gt;E399,"Late","Open")))</f>
        <v/>
      </c>
      <c r="K399" s="11" t="n"/>
    </row>
    <row r="400">
      <c r="A400" s="10" t="n"/>
      <c r="B400" s="11" t="n"/>
      <c r="C400" s="12" t="n"/>
      <c r="D400" s="13" t="n"/>
      <c r="E400" s="14" t="str">
        <f>IF(C400="","",C400+IF(D400="",30,D400))</f>
        <v/>
      </c>
      <c r="F400" s="18" t="n"/>
      <c r="G400" s="18" t="n"/>
      <c r="H400" s="8" t="str">
        <f>IF(F400="","",F400-N(G400))</f>
        <v/>
      </c>
      <c r="I400" s="16" t="str">
        <f>IF(OR(F400="",H400&lt;=0),"",MAX(0,TODAY()-E400))</f>
        <v/>
      </c>
      <c r="J400" s="17" t="str">
        <f>IF(F400="","",IF(H400&lt;=0,"Paid",IF(TODAY()&gt;E400,"Late","Open")))</f>
        <v/>
      </c>
      <c r="K400" s="11" t="n"/>
    </row>
    <row r="401">
      <c r="A401" s="10" t="n"/>
      <c r="B401" s="11" t="n"/>
      <c r="C401" s="12" t="n"/>
      <c r="D401" s="13" t="n"/>
      <c r="E401" s="14" t="str">
        <f>IF(C401="","",C401+IF(D401="",30,D401))</f>
        <v/>
      </c>
      <c r="F401" s="18" t="n"/>
      <c r="G401" s="18" t="n"/>
      <c r="H401" s="8" t="str">
        <f>IF(F401="","",F401-N(G401))</f>
        <v/>
      </c>
      <c r="I401" s="16" t="str">
        <f>IF(OR(F401="",H401&lt;=0),"",MAX(0,TODAY()-E401))</f>
        <v/>
      </c>
      <c r="J401" s="17" t="str">
        <f>IF(F401="","",IF(H401&lt;=0,"Paid",IF(TODAY()&gt;E401,"Late","Open")))</f>
        <v/>
      </c>
      <c r="K401" s="11" t="n"/>
    </row>
    <row r="402">
      <c r="A402" s="10" t="n"/>
      <c r="B402" s="11" t="n"/>
      <c r="C402" s="12" t="n"/>
      <c r="D402" s="13" t="n"/>
      <c r="E402" s="14" t="str">
        <f>IF(C402="","",C402+IF(D402="",30,D402))</f>
        <v/>
      </c>
      <c r="F402" s="18" t="n"/>
      <c r="G402" s="18" t="n"/>
      <c r="H402" s="8" t="str">
        <f>IF(F402="","",F402-N(G402))</f>
        <v/>
      </c>
      <c r="I402" s="16" t="str">
        <f>IF(OR(F402="",H402&lt;=0),"",MAX(0,TODAY()-E402))</f>
        <v/>
      </c>
      <c r="J402" s="17" t="str">
        <f>IF(F402="","",IF(H402&lt;=0,"Paid",IF(TODAY()&gt;E402,"Late","Open")))</f>
        <v/>
      </c>
      <c r="K402" s="11" t="n"/>
    </row>
    <row r="403">
      <c r="A403" s="10" t="n"/>
      <c r="B403" s="11" t="n"/>
      <c r="C403" s="12" t="n"/>
      <c r="D403" s="13" t="n"/>
      <c r="E403" s="14" t="str">
        <f>IF(C403="","",C403+IF(D403="",30,D403))</f>
        <v/>
      </c>
      <c r="F403" s="18" t="n"/>
      <c r="G403" s="18" t="n"/>
      <c r="H403" s="8" t="str">
        <f>IF(F403="","",F403-N(G403))</f>
        <v/>
      </c>
      <c r="I403" s="16" t="str">
        <f>IF(OR(F403="",H403&lt;=0),"",MAX(0,TODAY()-E403))</f>
        <v/>
      </c>
      <c r="J403" s="17" t="str">
        <f>IF(F403="","",IF(H403&lt;=0,"Paid",IF(TODAY()&gt;E403,"Late","Open")))</f>
        <v/>
      </c>
      <c r="K403" s="11" t="n"/>
    </row>
    <row r="404">
      <c r="A404" s="10" t="n"/>
      <c r="B404" s="11" t="n"/>
      <c r="C404" s="12" t="n"/>
      <c r="D404" s="13" t="n"/>
      <c r="E404" s="14" t="str">
        <f>IF(C404="","",C404+IF(D404="",30,D404))</f>
        <v/>
      </c>
      <c r="F404" s="18" t="n"/>
      <c r="G404" s="18" t="n"/>
      <c r="H404" s="8" t="str">
        <f>IF(F404="","",F404-N(G404))</f>
        <v/>
      </c>
      <c r="I404" s="16" t="str">
        <f>IF(OR(F404="",H404&lt;=0),"",MAX(0,TODAY()-E404))</f>
        <v/>
      </c>
      <c r="J404" s="17" t="str">
        <f>IF(F404="","",IF(H404&lt;=0,"Paid",IF(TODAY()&gt;E404,"Late","Open")))</f>
        <v/>
      </c>
      <c r="K404" s="11" t="n"/>
    </row>
    <row r="405">
      <c r="A405" s="10" t="n"/>
      <c r="B405" s="11" t="n"/>
      <c r="C405" s="12" t="n"/>
      <c r="D405" s="13" t="n"/>
      <c r="E405" s="14" t="str">
        <f>IF(C405="","",C405+IF(D405="",30,D405))</f>
        <v/>
      </c>
      <c r="F405" s="18" t="n"/>
      <c r="G405" s="18" t="n"/>
      <c r="H405" s="8" t="str">
        <f>IF(F405="","",F405-N(G405))</f>
        <v/>
      </c>
      <c r="I405" s="16" t="str">
        <f>IF(OR(F405="",H405&lt;=0),"",MAX(0,TODAY()-E405))</f>
        <v/>
      </c>
      <c r="J405" s="17" t="str">
        <f>IF(F405="","",IF(H405&lt;=0,"Paid",IF(TODAY()&gt;E405,"Late","Open")))</f>
        <v/>
      </c>
      <c r="K405" s="11" t="n"/>
    </row>
    <row r="406">
      <c r="A406" s="10" t="n"/>
      <c r="B406" s="11" t="n"/>
      <c r="C406" s="12" t="n"/>
      <c r="D406" s="13" t="n"/>
      <c r="E406" s="14" t="str">
        <f>IF(C406="","",C406+IF(D406="",30,D406))</f>
        <v/>
      </c>
      <c r="F406" s="18" t="n"/>
      <c r="G406" s="18" t="n"/>
      <c r="H406" s="8" t="str">
        <f>IF(F406="","",F406-N(G406))</f>
        <v/>
      </c>
      <c r="I406" s="16" t="str">
        <f>IF(OR(F406="",H406&lt;=0),"",MAX(0,TODAY()-E406))</f>
        <v/>
      </c>
      <c r="J406" s="17" t="str">
        <f>IF(F406="","",IF(H406&lt;=0,"Paid",IF(TODAY()&gt;E406,"Late","Open")))</f>
        <v/>
      </c>
      <c r="K406" s="11" t="n"/>
    </row>
    <row r="407">
      <c r="A407" s="10" t="n"/>
      <c r="B407" s="11" t="n"/>
      <c r="C407" s="12" t="n"/>
      <c r="D407" s="13" t="n"/>
      <c r="E407" s="14" t="str">
        <f>IF(C407="","",C407+IF(D407="",30,D407))</f>
        <v/>
      </c>
      <c r="F407" s="18" t="n"/>
      <c r="G407" s="18" t="n"/>
      <c r="H407" s="8" t="str">
        <f>IF(F407="","",F407-N(G407))</f>
        <v/>
      </c>
      <c r="I407" s="16" t="str">
        <f>IF(OR(F407="",H407&lt;=0),"",MAX(0,TODAY()-E407))</f>
        <v/>
      </c>
      <c r="J407" s="17" t="str">
        <f>IF(F407="","",IF(H407&lt;=0,"Paid",IF(TODAY()&gt;E407,"Late","Open")))</f>
        <v/>
      </c>
      <c r="K407" s="11" t="n"/>
    </row>
    <row r="408">
      <c r="A408" s="10" t="n"/>
      <c r="B408" s="11" t="n"/>
      <c r="C408" s="12" t="n"/>
      <c r="D408" s="13" t="n"/>
      <c r="E408" s="14" t="str">
        <f>IF(C408="","",C408+IF(D408="",30,D408))</f>
        <v/>
      </c>
      <c r="F408" s="18" t="n"/>
      <c r="G408" s="18" t="n"/>
      <c r="H408" s="8" t="str">
        <f>IF(F408="","",F408-N(G408))</f>
        <v/>
      </c>
      <c r="I408" s="16" t="str">
        <f>IF(OR(F408="",H408&lt;=0),"",MAX(0,TODAY()-E408))</f>
        <v/>
      </c>
      <c r="J408" s="17" t="str">
        <f>IF(F408="","",IF(H408&lt;=0,"Paid",IF(TODAY()&gt;E408,"Late","Open")))</f>
        <v/>
      </c>
      <c r="K408" s="11" t="n"/>
    </row>
    <row r="409">
      <c r="A409" s="10" t="n"/>
      <c r="B409" s="11" t="n"/>
      <c r="C409" s="12" t="n"/>
      <c r="D409" s="13" t="n"/>
      <c r="E409" s="14" t="str">
        <f>IF(C409="","",C409+IF(D409="",30,D409))</f>
        <v/>
      </c>
      <c r="F409" s="18" t="n"/>
      <c r="G409" s="18" t="n"/>
      <c r="H409" s="8" t="str">
        <f>IF(F409="","",F409-N(G409))</f>
        <v/>
      </c>
      <c r="I409" s="16" t="str">
        <f>IF(OR(F409="",H409&lt;=0),"",MAX(0,TODAY()-E409))</f>
        <v/>
      </c>
      <c r="J409" s="17" t="str">
        <f>IF(F409="","",IF(H409&lt;=0,"Paid",IF(TODAY()&gt;E409,"Late","Open")))</f>
        <v/>
      </c>
      <c r="K409" s="11" t="n"/>
    </row>
    <row r="410">
      <c r="A410" s="10" t="n"/>
      <c r="B410" s="11" t="n"/>
      <c r="C410" s="12" t="n"/>
      <c r="D410" s="13" t="n"/>
      <c r="E410" s="14" t="str">
        <f>IF(C410="","",C410+IF(D410="",30,D410))</f>
        <v/>
      </c>
      <c r="F410" s="18" t="n"/>
      <c r="G410" s="18" t="n"/>
      <c r="H410" s="8" t="str">
        <f>IF(F410="","",F410-N(G410))</f>
        <v/>
      </c>
      <c r="I410" s="16" t="str">
        <f>IF(OR(F410="",H410&lt;=0),"",MAX(0,TODAY()-E410))</f>
        <v/>
      </c>
      <c r="J410" s="17" t="str">
        <f>IF(F410="","",IF(H410&lt;=0,"Paid",IF(TODAY()&gt;E410,"Late","Open")))</f>
        <v/>
      </c>
      <c r="K410" s="11" t="n"/>
    </row>
    <row r="411">
      <c r="A411" s="10" t="n"/>
      <c r="B411" s="11" t="n"/>
      <c r="C411" s="12" t="n"/>
      <c r="D411" s="13" t="n"/>
      <c r="E411" s="14" t="str">
        <f>IF(C411="","",C411+IF(D411="",30,D411))</f>
        <v/>
      </c>
      <c r="F411" s="18" t="n"/>
      <c r="G411" s="18" t="n"/>
      <c r="H411" s="8" t="str">
        <f>IF(F411="","",F411-N(G411))</f>
        <v/>
      </c>
      <c r="I411" s="16" t="str">
        <f>IF(OR(F411="",H411&lt;=0),"",MAX(0,TODAY()-E411))</f>
        <v/>
      </c>
      <c r="J411" s="17" t="str">
        <f>IF(F411="","",IF(H411&lt;=0,"Paid",IF(TODAY()&gt;E411,"Late","Open")))</f>
        <v/>
      </c>
      <c r="K411" s="11" t="n"/>
    </row>
  </sheetData>
  <autoFilter ref="A11:K411"/>
  <mergeCells count="5">
    <mergeCell ref="A4:B4"/>
    <mergeCell ref="A5:B5"/>
    <mergeCell ref="A2:K2"/>
    <mergeCell ref="A1:K1"/>
    <mergeCell ref="A6:B6"/>
  </mergeCells>
  <conditionalFormatting sqref="H5">
    <cfRule type="expression" priority="1" dxfId="0">
      <formula>H5&gt;0</formula>
    </cfRule>
  </conditionalFormatting>
  <conditionalFormatting sqref="J12:J411">
    <cfRule type="expression" priority="2" dxfId="1">
      <formula>J12="Paid"</formula>
    </cfRule>
    <cfRule type="expression" priority="3" dxfId="2">
      <formula>J12="Late"</formula>
    </cfRule>
    <cfRule type="expression" priority="4" dxfId="3">
      <formula>J12="Open"</formula>
    </cfRule>
  </conditionalFormatting>
  <dataValidations count="1">
    <dataValidation sqref="F12:G411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2026-10-13T06:02:34Z</dcterms:created>
  <dcterms:modified xmlns:dcterms="http://purl.org/dc/terms/" xmlns:xsi="http://www.w3.org/2001/XMLSchema-instance" xsi:type="dcterms:W3CDTF">2026-10-13T06:02:35Z</dcterms:modified>
</cp:coreProperties>
</file>