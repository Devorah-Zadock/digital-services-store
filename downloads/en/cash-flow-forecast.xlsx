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yyyy"/>
    <numFmt numFmtId="166" formatCode="#,##0;[Red]-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b val="1"/>
      <color rgb="001F5C4E"/>
      <sz val="12"/>
    </font>
    <font>
      <name val="Arial"/>
      <b val="1"/>
      <color rgb="00222222"/>
      <sz val="12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readingOrder="1"/>
    </xf>
    <xf numFmtId="165" fontId="4" fillId="3" borderId="1" applyAlignment="1" pivotButton="0" quotePrefix="0" xfId="0">
      <alignment horizontal="left" vertical="center" readingOrder="1"/>
    </xf>
    <xf numFmtId="166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readingOrder="1"/>
    </xf>
    <xf numFmtId="165" fontId="5" fillId="2" borderId="1" applyAlignment="1" pivotButton="0" quotePrefix="0" xfId="0">
      <alignment horizontal="center" vertical="center" readingOrder="1"/>
    </xf>
    <xf numFmtId="0" fontId="3" fillId="4" borderId="1" applyAlignment="1" pivotButton="0" quotePrefix="0" xfId="0">
      <alignment horizontal="left" vertical="center" readingOrder="1"/>
    </xf>
    <xf numFmtId="166" fontId="3" fillId="4" borderId="1" applyAlignment="1" pivotButton="0" quotePrefix="0" xfId="0">
      <alignment vertical="center" readingOrder="1"/>
    </xf>
    <xf numFmtId="0" fontId="6" fillId="0" borderId="0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166" fontId="3" fillId="0" borderId="1" applyAlignment="1" pivotButton="0" quotePrefix="0" xfId="0">
      <alignment vertical="center" readingOrder="1"/>
    </xf>
    <xf numFmtId="166" fontId="7" fillId="4" borderId="1" applyAlignment="1" pivotButton="0" quotePrefix="0" xfId="0">
      <alignment vertical="center" readingOrder="1"/>
    </xf>
    <xf numFmtId="3" fontId="7" fillId="4" borderId="1" applyAlignment="1" pivotButton="0" quotePrefix="0" xfId="0">
      <alignment vertical="center" readingOrder="1"/>
    </xf>
  </cellXfs>
  <cellStyles count="1">
    <cellStyle name="Normal" xfId="0" builtinId="0" hidden="0"/>
  </cellStyles>
  <dxfs count="1"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balance by month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flow'!$B$7:$M$7</f>
            </numRef>
          </cat>
          <val>
            <numRef>
              <f>'Cash flow'!$B$26:$M$26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27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showGridLines="0" rightToLeft="0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4" customHeight="1">
      <c r="A1" s="1" t="inlineStr">
        <is>
          <t>12-month cash-flow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0" customHeight="1">
      <c r="A2" s="3" t="inlineStr">
        <is>
          <t>Enter the opening balance, the first month, and expected income and spending for each month (yellow cells). Each closing balance rolls into the next month; a month that goes negative turns red.</t>
        </is>
      </c>
    </row>
    <row r="4">
      <c r="A4" s="4" t="inlineStr">
        <is>
          <t>First month:</t>
        </is>
      </c>
      <c r="B4" s="5" t="n">
        <v>46388</v>
      </c>
    </row>
    <row r="5">
      <c r="A5" s="4" t="inlineStr">
        <is>
          <t>Opening balance:</t>
        </is>
      </c>
      <c r="B5" s="6" t="n">
        <v>20000</v>
      </c>
    </row>
    <row r="7">
      <c r="A7" s="7" t="inlineStr">
        <is>
          <t>Line</t>
        </is>
      </c>
      <c r="B7" s="8">
        <f>DATE(YEAR($B$4),MONTH($B$4)+0,1)</f>
        <v>46388.0</v>
      </c>
      <c r="C7" s="8">
        <f>DATE(YEAR($B$4),MONTH($B$4)+1,1)</f>
        <v>46419.0</v>
      </c>
      <c r="D7" s="8">
        <f>DATE(YEAR($B$4),MONTH($B$4)+2,1)</f>
        <v>46447.0</v>
      </c>
      <c r="E7" s="8">
        <f>DATE(YEAR($B$4),MONTH($B$4)+3,1)</f>
        <v>46478.0</v>
      </c>
      <c r="F7" s="8">
        <f>DATE(YEAR($B$4),MONTH($B$4)+4,1)</f>
        <v>46508.0</v>
      </c>
      <c r="G7" s="8">
        <f>DATE(YEAR($B$4),MONTH($B$4)+5,1)</f>
        <v>46539.0</v>
      </c>
      <c r="H7" s="8">
        <f>DATE(YEAR($B$4),MONTH($B$4)+6,1)</f>
        <v>46569.0</v>
      </c>
      <c r="I7" s="8">
        <f>DATE(YEAR($B$4),MONTH($B$4)+7,1)</f>
        <v>46600.0</v>
      </c>
      <c r="J7" s="8">
        <f>DATE(YEAR($B$4),MONTH($B$4)+8,1)</f>
        <v>46631.0</v>
      </c>
      <c r="K7" s="8">
        <f>DATE(YEAR($B$4),MONTH($B$4)+9,1)</f>
        <v>46661.0</v>
      </c>
      <c r="L7" s="8">
        <f>DATE(YEAR($B$4),MONTH($B$4)+10,1)</f>
        <v>46692.0</v>
      </c>
      <c r="M7" s="8">
        <f>DATE(YEAR($B$4),MONTH($B$4)+11,1)</f>
        <v>46722.0</v>
      </c>
      <c r="N7" s="7" t="inlineStr">
        <is>
          <t>Total</t>
        </is>
      </c>
    </row>
    <row r="8">
      <c r="A8" s="9" t="inlineStr">
        <is>
          <t>Opening balance</t>
        </is>
      </c>
      <c r="B8" s="10">
        <f>$B$5</f>
        <v>20000</v>
      </c>
      <c r="C8" s="10">
        <f>B26</f>
        <v>21500</v>
      </c>
      <c r="D8" s="10">
        <f>C26</f>
        <v>23500</v>
      </c>
      <c r="E8" s="10">
        <f>D26</f>
        <v>29000</v>
      </c>
      <c r="F8" s="10">
        <f>E26</f>
        <v>30500</v>
      </c>
      <c r="G8" s="10">
        <f>F26</f>
        <v>41000</v>
      </c>
      <c r="H8" s="10">
        <f>G26</f>
        <v>42500</v>
      </c>
      <c r="I8" s="10">
        <f>H26</f>
        <v>45000</v>
      </c>
      <c r="J8" s="10">
        <f>I26</f>
        <v>50000</v>
      </c>
      <c r="K8" s="10">
        <f>J26</f>
        <v>50500</v>
      </c>
      <c r="L8" s="10">
        <f>K26</f>
        <v>57000</v>
      </c>
      <c r="M8" s="10">
        <f>L26</f>
        <v>64500</v>
      </c>
    </row>
    <row r="9">
      <c r="A9" s="11" t="inlineStr">
        <is>
          <t>Money in</t>
        </is>
      </c>
    </row>
    <row r="10">
      <c r="A10" s="12" t="inlineStr">
        <is>
          <t>Sales / clients</t>
        </is>
      </c>
      <c r="B10" s="6" t="n">
        <v>18000</v>
      </c>
      <c r="C10" s="6" t="n">
        <v>18000</v>
      </c>
      <c r="D10" s="6" t="n">
        <v>22000</v>
      </c>
      <c r="E10" s="6" t="n">
        <v>18000</v>
      </c>
      <c r="F10" s="6" t="n">
        <v>26000</v>
      </c>
      <c r="G10" s="6" t="n">
        <v>18000</v>
      </c>
      <c r="H10" s="6" t="n">
        <v>19000</v>
      </c>
      <c r="I10" s="6" t="n">
        <v>21000</v>
      </c>
      <c r="J10" s="6" t="n">
        <v>17000</v>
      </c>
      <c r="K10" s="6" t="n">
        <v>23000</v>
      </c>
      <c r="L10" s="6" t="n">
        <v>24000</v>
      </c>
      <c r="M10" s="6" t="n">
        <v>28000</v>
      </c>
      <c r="N10" s="13">
        <f>SUM(B10:M10)</f>
        <v>252000</v>
      </c>
    </row>
    <row r="11">
      <c r="A11" s="12" t="inlineStr">
        <is>
          <t>Other income</t>
        </is>
      </c>
      <c r="B11" s="6" t="n">
        <v>0</v>
      </c>
      <c r="C11" s="6" t="n">
        <v>500</v>
      </c>
      <c r="D11" s="6" t="n">
        <v>0</v>
      </c>
      <c r="E11" s="6" t="n">
        <v>0</v>
      </c>
      <c r="F11" s="6" t="n">
        <v>1000</v>
      </c>
      <c r="G11" s="6" t="n">
        <v>0</v>
      </c>
      <c r="H11" s="6" t="n">
        <v>0</v>
      </c>
      <c r="I11" s="6" t="n">
        <v>500</v>
      </c>
      <c r="J11" s="6" t="n">
        <v>0</v>
      </c>
      <c r="K11" s="6" t="n">
        <v>0</v>
      </c>
      <c r="L11" s="6" t="n">
        <v>0</v>
      </c>
      <c r="M11" s="6" t="n">
        <v>1500</v>
      </c>
      <c r="N11" s="13">
        <f>SUM(B11:M11)</f>
        <v>3500</v>
      </c>
    </row>
    <row r="12">
      <c r="A12" s="12" t="inlineStr">
        <is>
          <t>Loans / investment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13">
        <f>SUM(B12:M12)</f>
        <v>0</v>
      </c>
    </row>
    <row r="13">
      <c r="A13" s="9" t="inlineStr">
        <is>
          <t>Total in</t>
        </is>
      </c>
      <c r="B13" s="10">
        <f>SUM(B10:B12)</f>
        <v>18000</v>
      </c>
      <c r="C13" s="10">
        <f>SUM(C10:C12)</f>
        <v>18500</v>
      </c>
      <c r="D13" s="10">
        <f>SUM(D10:D12)</f>
        <v>22000</v>
      </c>
      <c r="E13" s="10">
        <f>SUM(E10:E12)</f>
        <v>18000</v>
      </c>
      <c r="F13" s="10">
        <f>SUM(F10:F12)</f>
        <v>27000</v>
      </c>
      <c r="G13" s="10">
        <f>SUM(G10:G12)</f>
        <v>18000</v>
      </c>
      <c r="H13" s="10">
        <f>SUM(H10:H12)</f>
        <v>19000</v>
      </c>
      <c r="I13" s="10">
        <f>SUM(I10:I12)</f>
        <v>21500</v>
      </c>
      <c r="J13" s="10">
        <f>SUM(J10:J12)</f>
        <v>17000</v>
      </c>
      <c r="K13" s="10">
        <f>SUM(K10:K12)</f>
        <v>23000</v>
      </c>
      <c r="L13" s="10">
        <f>SUM(L10:L12)</f>
        <v>24000</v>
      </c>
      <c r="M13" s="10">
        <f>SUM(M10:M12)</f>
        <v>29500</v>
      </c>
      <c r="N13" s="10">
        <f>SUM(N10:N12)</f>
        <v>255500</v>
      </c>
    </row>
    <row r="15">
      <c r="A15" s="11" t="inlineStr">
        <is>
          <t>Money out</t>
        </is>
      </c>
    </row>
    <row r="16">
      <c r="A16" s="12" t="inlineStr">
        <is>
          <t>Rent</t>
        </is>
      </c>
      <c r="B16" s="6" t="n">
        <v>4500</v>
      </c>
      <c r="C16" s="6" t="n">
        <v>4500</v>
      </c>
      <c r="D16" s="6" t="n">
        <v>4500</v>
      </c>
      <c r="E16" s="6" t="n">
        <v>4500</v>
      </c>
      <c r="F16" s="6" t="n">
        <v>4500</v>
      </c>
      <c r="G16" s="6" t="n">
        <v>4500</v>
      </c>
      <c r="H16" s="6" t="n">
        <v>4500</v>
      </c>
      <c r="I16" s="6" t="n">
        <v>4500</v>
      </c>
      <c r="J16" s="6" t="n">
        <v>4500</v>
      </c>
      <c r="K16" s="6" t="n">
        <v>4500</v>
      </c>
      <c r="L16" s="6" t="n">
        <v>4500</v>
      </c>
      <c r="M16" s="6" t="n">
        <v>4500</v>
      </c>
      <c r="N16" s="13">
        <f>SUM(B16:M16)</f>
        <v>54000</v>
      </c>
    </row>
    <row r="17">
      <c r="A17" s="12" t="inlineStr">
        <is>
          <t>Salaries</t>
        </is>
      </c>
      <c r="B17" s="6" t="n">
        <v>6000</v>
      </c>
      <c r="C17" s="6" t="n">
        <v>6000</v>
      </c>
      <c r="D17" s="6" t="n">
        <v>6000</v>
      </c>
      <c r="E17" s="6" t="n">
        <v>6000</v>
      </c>
      <c r="F17" s="6" t="n">
        <v>6000</v>
      </c>
      <c r="G17" s="6" t="n">
        <v>6000</v>
      </c>
      <c r="H17" s="6" t="n">
        <v>6000</v>
      </c>
      <c r="I17" s="6" t="n">
        <v>6000</v>
      </c>
      <c r="J17" s="6" t="n">
        <v>6000</v>
      </c>
      <c r="K17" s="6" t="n">
        <v>6000</v>
      </c>
      <c r="L17" s="6" t="n">
        <v>6000</v>
      </c>
      <c r="M17" s="6" t="n">
        <v>6000</v>
      </c>
      <c r="N17" s="13">
        <f>SUM(B17:M17)</f>
        <v>72000</v>
      </c>
    </row>
    <row r="18">
      <c r="A18" s="12" t="inlineStr">
        <is>
          <t>Suppliers &amp; materials</t>
        </is>
      </c>
      <c r="B18" s="6" t="n">
        <v>3000</v>
      </c>
      <c r="C18" s="6" t="n">
        <v>3000</v>
      </c>
      <c r="D18" s="6" t="n">
        <v>3000</v>
      </c>
      <c r="E18" s="6" t="n">
        <v>3000</v>
      </c>
      <c r="F18" s="6" t="n">
        <v>3000</v>
      </c>
      <c r="G18" s="6" t="n">
        <v>3000</v>
      </c>
      <c r="H18" s="6" t="n">
        <v>3000</v>
      </c>
      <c r="I18" s="6" t="n">
        <v>3000</v>
      </c>
      <c r="J18" s="6" t="n">
        <v>3000</v>
      </c>
      <c r="K18" s="6" t="n">
        <v>3000</v>
      </c>
      <c r="L18" s="6" t="n">
        <v>3000</v>
      </c>
      <c r="M18" s="6" t="n">
        <v>3000</v>
      </c>
      <c r="N18" s="13">
        <f>SUM(B18:M18)</f>
        <v>36000</v>
      </c>
    </row>
    <row r="19">
      <c r="A19" s="12" t="inlineStr">
        <is>
          <t>Marketing</t>
        </is>
      </c>
      <c r="B19" s="6" t="n">
        <v>800</v>
      </c>
      <c r="C19" s="6" t="n">
        <v>800</v>
      </c>
      <c r="D19" s="6" t="n">
        <v>800</v>
      </c>
      <c r="E19" s="6" t="n">
        <v>800</v>
      </c>
      <c r="F19" s="6" t="n">
        <v>800</v>
      </c>
      <c r="G19" s="6" t="n">
        <v>800</v>
      </c>
      <c r="H19" s="6" t="n">
        <v>800</v>
      </c>
      <c r="I19" s="6" t="n">
        <v>800</v>
      </c>
      <c r="J19" s="6" t="n">
        <v>800</v>
      </c>
      <c r="K19" s="6" t="n">
        <v>800</v>
      </c>
      <c r="L19" s="6" t="n">
        <v>800</v>
      </c>
      <c r="M19" s="6" t="n">
        <v>800</v>
      </c>
      <c r="N19" s="13">
        <f>SUM(B19:M19)</f>
        <v>9600</v>
      </c>
    </row>
    <row r="20">
      <c r="A20" s="12" t="inlineStr">
        <is>
          <t>Taxes</t>
        </is>
      </c>
      <c r="B20" s="6" t="n">
        <v>1500</v>
      </c>
      <c r="C20" s="6" t="n">
        <v>1500</v>
      </c>
      <c r="D20" s="6" t="n">
        <v>1500</v>
      </c>
      <c r="E20" s="6" t="n">
        <v>1500</v>
      </c>
      <c r="F20" s="6" t="n">
        <v>1500</v>
      </c>
      <c r="G20" s="6" t="n">
        <v>1500</v>
      </c>
      <c r="H20" s="6" t="n">
        <v>1500</v>
      </c>
      <c r="I20" s="6" t="n">
        <v>1500</v>
      </c>
      <c r="J20" s="6" t="n">
        <v>1500</v>
      </c>
      <c r="K20" s="6" t="n">
        <v>1500</v>
      </c>
      <c r="L20" s="6" t="n">
        <v>1500</v>
      </c>
      <c r="M20" s="6" t="n">
        <v>1500</v>
      </c>
      <c r="N20" s="13">
        <f>SUM(B20:M20)</f>
        <v>18000</v>
      </c>
    </row>
    <row r="21">
      <c r="A21" s="12" t="inlineStr">
        <is>
          <t>Loan repayments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13">
        <f>SUM(B21:M21)</f>
        <v>0</v>
      </c>
    </row>
    <row r="22">
      <c r="A22" s="12" t="inlineStr">
        <is>
          <t>Other</t>
        </is>
      </c>
      <c r="B22" s="6" t="n">
        <v>700</v>
      </c>
      <c r="C22" s="6" t="n">
        <v>700</v>
      </c>
      <c r="D22" s="6" t="n">
        <v>700</v>
      </c>
      <c r="E22" s="6" t="n">
        <v>700</v>
      </c>
      <c r="F22" s="6" t="n">
        <v>700</v>
      </c>
      <c r="G22" s="6" t="n">
        <v>700</v>
      </c>
      <c r="H22" s="6" t="n">
        <v>700</v>
      </c>
      <c r="I22" s="6" t="n">
        <v>700</v>
      </c>
      <c r="J22" s="6" t="n">
        <v>700</v>
      </c>
      <c r="K22" s="6" t="n">
        <v>700</v>
      </c>
      <c r="L22" s="6" t="n">
        <v>700</v>
      </c>
      <c r="M22" s="6" t="n">
        <v>700</v>
      </c>
      <c r="N22" s="13">
        <f>SUM(B22:M22)</f>
        <v>8400</v>
      </c>
    </row>
    <row r="23">
      <c r="A23" s="9" t="inlineStr">
        <is>
          <t>Total out</t>
        </is>
      </c>
      <c r="B23" s="10">
        <f>SUM(B16:B22)</f>
        <v>16500</v>
      </c>
      <c r="C23" s="10">
        <f>SUM(C16:C22)</f>
        <v>16500</v>
      </c>
      <c r="D23" s="10">
        <f>SUM(D16:D22)</f>
        <v>16500</v>
      </c>
      <c r="E23" s="10">
        <f>SUM(E16:E22)</f>
        <v>16500</v>
      </c>
      <c r="F23" s="10">
        <f>SUM(F16:F22)</f>
        <v>16500</v>
      </c>
      <c r="G23" s="10">
        <f>SUM(G16:G22)</f>
        <v>16500</v>
      </c>
      <c r="H23" s="10">
        <f>SUM(H16:H22)</f>
        <v>16500</v>
      </c>
      <c r="I23" s="10">
        <f>SUM(I16:I22)</f>
        <v>16500</v>
      </c>
      <c r="J23" s="10">
        <f>SUM(J16:J22)</f>
        <v>16500</v>
      </c>
      <c r="K23" s="10">
        <f>SUM(K16:K22)</f>
        <v>16500</v>
      </c>
      <c r="L23" s="10">
        <f>SUM(L16:L22)</f>
        <v>16500</v>
      </c>
      <c r="M23" s="10">
        <f>SUM(M16:M22)</f>
        <v>16500</v>
      </c>
      <c r="N23" s="10">
        <f>SUM(N16:N22)</f>
        <v>198000</v>
      </c>
    </row>
    <row r="25">
      <c r="A25" s="4" t="inlineStr">
        <is>
          <t>Net cash flow</t>
        </is>
      </c>
      <c r="B25" s="13">
        <f>B13-B23</f>
        <v>1500</v>
      </c>
      <c r="C25" s="13">
        <f>C13-C23</f>
        <v>2000</v>
      </c>
      <c r="D25" s="13">
        <f>D13-D23</f>
        <v>5500</v>
      </c>
      <c r="E25" s="13">
        <f>E13-E23</f>
        <v>1500</v>
      </c>
      <c r="F25" s="13">
        <f>F13-F23</f>
        <v>10500</v>
      </c>
      <c r="G25" s="13">
        <f>G13-G23</f>
        <v>1500</v>
      </c>
      <c r="H25" s="13">
        <f>H13-H23</f>
        <v>2500</v>
      </c>
      <c r="I25" s="13">
        <f>I13-I23</f>
        <v>5000</v>
      </c>
      <c r="J25" s="13">
        <f>J13-J23</f>
        <v>500</v>
      </c>
      <c r="K25" s="13">
        <f>K13-K23</f>
        <v>6500</v>
      </c>
      <c r="L25" s="13">
        <f>L13-L23</f>
        <v>7500</v>
      </c>
      <c r="M25" s="13">
        <f>M13-M23</f>
        <v>13000</v>
      </c>
      <c r="N25" s="13">
        <f>N13-N23</f>
        <v>57500</v>
      </c>
    </row>
    <row r="26">
      <c r="A26" s="9" t="inlineStr">
        <is>
          <t>Closing balance</t>
        </is>
      </c>
      <c r="B26" s="10">
        <f>B8+B25</f>
        <v>21500</v>
      </c>
      <c r="C26" s="10">
        <f>C8+C25</f>
        <v>23500</v>
      </c>
      <c r="D26" s="10">
        <f>D8+D25</f>
        <v>29000</v>
      </c>
      <c r="E26" s="10">
        <f>E8+E25</f>
        <v>30500</v>
      </c>
      <c r="F26" s="10">
        <f>F8+F25</f>
        <v>41000</v>
      </c>
      <c r="G26" s="10">
        <f>G8+G25</f>
        <v>42500</v>
      </c>
      <c r="H26" s="10">
        <f>H8+H25</f>
        <v>45000</v>
      </c>
      <c r="I26" s="10">
        <f>I8+I25</f>
        <v>50000</v>
      </c>
      <c r="J26" s="10">
        <f>J8+J25</f>
        <v>50500</v>
      </c>
      <c r="K26" s="10">
        <f>K8+K25</f>
        <v>57000</v>
      </c>
      <c r="L26" s="10">
        <f>L8+L25</f>
        <v>64500</v>
      </c>
      <c r="M26" s="10">
        <f>M8+M25</f>
        <v>77500</v>
      </c>
      <c r="N26" s="10">
        <f>M26</f>
        <v>77500</v>
      </c>
    </row>
    <row r="28">
      <c r="A28" s="9" t="inlineStr">
        <is>
          <t>Lowest balance</t>
        </is>
      </c>
      <c r="B28" s="14">
        <f>MIN(B26:M26)</f>
        <v>21500</v>
      </c>
    </row>
    <row r="29">
      <c r="A29" s="9" t="inlineStr">
        <is>
          <t>Months below zero</t>
        </is>
      </c>
      <c r="B29" s="15">
        <f>COUNTIF(B26:M26,"&lt;0")</f>
        <v>0</v>
      </c>
    </row>
  </sheetData>
  <mergeCells count="2">
    <mergeCell ref="A2:N2"/>
    <mergeCell ref="A1:N1"/>
  </mergeCells>
  <conditionalFormatting sqref="B25:M26">
    <cfRule type="cellIs" priority="1" operator="lessThan" dxfId="0">
      <formula>0</formula>
    </cfRule>
  </conditionalFormatting>
  <conditionalFormatting sqref="B28">
    <cfRule type="cellIs" priority="2" operator="lessThan" dxfId="0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2026-10-13T06:02:23Z</dcterms:created>
  <dcterms:modified xmlns:dcterms="http://purl.org/dc/terms/" xmlns:xsi="http://www.w3.org/2001/XMLSchema-instance" xsi:type="dcterms:W3CDTF">2026-10-13T06:02:23Z</dcterms:modified>
</cp:coreProperties>
</file>