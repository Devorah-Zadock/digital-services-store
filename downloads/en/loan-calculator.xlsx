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"/>
    <numFmt numFmtId="165" formatCode="yyyy-mm-dd"/>
    <numFmt numFmtId="166" formatCode="dd/mm/yyyy"/>
    <numFmt numFmtId="167" formatCode="#,##0.00;[Red]-#,##0.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222222"/>
      <sz val="11"/>
    </font>
    <font>
      <name val="Arial"/>
      <color rgb="000000CC"/>
      <sz val="11"/>
    </font>
    <font>
      <name val="Arial"/>
      <b val="1"/>
      <color rgb="00222222"/>
      <sz val="12"/>
    </font>
    <font>
      <name val="Arial"/>
      <b val="1"/>
      <color rgb="00FFFFFF"/>
      <sz val="11"/>
    </font>
    <font>
      <name val="Arial"/>
      <color rgb="00222222"/>
      <sz val="11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FFF9C4"/>
      </patternFill>
    </fill>
    <fill>
      <patternFill patternType="solid">
        <fgColor rgb="00E8F1EE"/>
      </patternFill>
    </fill>
  </fills>
  <borders count="5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  <border>
      <left/>
      <right/>
      <top style="thin">
        <color rgb="00D9DED9"/>
      </top>
      <bottom/>
      <diagonal/>
    </border>
    <border>
      <left/>
      <right style="thin">
        <color rgb="00D9DED9"/>
      </right>
      <top style="thin">
        <color rgb="00D9DED9"/>
      </top>
      <bottom/>
      <diagonal/>
    </border>
    <border>
      <left/>
      <right style="thin">
        <color rgb="00D9DED9"/>
      </right>
      <top style="thin">
        <color rgb="00D9DED9"/>
      </top>
      <bottom style="thin">
        <color rgb="00D9DED9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readingOrder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 readingOrder="1"/>
    </xf>
    <xf numFmtId="0" fontId="3" fillId="0" borderId="1" applyAlignment="1" pivotButton="0" quotePrefix="0" xfId="0">
      <alignment horizontal="left" vertical="center" readingOrder="1"/>
    </xf>
    <xf numFmtId="0" fontId="0" fillId="0" borderId="4" pivotButton="0" quotePrefix="0" xfId="0"/>
    <xf numFmtId="164" fontId="4" fillId="3" borderId="1" applyAlignment="1" pivotButton="0" quotePrefix="0" xfId="0">
      <alignment vertical="center" readingOrder="1"/>
    </xf>
    <xf numFmtId="0" fontId="3" fillId="4" borderId="1" applyAlignment="1" pivotButton="0" quotePrefix="0" xfId="0">
      <alignment horizontal="left" vertical="center" readingOrder="1"/>
    </xf>
    <xf numFmtId="167" fontId="5" fillId="4" borderId="1" applyAlignment="1" pivotButton="0" quotePrefix="0" xfId="0">
      <alignment vertical="center" readingOrder="1"/>
    </xf>
    <xf numFmtId="10" fontId="4" fillId="3" borderId="1" applyAlignment="1" pivotButton="0" quotePrefix="0" xfId="0">
      <alignment vertical="center" readingOrder="1"/>
    </xf>
    <xf numFmtId="3" fontId="5" fillId="4" borderId="1" applyAlignment="1" pivotButton="0" quotePrefix="0" xfId="0">
      <alignment vertical="center" readingOrder="1"/>
    </xf>
    <xf numFmtId="1" fontId="4" fillId="3" borderId="1" applyAlignment="1" pivotButton="0" quotePrefix="0" xfId="0">
      <alignment vertical="center" readingOrder="1"/>
    </xf>
    <xf numFmtId="164" fontId="5" fillId="4" borderId="1" applyAlignment="1" pivotButton="0" quotePrefix="0" xfId="0">
      <alignment vertical="center" readingOrder="1"/>
    </xf>
    <xf numFmtId="166" fontId="4" fillId="3" borderId="1" applyAlignment="1" pivotButton="0" quotePrefix="0" xfId="0">
      <alignment horizontal="left" vertical="center" readingOrder="1"/>
    </xf>
    <xf numFmtId="0" fontId="6" fillId="2" borderId="1" applyAlignment="1" pivotButton="0" quotePrefix="0" xfId="0">
      <alignment horizontal="center" vertical="center" wrapText="1" readingOrder="1"/>
    </xf>
    <xf numFmtId="1" fontId="7" fillId="0" borderId="1" applyAlignment="1" pivotButton="0" quotePrefix="0" xfId="0">
      <alignment horizontal="center" vertical="center" readingOrder="1"/>
    </xf>
    <xf numFmtId="166" fontId="7" fillId="0" borderId="1" applyAlignment="1" pivotButton="0" quotePrefix="0" xfId="0">
      <alignment vertical="center" readingOrder="1"/>
    </xf>
    <xf numFmtId="167" fontId="7" fillId="0" borderId="1" applyAlignment="1" pivotButton="0" quotePrefix="0" xfId="0">
      <alignment vertical="center" readingOrder="1"/>
    </xf>
    <xf numFmtId="0" fontId="8" fillId="0" borderId="0" applyAlignment="1" pivotButton="0" quotePrefix="0" xfId="0">
      <alignment horizontal="left" vertical="center" wrapText="1" readingOrder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71"/>
  <sheetViews>
    <sheetView showGridLines="0" rightToLeft="0" zoomScale="10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5" customWidth="1" min="4" max="4"/>
    <col width="15" customWidth="1" min="5" max="5"/>
    <col width="15" customWidth="1" min="6" max="6"/>
    <col width="16" customWidth="1" min="7" max="7"/>
  </cols>
  <sheetData>
    <row r="1" ht="34" customHeight="1">
      <c r="A1" s="1" t="inlineStr">
        <is>
          <t>Loan calculator &amp; repayment schedule</t>
        </is>
      </c>
      <c r="B1" s="2" t="n"/>
      <c r="C1" s="2" t="n"/>
      <c r="D1" s="2" t="n"/>
      <c r="E1" s="2" t="n"/>
      <c r="F1" s="2" t="n"/>
      <c r="G1" s="2" t="n"/>
    </row>
    <row r="2" ht="30" customHeight="1">
      <c r="A2" s="3" t="inlineStr">
        <is>
          <t>Enter the amount, yearly interest and term — get the monthly payment, total interest and a full schedule (fixed monthly payment).</t>
        </is>
      </c>
    </row>
    <row r="4">
      <c r="A4" s="4" t="inlineStr">
        <is>
          <t>Loan amount</t>
        </is>
      </c>
      <c r="B4" s="5" t="n"/>
      <c r="C4" s="6" t="n">
        <v>100000</v>
      </c>
      <c r="E4" s="7" t="inlineStr">
        <is>
          <t>Monthly payment</t>
        </is>
      </c>
      <c r="F4" s="8">
        <f>IFERROR(IF(C5=0,C4/(C6*12),-PMT(C5/12,C6*12,C4)),0)</f>
        <v>1933.28015294279</v>
      </c>
    </row>
    <row r="5">
      <c r="A5" s="4" t="inlineStr">
        <is>
          <t>Yearly interest</t>
        </is>
      </c>
      <c r="B5" s="5" t="n"/>
      <c r="C5" s="9" t="n">
        <v>0.06</v>
      </c>
      <c r="E5" s="7" t="inlineStr">
        <is>
          <t>Number of payments</t>
        </is>
      </c>
      <c r="F5" s="10">
        <f>C6*12</f>
        <v>60</v>
      </c>
    </row>
    <row r="6">
      <c r="A6" s="4" t="inlineStr">
        <is>
          <t>Term (years)</t>
        </is>
      </c>
      <c r="B6" s="5" t="n"/>
      <c r="C6" s="11" t="n">
        <v>5</v>
      </c>
      <c r="E6" s="7" t="inlineStr">
        <is>
          <t>Total paid</t>
        </is>
      </c>
      <c r="F6" s="12">
        <f>F4*F5</f>
        <v>115996.809176567</v>
      </c>
    </row>
    <row r="7">
      <c r="A7" s="4" t="inlineStr">
        <is>
          <t>First payment</t>
        </is>
      </c>
      <c r="B7" s="5" t="n"/>
      <c r="C7" s="13" t="n">
        <v>46419</v>
      </c>
      <c r="E7" s="7" t="inlineStr">
        <is>
          <t>Of which interest</t>
        </is>
      </c>
      <c r="F7" s="12">
        <f>F6-C4</f>
        <v>15996.8091765675</v>
      </c>
    </row>
    <row r="9" ht="32" customHeight="1">
      <c r="A9" s="14" t="inlineStr">
        <is>
          <t>No.</t>
        </is>
      </c>
      <c r="B9" s="14" t="inlineStr">
        <is>
          <t>Date</t>
        </is>
      </c>
      <c r="C9" s="14" t="inlineStr">
        <is>
          <t>Opening balance</t>
        </is>
      </c>
      <c r="D9" s="14" t="inlineStr">
        <is>
          <t>Payment</t>
        </is>
      </c>
      <c r="E9" s="14" t="inlineStr">
        <is>
          <t>Interest</t>
        </is>
      </c>
      <c r="F9" s="14" t="inlineStr">
        <is>
          <t>Principal</t>
        </is>
      </c>
      <c r="G9" s="14" t="inlineStr">
        <is>
          <t>Closing balance</t>
        </is>
      </c>
    </row>
    <row r="10">
      <c r="A10" s="15">
        <f>IF(1&gt;$F$5,"",1)</f>
        <v>1</v>
      </c>
      <c r="B10" s="16">
        <f>IF(A10="","",EDATE($C$7,0))</f>
        <v>46419.0</v>
      </c>
      <c r="C10" s="17">
        <f>IF(A10="","",$C$4)</f>
        <v>100000</v>
      </c>
      <c r="D10" s="17">
        <f>IF(A10="","",MIN($F$4,C10*(1+$C$5/12)))</f>
        <v>1933.28015294279</v>
      </c>
      <c r="E10" s="17">
        <f>IF(A10="","",C10*$C$5/12)</f>
        <v>500</v>
      </c>
      <c r="F10" s="17">
        <f>IF(A10="","",D10-E10)</f>
        <v>1433.28015294279</v>
      </c>
      <c r="G10" s="17">
        <f>IF(A10="","",MAX(0,C10-F10))</f>
        <v>98566.7198470572</v>
      </c>
    </row>
    <row r="11">
      <c r="A11" s="15">
        <f>IF(2&gt;$F$5,"",2)</f>
        <v>2</v>
      </c>
      <c r="B11" s="16">
        <f>IF(A11="","",EDATE($C$7,1))</f>
        <v>46447.0</v>
      </c>
      <c r="C11" s="17">
        <f>IF(A11="","",G10)</f>
        <v>98566.7198470572</v>
      </c>
      <c r="D11" s="17">
        <f>IF(A11="","",MIN($F$4,C11*(1+$C$5/12)))</f>
        <v>1933.28015294279</v>
      </c>
      <c r="E11" s="17">
        <f>IF(A11="","",C11*$C$5/12)</f>
        <v>492.833599235286</v>
      </c>
      <c r="F11" s="17">
        <f>IF(A11="","",D11-E11)</f>
        <v>1440.44655370751</v>
      </c>
      <c r="G11" s="17">
        <f>IF(A11="","",MAX(0,C11-F11))</f>
        <v>97126.2732933497</v>
      </c>
    </row>
    <row r="12">
      <c r="A12" s="15">
        <f>IF(3&gt;$F$5,"",3)</f>
        <v>3</v>
      </c>
      <c r="B12" s="16">
        <f>IF(A12="","",EDATE($C$7,2))</f>
        <v>46478.0</v>
      </c>
      <c r="C12" s="17">
        <f>IF(A12="","",G11)</f>
        <v>97126.2732933497</v>
      </c>
      <c r="D12" s="17">
        <f>IF(A12="","",MIN($F$4,C12*(1+$C$5/12)))</f>
        <v>1933.28015294279</v>
      </c>
      <c r="E12" s="17">
        <f>IF(A12="","",C12*$C$5/12)</f>
        <v>485.631366466749</v>
      </c>
      <c r="F12" s="17">
        <f>IF(A12="","",D12-E12)</f>
        <v>1447.64878647604</v>
      </c>
      <c r="G12" s="17">
        <f>IF(A12="","",MAX(0,C12-F12))</f>
        <v>95678.6245068737</v>
      </c>
    </row>
    <row r="13">
      <c r="A13" s="15">
        <f>IF(4&gt;$F$5,"",4)</f>
        <v>4</v>
      </c>
      <c r="B13" s="16">
        <f>IF(A13="","",EDATE($C$7,3))</f>
        <v>46508.0</v>
      </c>
      <c r="C13" s="17">
        <f>IF(A13="","",G12)</f>
        <v>95678.6245068737</v>
      </c>
      <c r="D13" s="17">
        <f>IF(A13="","",MIN($F$4,C13*(1+$C$5/12)))</f>
        <v>1933.28015294279</v>
      </c>
      <c r="E13" s="17">
        <f>IF(A13="","",C13*$C$5/12)</f>
        <v>478.393122534368</v>
      </c>
      <c r="F13" s="17">
        <f>IF(A13="","",D13-E13)</f>
        <v>1454.88703040842</v>
      </c>
      <c r="G13" s="17">
        <f>IF(A13="","",MAX(0,C13-F13))</f>
        <v>94223.7374764652</v>
      </c>
    </row>
    <row r="14">
      <c r="A14" s="15">
        <f>IF(5&gt;$F$5,"",5)</f>
        <v>5</v>
      </c>
      <c r="B14" s="16">
        <f>IF(A14="","",EDATE($C$7,4))</f>
        <v>46539.0</v>
      </c>
      <c r="C14" s="17">
        <f>IF(A14="","",G13)</f>
        <v>94223.7374764652</v>
      </c>
      <c r="D14" s="17">
        <f>IF(A14="","",MIN($F$4,C14*(1+$C$5/12)))</f>
        <v>1933.28015294279</v>
      </c>
      <c r="E14" s="17">
        <f>IF(A14="","",C14*$C$5/12)</f>
        <v>471.118687382326</v>
      </c>
      <c r="F14" s="17">
        <f>IF(A14="","",D14-E14)</f>
        <v>1462.16146556047</v>
      </c>
      <c r="G14" s="17">
        <f>IF(A14="","",MAX(0,C14-F14))</f>
        <v>92761.5760109048</v>
      </c>
    </row>
    <row r="15">
      <c r="A15" s="15">
        <f>IF(6&gt;$F$5,"",6)</f>
        <v>6</v>
      </c>
      <c r="B15" s="16">
        <f>IF(A15="","",EDATE($C$7,5))</f>
        <v>46569.0</v>
      </c>
      <c r="C15" s="17">
        <f>IF(A15="","",G14)</f>
        <v>92761.5760109048</v>
      </c>
      <c r="D15" s="17">
        <f>IF(A15="","",MIN($F$4,C15*(1+$C$5/12)))</f>
        <v>1933.28015294279</v>
      </c>
      <c r="E15" s="17">
        <f>IF(A15="","",C15*$C$5/12)</f>
        <v>463.807880054524</v>
      </c>
      <c r="F15" s="17">
        <f>IF(A15="","",D15-E15)</f>
        <v>1469.47227288827</v>
      </c>
      <c r="G15" s="17">
        <f>IF(A15="","",MAX(0,C15-F15))</f>
        <v>91292.1037380165</v>
      </c>
    </row>
    <row r="16">
      <c r="A16" s="15">
        <f>IF(7&gt;$F$5,"",7)</f>
        <v>7</v>
      </c>
      <c r="B16" s="16">
        <f>IF(A16="","",EDATE($C$7,6))</f>
        <v>46600.0</v>
      </c>
      <c r="C16" s="17">
        <f>IF(A16="","",G15)</f>
        <v>91292.1037380165</v>
      </c>
      <c r="D16" s="17">
        <f>IF(A16="","",MIN($F$4,C16*(1+$C$5/12)))</f>
        <v>1933.28015294279</v>
      </c>
      <c r="E16" s="17">
        <f>IF(A16="","",C16*$C$5/12)</f>
        <v>456.460518690083</v>
      </c>
      <c r="F16" s="17">
        <f>IF(A16="","",D16-E16)</f>
        <v>1476.81963425271</v>
      </c>
      <c r="G16" s="17">
        <f>IF(A16="","",MAX(0,C16-F16))</f>
        <v>89815.2841037638</v>
      </c>
    </row>
    <row r="17">
      <c r="A17" s="15">
        <f>IF(8&gt;$F$5,"",8)</f>
        <v>8</v>
      </c>
      <c r="B17" s="16">
        <f>IF(A17="","",EDATE($C$7,7))</f>
        <v>46631.0</v>
      </c>
      <c r="C17" s="17">
        <f>IF(A17="","",G16)</f>
        <v>89815.2841037638</v>
      </c>
      <c r="D17" s="17">
        <f>IF(A17="","",MIN($F$4,C17*(1+$C$5/12)))</f>
        <v>1933.28015294279</v>
      </c>
      <c r="E17" s="17">
        <f>IF(A17="","",C17*$C$5/12)</f>
        <v>449.076420518819</v>
      </c>
      <c r="F17" s="17">
        <f>IF(A17="","",D17-E17)</f>
        <v>1484.20373242397</v>
      </c>
      <c r="G17" s="17">
        <f>IF(A17="","",MAX(0,C17-F17))</f>
        <v>88331.0803713398</v>
      </c>
    </row>
    <row r="18">
      <c r="A18" s="15">
        <f>IF(9&gt;$F$5,"",9)</f>
        <v>9</v>
      </c>
      <c r="B18" s="16">
        <f>IF(A18="","",EDATE($C$7,8))</f>
        <v>46661.0</v>
      </c>
      <c r="C18" s="17">
        <f>IF(A18="","",G17)</f>
        <v>88331.0803713398</v>
      </c>
      <c r="D18" s="17">
        <f>IF(A18="","",MIN($F$4,C18*(1+$C$5/12)))</f>
        <v>1933.28015294279</v>
      </c>
      <c r="E18" s="17">
        <f>IF(A18="","",C18*$C$5/12)</f>
        <v>441.655401856699</v>
      </c>
      <c r="F18" s="17">
        <f>IF(A18="","",D18-E18)</f>
        <v>1491.62475108609</v>
      </c>
      <c r="G18" s="17">
        <f>IF(A18="","",MAX(0,C18-F18))</f>
        <v>86839.4556202537</v>
      </c>
    </row>
    <row r="19">
      <c r="A19" s="15">
        <f>IF(10&gt;$F$5,"",10)</f>
        <v>10</v>
      </c>
      <c r="B19" s="16">
        <f>IF(A19="","",EDATE($C$7,9))</f>
        <v>46692.0</v>
      </c>
      <c r="C19" s="17">
        <f>IF(A19="","",G18)</f>
        <v>86839.4556202537</v>
      </c>
      <c r="D19" s="17">
        <f>IF(A19="","",MIN($F$4,C19*(1+$C$5/12)))</f>
        <v>1933.28015294279</v>
      </c>
      <c r="E19" s="17">
        <f>IF(A19="","",C19*$C$5/12)</f>
        <v>434.197278101269</v>
      </c>
      <c r="F19" s="17">
        <f>IF(A19="","",D19-E19)</f>
        <v>1499.08287484152</v>
      </c>
      <c r="G19" s="17">
        <f>IF(A19="","",MAX(0,C19-F19))</f>
        <v>85340.3727454122</v>
      </c>
    </row>
    <row r="20">
      <c r="A20" s="15">
        <f>IF(11&gt;$F$5,"",11)</f>
        <v>11</v>
      </c>
      <c r="B20" s="16">
        <f>IF(A20="","",EDATE($C$7,10))</f>
        <v>46722.0</v>
      </c>
      <c r="C20" s="17">
        <f>IF(A20="","",G19)</f>
        <v>85340.3727454122</v>
      </c>
      <c r="D20" s="17">
        <f>IF(A20="","",MIN($F$4,C20*(1+$C$5/12)))</f>
        <v>1933.28015294279</v>
      </c>
      <c r="E20" s="17">
        <f>IF(A20="","",C20*$C$5/12)</f>
        <v>426.701863727061</v>
      </c>
      <c r="F20" s="17">
        <f>IF(A20="","",D20-E20)</f>
        <v>1506.57828921573</v>
      </c>
      <c r="G20" s="17">
        <f>IF(A20="","",MAX(0,C20-F20))</f>
        <v>83833.7944561965</v>
      </c>
    </row>
    <row r="21">
      <c r="A21" s="15">
        <f>IF(12&gt;$F$5,"",12)</f>
        <v>12</v>
      </c>
      <c r="B21" s="16">
        <f>IF(A21="","",EDATE($C$7,11))</f>
        <v>46753.0</v>
      </c>
      <c r="C21" s="17">
        <f>IF(A21="","",G20)</f>
        <v>83833.7944561965</v>
      </c>
      <c r="D21" s="17">
        <f>IF(A21="","",MIN($F$4,C21*(1+$C$5/12)))</f>
        <v>1933.28015294279</v>
      </c>
      <c r="E21" s="17">
        <f>IF(A21="","",C21*$C$5/12)</f>
        <v>419.168972280982</v>
      </c>
      <c r="F21" s="17">
        <f>IF(A21="","",D21-E21)</f>
        <v>1514.11118066181</v>
      </c>
      <c r="G21" s="17">
        <f>IF(A21="","",MAX(0,C21-F21))</f>
        <v>82319.6832755347</v>
      </c>
    </row>
    <row r="22">
      <c r="A22" s="15">
        <f>IF(13&gt;$F$5,"",13)</f>
        <v>13</v>
      </c>
      <c r="B22" s="16">
        <f>IF(A22="","",EDATE($C$7,12))</f>
        <v>46784.0</v>
      </c>
      <c r="C22" s="17">
        <f>IF(A22="","",G21)</f>
        <v>82319.6832755347</v>
      </c>
      <c r="D22" s="17">
        <f>IF(A22="","",MIN($F$4,C22*(1+$C$5/12)))</f>
        <v>1933.28015294279</v>
      </c>
      <c r="E22" s="17">
        <f>IF(A22="","",C22*$C$5/12)</f>
        <v>411.598416377673</v>
      </c>
      <c r="F22" s="17">
        <f>IF(A22="","",D22-E22)</f>
        <v>1521.68173656512</v>
      </c>
      <c r="G22" s="17">
        <f>IF(A22="","",MAX(0,C22-F22))</f>
        <v>80798.0015389695</v>
      </c>
    </row>
    <row r="23">
      <c r="A23" s="15">
        <f>IF(14&gt;$F$5,"",14)</f>
        <v>14</v>
      </c>
      <c r="B23" s="16">
        <f>IF(A23="","",EDATE($C$7,13))</f>
        <v>46813.0</v>
      </c>
      <c r="C23" s="17">
        <f>IF(A23="","",G22)</f>
        <v>80798.0015389695</v>
      </c>
      <c r="D23" s="17">
        <f>IF(A23="","",MIN($F$4,C23*(1+$C$5/12)))</f>
        <v>1933.28015294279</v>
      </c>
      <c r="E23" s="17">
        <f>IF(A23="","",C23*$C$5/12)</f>
        <v>403.990007694848</v>
      </c>
      <c r="F23" s="17">
        <f>IF(A23="","",D23-E23)</f>
        <v>1529.29014524794</v>
      </c>
      <c r="G23" s="17">
        <f>IF(A23="","",MAX(0,C23-F23))</f>
        <v>79268.7113937216</v>
      </c>
    </row>
    <row r="24">
      <c r="A24" s="15">
        <f>IF(15&gt;$F$5,"",15)</f>
        <v>15</v>
      </c>
      <c r="B24" s="16">
        <f>IF(A24="","",EDATE($C$7,14))</f>
        <v>46844.0</v>
      </c>
      <c r="C24" s="17">
        <f>IF(A24="","",G23)</f>
        <v>79268.7113937216</v>
      </c>
      <c r="D24" s="17">
        <f>IF(A24="","",MIN($F$4,C24*(1+$C$5/12)))</f>
        <v>1933.28015294279</v>
      </c>
      <c r="E24" s="17">
        <f>IF(A24="","",C24*$C$5/12)</f>
        <v>396.343556968608</v>
      </c>
      <c r="F24" s="17">
        <f>IF(A24="","",D24-E24)</f>
        <v>1536.93659597418</v>
      </c>
      <c r="G24" s="17">
        <f>IF(A24="","",MAX(0,C24-F24))</f>
        <v>77731.7747977474</v>
      </c>
    </row>
    <row r="25">
      <c r="A25" s="15">
        <f>IF(16&gt;$F$5,"",16)</f>
        <v>16</v>
      </c>
      <c r="B25" s="16">
        <f>IF(A25="","",EDATE($C$7,15))</f>
        <v>46874.0</v>
      </c>
      <c r="C25" s="17">
        <f>IF(A25="","",G24)</f>
        <v>77731.7747977474</v>
      </c>
      <c r="D25" s="17">
        <f>IF(A25="","",MIN($F$4,C25*(1+$C$5/12)))</f>
        <v>1933.28015294279</v>
      </c>
      <c r="E25" s="17">
        <f>IF(A25="","",C25*$C$5/12)</f>
        <v>388.658873988737</v>
      </c>
      <c r="F25" s="17">
        <f>IF(A25="","",D25-E25)</f>
        <v>1544.62127895405</v>
      </c>
      <c r="G25" s="17">
        <f>IF(A25="","",MAX(0,C25-F25))</f>
        <v>76187.1535187934</v>
      </c>
    </row>
    <row r="26">
      <c r="A26" s="15">
        <f>IF(17&gt;$F$5,"",17)</f>
        <v>17</v>
      </c>
      <c r="B26" s="16">
        <f>IF(A26="","",EDATE($C$7,16))</f>
        <v>46905.0</v>
      </c>
      <c r="C26" s="17">
        <f>IF(A26="","",G25)</f>
        <v>76187.1535187934</v>
      </c>
      <c r="D26" s="17">
        <f>IF(A26="","",MIN($F$4,C26*(1+$C$5/12)))</f>
        <v>1933.28015294279</v>
      </c>
      <c r="E26" s="17">
        <f>IF(A26="","",C26*$C$5/12)</f>
        <v>380.935767593967</v>
      </c>
      <c r="F26" s="17">
        <f>IF(A26="","",D26-E26)</f>
        <v>1552.34438534882</v>
      </c>
      <c r="G26" s="17">
        <f>IF(A26="","",MAX(0,C26-F26))</f>
        <v>74634.8091334445</v>
      </c>
    </row>
    <row r="27">
      <c r="A27" s="15">
        <f>IF(18&gt;$F$5,"",18)</f>
        <v>18</v>
      </c>
      <c r="B27" s="16">
        <f>IF(A27="","",EDATE($C$7,17))</f>
        <v>46935.0</v>
      </c>
      <c r="C27" s="17">
        <f>IF(A27="","",G26)</f>
        <v>74634.8091334445</v>
      </c>
      <c r="D27" s="17">
        <f>IF(A27="","",MIN($F$4,C27*(1+$C$5/12)))</f>
        <v>1933.28015294279</v>
      </c>
      <c r="E27" s="17">
        <f>IF(A27="","",C27*$C$5/12)</f>
        <v>373.174045667223</v>
      </c>
      <c r="F27" s="17">
        <f>IF(A27="","",D27-E27)</f>
        <v>1560.10610727557</v>
      </c>
      <c r="G27" s="17">
        <f>IF(A27="","",MAX(0,C27-F27))</f>
        <v>73074.703026169</v>
      </c>
    </row>
    <row r="28">
      <c r="A28" s="15">
        <f>IF(19&gt;$F$5,"",19)</f>
        <v>19</v>
      </c>
      <c r="B28" s="16">
        <f>IF(A28="","",EDATE($C$7,18))</f>
        <v>46966.0</v>
      </c>
      <c r="C28" s="17">
        <f>IF(A28="","",G27)</f>
        <v>73074.703026169</v>
      </c>
      <c r="D28" s="17">
        <f>IF(A28="","",MIN($F$4,C28*(1+$C$5/12)))</f>
        <v>1933.28015294279</v>
      </c>
      <c r="E28" s="17">
        <f>IF(A28="","",C28*$C$5/12)</f>
        <v>365.373515130845</v>
      </c>
      <c r="F28" s="17">
        <f>IF(A28="","",D28-E28)</f>
        <v>1567.90663781195</v>
      </c>
      <c r="G28" s="17">
        <f>IF(A28="","",MAX(0,C28-F28))</f>
        <v>71506.796388357</v>
      </c>
    </row>
    <row r="29">
      <c r="A29" s="15">
        <f>IF(20&gt;$F$5,"",20)</f>
        <v>20</v>
      </c>
      <c r="B29" s="16">
        <f>IF(A29="","",EDATE($C$7,19))</f>
        <v>46997.0</v>
      </c>
      <c r="C29" s="17">
        <f>IF(A29="","",G28)</f>
        <v>71506.796388357</v>
      </c>
      <c r="D29" s="17">
        <f>IF(A29="","",MIN($F$4,C29*(1+$C$5/12)))</f>
        <v>1933.28015294279</v>
      </c>
      <c r="E29" s="17">
        <f>IF(A29="","",C29*$C$5/12)</f>
        <v>357.533981941785</v>
      </c>
      <c r="F29" s="17">
        <f>IF(A29="","",D29-E29)</f>
        <v>1575.74617100101</v>
      </c>
      <c r="G29" s="17">
        <f>IF(A29="","",MAX(0,C29-F29))</f>
        <v>69931.050217356</v>
      </c>
    </row>
    <row r="30">
      <c r="A30" s="15">
        <f>IF(21&gt;$F$5,"",21)</f>
        <v>21</v>
      </c>
      <c r="B30" s="16">
        <f>IF(A30="","",EDATE($C$7,20))</f>
        <v>47027.0</v>
      </c>
      <c r="C30" s="17">
        <f>IF(A30="","",G29)</f>
        <v>69931.050217356</v>
      </c>
      <c r="D30" s="17">
        <f>IF(A30="","",MIN($F$4,C30*(1+$C$5/12)))</f>
        <v>1933.28015294279</v>
      </c>
      <c r="E30" s="17">
        <f>IF(A30="","",C30*$C$5/12)</f>
        <v>349.65525108678</v>
      </c>
      <c r="F30" s="17">
        <f>IF(A30="","",D30-E30)</f>
        <v>1583.62490185601</v>
      </c>
      <c r="G30" s="17">
        <f>IF(A30="","",MAX(0,C30-F30))</f>
        <v>68347.4253155</v>
      </c>
    </row>
    <row r="31">
      <c r="A31" s="15">
        <f>IF(22&gt;$F$5,"",22)</f>
        <v>22</v>
      </c>
      <c r="B31" s="16">
        <f>IF(A31="","",EDATE($C$7,21))</f>
        <v>47058.0</v>
      </c>
      <c r="C31" s="17">
        <f>IF(A31="","",G30)</f>
        <v>68347.4253155</v>
      </c>
      <c r="D31" s="17">
        <f>IF(A31="","",MIN($F$4,C31*(1+$C$5/12)))</f>
        <v>1933.28015294279</v>
      </c>
      <c r="E31" s="17">
        <f>IF(A31="","",C31*$C$5/12)</f>
        <v>341.7371265775</v>
      </c>
      <c r="F31" s="17">
        <f>IF(A31="","",D31-E31)</f>
        <v>1591.54302636529</v>
      </c>
      <c r="G31" s="17">
        <f>IF(A31="","",MAX(0,C31-F31))</f>
        <v>66755.8822891347</v>
      </c>
    </row>
    <row r="32">
      <c r="A32" s="15">
        <f>IF(23&gt;$F$5,"",23)</f>
        <v>23</v>
      </c>
      <c r="B32" s="16">
        <f>IF(A32="","",EDATE($C$7,22))</f>
        <v>47088.0</v>
      </c>
      <c r="C32" s="17">
        <f>IF(A32="","",G31)</f>
        <v>66755.8822891347</v>
      </c>
      <c r="D32" s="17">
        <f>IF(A32="","",MIN($F$4,C32*(1+$C$5/12)))</f>
        <v>1933.28015294279</v>
      </c>
      <c r="E32" s="17">
        <f>IF(A32="","",C32*$C$5/12)</f>
        <v>333.779411445674</v>
      </c>
      <c r="F32" s="17">
        <f>IF(A32="","",D32-E32)</f>
        <v>1599.50074149712</v>
      </c>
      <c r="G32" s="17">
        <f>IF(A32="","",MAX(0,C32-F32))</f>
        <v>65156.3815476376</v>
      </c>
    </row>
    <row r="33">
      <c r="A33" s="15">
        <f>IF(24&gt;$F$5,"",24)</f>
        <v>24</v>
      </c>
      <c r="B33" s="16">
        <f>IF(A33="","",EDATE($C$7,23))</f>
        <v>47119.0</v>
      </c>
      <c r="C33" s="17">
        <f>IF(A33="","",G32)</f>
        <v>65156.3815476376</v>
      </c>
      <c r="D33" s="17">
        <f>IF(A33="","",MIN($F$4,C33*(1+$C$5/12)))</f>
        <v>1933.28015294279</v>
      </c>
      <c r="E33" s="17">
        <f>IF(A33="","",C33*$C$5/12)</f>
        <v>325.781907738188</v>
      </c>
      <c r="F33" s="17">
        <f>IF(A33="","",D33-E33)</f>
        <v>1607.4982452046</v>
      </c>
      <c r="G33" s="17">
        <f>IF(A33="","",MAX(0,C33-F33))</f>
        <v>63548.883302433</v>
      </c>
    </row>
    <row r="34">
      <c r="A34" s="15">
        <f>IF(25&gt;$F$5,"",25)</f>
        <v>25</v>
      </c>
      <c r="B34" s="16">
        <f>IF(A34="","",EDATE($C$7,24))</f>
        <v>47150.0</v>
      </c>
      <c r="C34" s="17">
        <f>IF(A34="","",G33)</f>
        <v>63548.883302433</v>
      </c>
      <c r="D34" s="17">
        <f>IF(A34="","",MIN($F$4,C34*(1+$C$5/12)))</f>
        <v>1933.28015294279</v>
      </c>
      <c r="E34" s="17">
        <f>IF(A34="","",C34*$C$5/12)</f>
        <v>317.744416512165</v>
      </c>
      <c r="F34" s="17">
        <f>IF(A34="","",D34-E34)</f>
        <v>1615.53573643063</v>
      </c>
      <c r="G34" s="17">
        <f>IF(A34="","",MAX(0,C34-F34))</f>
        <v>61933.3475660024</v>
      </c>
    </row>
    <row r="35">
      <c r="A35" s="15">
        <f>IF(26&gt;$F$5,"",26)</f>
        <v>26</v>
      </c>
      <c r="B35" s="16">
        <f>IF(A35="","",EDATE($C$7,25))</f>
        <v>47178.0</v>
      </c>
      <c r="C35" s="17">
        <f>IF(A35="","",G34)</f>
        <v>61933.3475660024</v>
      </c>
      <c r="D35" s="17">
        <f>IF(A35="","",MIN($F$4,C35*(1+$C$5/12)))</f>
        <v>1933.28015294279</v>
      </c>
      <c r="E35" s="17">
        <f>IF(A35="","",C35*$C$5/12)</f>
        <v>309.666737830012</v>
      </c>
      <c r="F35" s="17">
        <f>IF(A35="","",D35-E35)</f>
        <v>1623.61341511278</v>
      </c>
      <c r="G35" s="17">
        <f>IF(A35="","",MAX(0,C35-F35))</f>
        <v>60309.7341508896</v>
      </c>
    </row>
    <row r="36">
      <c r="A36" s="15">
        <f>IF(27&gt;$F$5,"",27)</f>
        <v>27</v>
      </c>
      <c r="B36" s="16">
        <f>IF(A36="","",EDATE($C$7,26))</f>
        <v>47209.0</v>
      </c>
      <c r="C36" s="17">
        <f>IF(A36="","",G35)</f>
        <v>60309.7341508896</v>
      </c>
      <c r="D36" s="17">
        <f>IF(A36="","",MIN($F$4,C36*(1+$C$5/12)))</f>
        <v>1933.28015294279</v>
      </c>
      <c r="E36" s="17">
        <f>IF(A36="","",C36*$C$5/12)</f>
        <v>301.548670754448</v>
      </c>
      <c r="F36" s="17">
        <f>IF(A36="","",D36-E36)</f>
        <v>1631.73148218834</v>
      </c>
      <c r="G36" s="17">
        <f>IF(A36="","",MAX(0,C36-F36))</f>
        <v>58678.0026687012</v>
      </c>
    </row>
    <row r="37">
      <c r="A37" s="15">
        <f>IF(28&gt;$F$5,"",28)</f>
        <v>28</v>
      </c>
      <c r="B37" s="16">
        <f>IF(A37="","",EDATE($C$7,27))</f>
        <v>47239.0</v>
      </c>
      <c r="C37" s="17">
        <f>IF(A37="","",G36)</f>
        <v>58678.0026687012</v>
      </c>
      <c r="D37" s="17">
        <f>IF(A37="","",MIN($F$4,C37*(1+$C$5/12)))</f>
        <v>1933.28015294279</v>
      </c>
      <c r="E37" s="17">
        <f>IF(A37="","",C37*$C$5/12)</f>
        <v>293.390013343506</v>
      </c>
      <c r="F37" s="17">
        <f>IF(A37="","",D37-E37)</f>
        <v>1639.89013959929</v>
      </c>
      <c r="G37" s="17">
        <f>IF(A37="","",MAX(0,C37-F37))</f>
        <v>57038.1125291019</v>
      </c>
    </row>
    <row r="38">
      <c r="A38" s="15">
        <f>IF(29&gt;$F$5,"",29)</f>
        <v>29</v>
      </c>
      <c r="B38" s="16">
        <f>IF(A38="","",EDATE($C$7,28))</f>
        <v>47270.0</v>
      </c>
      <c r="C38" s="17">
        <f>IF(A38="","",G37)</f>
        <v>57038.1125291019</v>
      </c>
      <c r="D38" s="17">
        <f>IF(A38="","",MIN($F$4,C38*(1+$C$5/12)))</f>
        <v>1933.28015294279</v>
      </c>
      <c r="E38" s="17">
        <f>IF(A38="","",C38*$C$5/12)</f>
        <v>285.19056264551</v>
      </c>
      <c r="F38" s="17">
        <f>IF(A38="","",D38-E38)</f>
        <v>1648.08959029728</v>
      </c>
      <c r="G38" s="17">
        <f>IF(A38="","",MAX(0,C38-F38))</f>
        <v>55390.0229388047</v>
      </c>
    </row>
    <row r="39">
      <c r="A39" s="15">
        <f>IF(30&gt;$F$5,"",30)</f>
        <v>30</v>
      </c>
      <c r="B39" s="16">
        <f>IF(A39="","",EDATE($C$7,29))</f>
        <v>47300.0</v>
      </c>
      <c r="C39" s="17">
        <f>IF(A39="","",G38)</f>
        <v>55390.0229388047</v>
      </c>
      <c r="D39" s="17">
        <f>IF(A39="","",MIN($F$4,C39*(1+$C$5/12)))</f>
        <v>1933.28015294279</v>
      </c>
      <c r="E39" s="17">
        <f>IF(A39="","",C39*$C$5/12)</f>
        <v>276.950114694023</v>
      </c>
      <c r="F39" s="17">
        <f>IF(A39="","",D39-E39)</f>
        <v>1656.33003824877</v>
      </c>
      <c r="G39" s="17">
        <f>IF(A39="","",MAX(0,C39-F39))</f>
        <v>53733.6929005559</v>
      </c>
    </row>
    <row r="40">
      <c r="A40" s="15">
        <f>IF(31&gt;$F$5,"",31)</f>
        <v>31</v>
      </c>
      <c r="B40" s="16">
        <f>IF(A40="","",EDATE($C$7,30))</f>
        <v>47331.0</v>
      </c>
      <c r="C40" s="17">
        <f>IF(A40="","",G39)</f>
        <v>53733.6929005559</v>
      </c>
      <c r="D40" s="17">
        <f>IF(A40="","",MIN($F$4,C40*(1+$C$5/12)))</f>
        <v>1933.28015294279</v>
      </c>
      <c r="E40" s="17">
        <f>IF(A40="","",C40*$C$5/12)</f>
        <v>268.668464502779</v>
      </c>
      <c r="F40" s="17">
        <f>IF(A40="","",D40-E40)</f>
        <v>1664.61168844001</v>
      </c>
      <c r="G40" s="17">
        <f>IF(A40="","",MAX(0,C40-F40))</f>
        <v>52069.0812121159</v>
      </c>
    </row>
    <row r="41">
      <c r="A41" s="15">
        <f>IF(32&gt;$F$5,"",32)</f>
        <v>32</v>
      </c>
      <c r="B41" s="16">
        <f>IF(A41="","",EDATE($C$7,31))</f>
        <v>47362.0</v>
      </c>
      <c r="C41" s="17">
        <f>IF(A41="","",G40)</f>
        <v>52069.0812121159</v>
      </c>
      <c r="D41" s="17">
        <f>IF(A41="","",MIN($F$4,C41*(1+$C$5/12)))</f>
        <v>1933.28015294279</v>
      </c>
      <c r="E41" s="17">
        <f>IF(A41="","",C41*$C$5/12)</f>
        <v>260.345406060579</v>
      </c>
      <c r="F41" s="17">
        <f>IF(A41="","",D41-E41)</f>
        <v>1672.93474688221</v>
      </c>
      <c r="G41" s="17">
        <f>IF(A41="","",MAX(0,C41-F41))</f>
        <v>50396.1464652337</v>
      </c>
    </row>
    <row r="42">
      <c r="A42" s="15">
        <f>IF(33&gt;$F$5,"",33)</f>
        <v>33</v>
      </c>
      <c r="B42" s="16">
        <f>IF(A42="","",EDATE($C$7,32))</f>
        <v>47392.0</v>
      </c>
      <c r="C42" s="17">
        <f>IF(A42="","",G41)</f>
        <v>50396.1464652337</v>
      </c>
      <c r="D42" s="17">
        <f>IF(A42="","",MIN($F$4,C42*(1+$C$5/12)))</f>
        <v>1933.28015294279</v>
      </c>
      <c r="E42" s="17">
        <f>IF(A42="","",C42*$C$5/12)</f>
        <v>251.980732326168</v>
      </c>
      <c r="F42" s="17">
        <f>IF(A42="","",D42-E42)</f>
        <v>1681.29942061662</v>
      </c>
      <c r="G42" s="17">
        <f>IF(A42="","",MAX(0,C42-F42))</f>
        <v>48714.8470446171</v>
      </c>
    </row>
    <row r="43">
      <c r="A43" s="15">
        <f>IF(34&gt;$F$5,"",34)</f>
        <v>34</v>
      </c>
      <c r="B43" s="16">
        <f>IF(A43="","",EDATE($C$7,33))</f>
        <v>47423.0</v>
      </c>
      <c r="C43" s="17">
        <f>IF(A43="","",G42)</f>
        <v>48714.8470446171</v>
      </c>
      <c r="D43" s="17">
        <f>IF(A43="","",MIN($F$4,C43*(1+$C$5/12)))</f>
        <v>1933.28015294279</v>
      </c>
      <c r="E43" s="17">
        <f>IF(A43="","",C43*$C$5/12)</f>
        <v>243.574235223085</v>
      </c>
      <c r="F43" s="17">
        <f>IF(A43="","",D43-E43)</f>
        <v>1689.70591771971</v>
      </c>
      <c r="G43" s="17">
        <f>IF(A43="","",MAX(0,C43-F43))</f>
        <v>47025.1411268973</v>
      </c>
    </row>
    <row r="44">
      <c r="A44" s="15">
        <f>IF(35&gt;$F$5,"",35)</f>
        <v>35</v>
      </c>
      <c r="B44" s="16">
        <f>IF(A44="","",EDATE($C$7,34))</f>
        <v>47453.0</v>
      </c>
      <c r="C44" s="17">
        <f>IF(A44="","",G43)</f>
        <v>47025.1411268973</v>
      </c>
      <c r="D44" s="17">
        <f>IF(A44="","",MIN($F$4,C44*(1+$C$5/12)))</f>
        <v>1933.28015294279</v>
      </c>
      <c r="E44" s="17">
        <f>IF(A44="","",C44*$C$5/12)</f>
        <v>235.125705634487</v>
      </c>
      <c r="F44" s="17">
        <f>IF(A44="","",D44-E44)</f>
        <v>1698.15444730831</v>
      </c>
      <c r="G44" s="17">
        <f>IF(A44="","",MAX(0,C44-F44))</f>
        <v>45326.986679589</v>
      </c>
    </row>
    <row r="45">
      <c r="A45" s="15">
        <f>IF(36&gt;$F$5,"",36)</f>
        <v>36</v>
      </c>
      <c r="B45" s="16">
        <f>IF(A45="","",EDATE($C$7,35))</f>
        <v>47484.0</v>
      </c>
      <c r="C45" s="17">
        <f>IF(A45="","",G44)</f>
        <v>45326.986679589</v>
      </c>
      <c r="D45" s="17">
        <f>IF(A45="","",MIN($F$4,C45*(1+$C$5/12)))</f>
        <v>1933.28015294279</v>
      </c>
      <c r="E45" s="17">
        <f>IF(A45="","",C45*$C$5/12)</f>
        <v>226.634933397945</v>
      </c>
      <c r="F45" s="17">
        <f>IF(A45="","",D45-E45)</f>
        <v>1706.64521954485</v>
      </c>
      <c r="G45" s="17">
        <f>IF(A45="","",MAX(0,C45-F45))</f>
        <v>43620.3414600442</v>
      </c>
    </row>
    <row r="46">
      <c r="A46" s="15">
        <f>IF(37&gt;$F$5,"",37)</f>
        <v>37</v>
      </c>
      <c r="B46" s="16">
        <f>IF(A46="","",EDATE($C$7,36))</f>
        <v>47515.0</v>
      </c>
      <c r="C46" s="17">
        <f>IF(A46="","",G45)</f>
        <v>43620.3414600442</v>
      </c>
      <c r="D46" s="17">
        <f>IF(A46="","",MIN($F$4,C46*(1+$C$5/12)))</f>
        <v>1933.28015294279</v>
      </c>
      <c r="E46" s="17">
        <f>IF(A46="","",C46*$C$5/12)</f>
        <v>218.101707300221</v>
      </c>
      <c r="F46" s="17">
        <f>IF(A46="","",D46-E46)</f>
        <v>1715.17844564257</v>
      </c>
      <c r="G46" s="17">
        <f>IF(A46="","",MAX(0,C46-F46))</f>
        <v>41905.1630144016</v>
      </c>
    </row>
    <row r="47">
      <c r="A47" s="15">
        <f>IF(38&gt;$F$5,"",38)</f>
        <v>38</v>
      </c>
      <c r="B47" s="16">
        <f>IF(A47="","",EDATE($C$7,37))</f>
        <v>47543.0</v>
      </c>
      <c r="C47" s="17">
        <f>IF(A47="","",G46)</f>
        <v>41905.1630144016</v>
      </c>
      <c r="D47" s="17">
        <f>IF(A47="","",MIN($F$4,C47*(1+$C$5/12)))</f>
        <v>1933.28015294279</v>
      </c>
      <c r="E47" s="17">
        <f>IF(A47="","",C47*$C$5/12)</f>
        <v>209.525815072008</v>
      </c>
      <c r="F47" s="17">
        <f>IF(A47="","",D47-E47)</f>
        <v>1723.75433787078</v>
      </c>
      <c r="G47" s="17">
        <f>IF(A47="","",MAX(0,C47-F47))</f>
        <v>40181.4086765308</v>
      </c>
    </row>
    <row r="48">
      <c r="A48" s="15">
        <f>IF(39&gt;$F$5,"",39)</f>
        <v>39</v>
      </c>
      <c r="B48" s="16">
        <f>IF(A48="","",EDATE($C$7,38))</f>
        <v>47574.0</v>
      </c>
      <c r="C48" s="17">
        <f>IF(A48="","",G47)</f>
        <v>40181.4086765308</v>
      </c>
      <c r="D48" s="17">
        <f>IF(A48="","",MIN($F$4,C48*(1+$C$5/12)))</f>
        <v>1933.28015294279</v>
      </c>
      <c r="E48" s="17">
        <f>IF(A48="","",C48*$C$5/12)</f>
        <v>200.907043382654</v>
      </c>
      <c r="F48" s="17">
        <f>IF(A48="","",D48-E48)</f>
        <v>1732.37310956014</v>
      </c>
      <c r="G48" s="17">
        <f>IF(A48="","",MAX(0,C48-F48))</f>
        <v>38449.0355669707</v>
      </c>
    </row>
    <row r="49">
      <c r="A49" s="15">
        <f>IF(40&gt;$F$5,"",40)</f>
        <v>40</v>
      </c>
      <c r="B49" s="16">
        <f>IF(A49="","",EDATE($C$7,39))</f>
        <v>47604.0</v>
      </c>
      <c r="C49" s="17">
        <f>IF(A49="","",G48)</f>
        <v>38449.0355669707</v>
      </c>
      <c r="D49" s="17">
        <f>IF(A49="","",MIN($F$4,C49*(1+$C$5/12)))</f>
        <v>1933.28015294279</v>
      </c>
      <c r="E49" s="17">
        <f>IF(A49="","",C49*$C$5/12)</f>
        <v>192.245177834853</v>
      </c>
      <c r="F49" s="17">
        <f>IF(A49="","",D49-E49)</f>
        <v>1741.03497510794</v>
      </c>
      <c r="G49" s="17">
        <f>IF(A49="","",MAX(0,C49-F49))</f>
        <v>36708.0005918628</v>
      </c>
    </row>
    <row r="50">
      <c r="A50" s="15">
        <f>IF(41&gt;$F$5,"",41)</f>
        <v>41</v>
      </c>
      <c r="B50" s="16">
        <f>IF(A50="","",EDATE($C$7,40))</f>
        <v>47635.0</v>
      </c>
      <c r="C50" s="17">
        <f>IF(A50="","",G49)</f>
        <v>36708.0005918628</v>
      </c>
      <c r="D50" s="17">
        <f>IF(A50="","",MIN($F$4,C50*(1+$C$5/12)))</f>
        <v>1933.28015294279</v>
      </c>
      <c r="E50" s="17">
        <f>IF(A50="","",C50*$C$5/12)</f>
        <v>183.540002959314</v>
      </c>
      <c r="F50" s="17">
        <f>IF(A50="","",D50-E50)</f>
        <v>1749.74014998348</v>
      </c>
      <c r="G50" s="17">
        <f>IF(A50="","",MAX(0,C50-F50))</f>
        <v>34958.2604418793</v>
      </c>
    </row>
    <row r="51">
      <c r="A51" s="15">
        <f>IF(42&gt;$F$5,"",42)</f>
        <v>42</v>
      </c>
      <c r="B51" s="16">
        <f>IF(A51="","",EDATE($C$7,41))</f>
        <v>47665.0</v>
      </c>
      <c r="C51" s="17">
        <f>IF(A51="","",G50)</f>
        <v>34958.2604418793</v>
      </c>
      <c r="D51" s="17">
        <f>IF(A51="","",MIN($F$4,C51*(1+$C$5/12)))</f>
        <v>1933.28015294279</v>
      </c>
      <c r="E51" s="17">
        <f>IF(A51="","",C51*$C$5/12)</f>
        <v>174.791302209396</v>
      </c>
      <c r="F51" s="17">
        <f>IF(A51="","",D51-E51)</f>
        <v>1758.4888507334</v>
      </c>
      <c r="G51" s="17">
        <f>IF(A51="","",MAX(0,C51-F51))</f>
        <v>33199.7715911459</v>
      </c>
    </row>
    <row r="52">
      <c r="A52" s="15">
        <f>IF(43&gt;$F$5,"",43)</f>
        <v>43</v>
      </c>
      <c r="B52" s="16">
        <f>IF(A52="","",EDATE($C$7,42))</f>
        <v>47696.0</v>
      </c>
      <c r="C52" s="17">
        <f>IF(A52="","",G51)</f>
        <v>33199.7715911459</v>
      </c>
      <c r="D52" s="17">
        <f>IF(A52="","",MIN($F$4,C52*(1+$C$5/12)))</f>
        <v>1933.28015294279</v>
      </c>
      <c r="E52" s="17">
        <f>IF(A52="","",C52*$C$5/12)</f>
        <v>165.998857955729</v>
      </c>
      <c r="F52" s="17">
        <f>IF(A52="","",D52-E52)</f>
        <v>1767.28129498706</v>
      </c>
      <c r="G52" s="17">
        <f>IF(A52="","",MAX(0,C52-F52))</f>
        <v>31432.4902961588</v>
      </c>
    </row>
    <row r="53">
      <c r="A53" s="15">
        <f>IF(44&gt;$F$5,"",44)</f>
        <v>44</v>
      </c>
      <c r="B53" s="16">
        <f>IF(A53="","",EDATE($C$7,43))</f>
        <v>47727.0</v>
      </c>
      <c r="C53" s="17">
        <f>IF(A53="","",G52)</f>
        <v>31432.4902961588</v>
      </c>
      <c r="D53" s="17">
        <f>IF(A53="","",MIN($F$4,C53*(1+$C$5/12)))</f>
        <v>1933.28015294279</v>
      </c>
      <c r="E53" s="17">
        <f>IF(A53="","",C53*$C$5/12)</f>
        <v>157.162451480794</v>
      </c>
      <c r="F53" s="17">
        <f>IF(A53="","",D53-E53)</f>
        <v>1776.117701462</v>
      </c>
      <c r="G53" s="17">
        <f>IF(A53="","",MAX(0,C53-F53))</f>
        <v>29656.3725946968</v>
      </c>
    </row>
    <row r="54">
      <c r="A54" s="15">
        <f>IF(45&gt;$F$5,"",45)</f>
        <v>45</v>
      </c>
      <c r="B54" s="16">
        <f>IF(A54="","",EDATE($C$7,44))</f>
        <v>47757.0</v>
      </c>
      <c r="C54" s="17">
        <f>IF(A54="","",G53)</f>
        <v>29656.3725946968</v>
      </c>
      <c r="D54" s="17">
        <f>IF(A54="","",MIN($F$4,C54*(1+$C$5/12)))</f>
        <v>1933.28015294279</v>
      </c>
      <c r="E54" s="17">
        <f>IF(A54="","",C54*$C$5/12)</f>
        <v>148.281862973484</v>
      </c>
      <c r="F54" s="17">
        <f>IF(A54="","",D54-E54)</f>
        <v>1784.99828996931</v>
      </c>
      <c r="G54" s="17">
        <f>IF(A54="","",MAX(0,C54-F54))</f>
        <v>27871.3743047275</v>
      </c>
    </row>
    <row r="55">
      <c r="A55" s="15">
        <f>IF(46&gt;$F$5,"",46)</f>
        <v>46</v>
      </c>
      <c r="B55" s="16">
        <f>IF(A55="","",EDATE($C$7,45))</f>
        <v>47788.0</v>
      </c>
      <c r="C55" s="17">
        <f>IF(A55="","",G54)</f>
        <v>27871.3743047275</v>
      </c>
      <c r="D55" s="17">
        <f>IF(A55="","",MIN($F$4,C55*(1+$C$5/12)))</f>
        <v>1933.28015294279</v>
      </c>
      <c r="E55" s="17">
        <f>IF(A55="","",C55*$C$5/12)</f>
        <v>139.356871523638</v>
      </c>
      <c r="F55" s="17">
        <f>IF(A55="","",D55-E55)</f>
        <v>1793.92328141915</v>
      </c>
      <c r="G55" s="17">
        <f>IF(A55="","",MAX(0,C55-F55))</f>
        <v>26077.4510233084</v>
      </c>
    </row>
    <row r="56">
      <c r="A56" s="15">
        <f>IF(47&gt;$F$5,"",47)</f>
        <v>47</v>
      </c>
      <c r="B56" s="16">
        <f>IF(A56="","",EDATE($C$7,46))</f>
        <v>47818.0</v>
      </c>
      <c r="C56" s="17">
        <f>IF(A56="","",G55)</f>
        <v>26077.4510233084</v>
      </c>
      <c r="D56" s="17">
        <f>IF(A56="","",MIN($F$4,C56*(1+$C$5/12)))</f>
        <v>1933.28015294279</v>
      </c>
      <c r="E56" s="17">
        <f>IF(A56="","",C56*$C$5/12)</f>
        <v>130.387255116542</v>
      </c>
      <c r="F56" s="17">
        <f>IF(A56="","",D56-E56)</f>
        <v>1802.89289782625</v>
      </c>
      <c r="G56" s="17">
        <f>IF(A56="","",MAX(0,C56-F56))</f>
        <v>24274.5581254821</v>
      </c>
    </row>
    <row r="57">
      <c r="A57" s="15">
        <f>IF(48&gt;$F$5,"",48)</f>
        <v>48</v>
      </c>
      <c r="B57" s="16">
        <f>IF(A57="","",EDATE($C$7,47))</f>
        <v>47849.0</v>
      </c>
      <c r="C57" s="17">
        <f>IF(A57="","",G56)</f>
        <v>24274.5581254821</v>
      </c>
      <c r="D57" s="17">
        <f>IF(A57="","",MIN($F$4,C57*(1+$C$5/12)))</f>
        <v>1933.28015294279</v>
      </c>
      <c r="E57" s="17">
        <f>IF(A57="","",C57*$C$5/12)</f>
        <v>121.372790627411</v>
      </c>
      <c r="F57" s="17">
        <f>IF(A57="","",D57-E57)</f>
        <v>1811.90736231538</v>
      </c>
      <c r="G57" s="17">
        <f>IF(A57="","",MAX(0,C57-F57))</f>
        <v>22462.6507631667</v>
      </c>
    </row>
    <row r="58">
      <c r="A58" s="15">
        <f>IF(49&gt;$F$5,"",49)</f>
        <v>49</v>
      </c>
      <c r="B58" s="16">
        <f>IF(A58="","",EDATE($C$7,48))</f>
        <v>47880.0</v>
      </c>
      <c r="C58" s="17">
        <f>IF(A58="","",G57)</f>
        <v>22462.6507631667</v>
      </c>
      <c r="D58" s="17">
        <f>IF(A58="","",MIN($F$4,C58*(1+$C$5/12)))</f>
        <v>1933.28015294279</v>
      </c>
      <c r="E58" s="17">
        <f>IF(A58="","",C58*$C$5/12)</f>
        <v>112.313253815834</v>
      </c>
      <c r="F58" s="17">
        <f>IF(A58="","",D58-E58)</f>
        <v>1820.96689912696</v>
      </c>
      <c r="G58" s="17">
        <f>IF(A58="","",MAX(0,C58-F58))</f>
        <v>20641.6838640398</v>
      </c>
    </row>
    <row r="59">
      <c r="A59" s="15">
        <f>IF(50&gt;$F$5,"",50)</f>
        <v>50</v>
      </c>
      <c r="B59" s="16">
        <f>IF(A59="","",EDATE($C$7,49))</f>
        <v>47908.0</v>
      </c>
      <c r="C59" s="17">
        <f>IF(A59="","",G58)</f>
        <v>20641.6838640398</v>
      </c>
      <c r="D59" s="17">
        <f>IF(A59="","",MIN($F$4,C59*(1+$C$5/12)))</f>
        <v>1933.28015294279</v>
      </c>
      <c r="E59" s="17">
        <f>IF(A59="","",C59*$C$5/12)</f>
        <v>103.208419320199</v>
      </c>
      <c r="F59" s="17">
        <f>IF(A59="","",D59-E59)</f>
        <v>1830.07173362259</v>
      </c>
      <c r="G59" s="17">
        <f>IF(A59="","",MAX(0,C59-F59))</f>
        <v>18811.6121304172</v>
      </c>
    </row>
    <row r="60">
      <c r="A60" s="15">
        <f>IF(51&gt;$F$5,"",51)</f>
        <v>51</v>
      </c>
      <c r="B60" s="16">
        <f>IF(A60="","",EDATE($C$7,50))</f>
        <v>47939.0</v>
      </c>
      <c r="C60" s="17">
        <f>IF(A60="","",G59)</f>
        <v>18811.6121304172</v>
      </c>
      <c r="D60" s="17">
        <f>IF(A60="","",MIN($F$4,C60*(1+$C$5/12)))</f>
        <v>1933.28015294279</v>
      </c>
      <c r="E60" s="17">
        <f>IF(A60="","",C60*$C$5/12)</f>
        <v>94.0580606520859</v>
      </c>
      <c r="F60" s="17">
        <f>IF(A60="","",D60-E60)</f>
        <v>1839.22209229071</v>
      </c>
      <c r="G60" s="17">
        <f>IF(A60="","",MAX(0,C60-F60))</f>
        <v>16972.3900381265</v>
      </c>
    </row>
    <row r="61">
      <c r="A61" s="15">
        <f>IF(52&gt;$F$5,"",52)</f>
        <v>52</v>
      </c>
      <c r="B61" s="16">
        <f>IF(A61="","",EDATE($C$7,51))</f>
        <v>47969.0</v>
      </c>
      <c r="C61" s="17">
        <f>IF(A61="","",G60)</f>
        <v>16972.3900381265</v>
      </c>
      <c r="D61" s="17">
        <f>IF(A61="","",MIN($F$4,C61*(1+$C$5/12)))</f>
        <v>1933.28015294279</v>
      </c>
      <c r="E61" s="17">
        <f>IF(A61="","",C61*$C$5/12)</f>
        <v>84.8619501906324</v>
      </c>
      <c r="F61" s="17">
        <f>IF(A61="","",D61-E61)</f>
        <v>1848.41820275216</v>
      </c>
      <c r="G61" s="17">
        <f>IF(A61="","",MAX(0,C61-F61))</f>
        <v>15123.9718353743</v>
      </c>
    </row>
    <row r="62">
      <c r="A62" s="15">
        <f>IF(53&gt;$F$5,"",53)</f>
        <v>53</v>
      </c>
      <c r="B62" s="16">
        <f>IF(A62="","",EDATE($C$7,52))</f>
        <v>48000.0</v>
      </c>
      <c r="C62" s="17">
        <f>IF(A62="","",G61)</f>
        <v>15123.9718353743</v>
      </c>
      <c r="D62" s="17">
        <f>IF(A62="","",MIN($F$4,C62*(1+$C$5/12)))</f>
        <v>1933.28015294279</v>
      </c>
      <c r="E62" s="17">
        <f>IF(A62="","",C62*$C$5/12)</f>
        <v>75.6198591768716</v>
      </c>
      <c r="F62" s="17">
        <f>IF(A62="","",D62-E62)</f>
        <v>1857.66029376592</v>
      </c>
      <c r="G62" s="17">
        <f>IF(A62="","",MAX(0,C62-F62))</f>
        <v>13266.3115416084</v>
      </c>
    </row>
    <row r="63">
      <c r="A63" s="15">
        <f>IF(54&gt;$F$5,"",54)</f>
        <v>54</v>
      </c>
      <c r="B63" s="16">
        <f>IF(A63="","",EDATE($C$7,53))</f>
        <v>48030.0</v>
      </c>
      <c r="C63" s="17">
        <f>IF(A63="","",G62)</f>
        <v>13266.3115416084</v>
      </c>
      <c r="D63" s="17">
        <f>IF(A63="","",MIN($F$4,C63*(1+$C$5/12)))</f>
        <v>1933.28015294279</v>
      </c>
      <c r="E63" s="17">
        <f>IF(A63="","",C63*$C$5/12)</f>
        <v>66.331557708042</v>
      </c>
      <c r="F63" s="17">
        <f>IF(A63="","",D63-E63)</f>
        <v>1866.94859523475</v>
      </c>
      <c r="G63" s="17">
        <f>IF(A63="","",MAX(0,C63-F63))</f>
        <v>11399.3629463736</v>
      </c>
    </row>
    <row r="64">
      <c r="A64" s="15">
        <f>IF(55&gt;$F$5,"",55)</f>
        <v>55</v>
      </c>
      <c r="B64" s="16">
        <f>IF(A64="","",EDATE($C$7,54))</f>
        <v>48061.0</v>
      </c>
      <c r="C64" s="17">
        <f>IF(A64="","",G63)</f>
        <v>11399.3629463736</v>
      </c>
      <c r="D64" s="17">
        <f>IF(A64="","",MIN($F$4,C64*(1+$C$5/12)))</f>
        <v>1933.28015294279</v>
      </c>
      <c r="E64" s="17">
        <f>IF(A64="","",C64*$C$5/12)</f>
        <v>56.9968147318682</v>
      </c>
      <c r="F64" s="17">
        <f>IF(A64="","",D64-E64)</f>
        <v>1876.28333821092</v>
      </c>
      <c r="G64" s="17">
        <f>IF(A64="","",MAX(0,C64-F64))</f>
        <v>9523.07960816272</v>
      </c>
    </row>
    <row r="65">
      <c r="A65" s="15">
        <f>IF(56&gt;$F$5,"",56)</f>
        <v>56</v>
      </c>
      <c r="B65" s="16">
        <f>IF(A65="","",EDATE($C$7,55))</f>
        <v>48092.0</v>
      </c>
      <c r="C65" s="17">
        <f>IF(A65="","",G64)</f>
        <v>9523.07960816272</v>
      </c>
      <c r="D65" s="17">
        <f>IF(A65="","",MIN($F$4,C65*(1+$C$5/12)))</f>
        <v>1933.28015294279</v>
      </c>
      <c r="E65" s="17">
        <f>IF(A65="","",C65*$C$5/12)</f>
        <v>47.6153980408136</v>
      </c>
      <c r="F65" s="17">
        <f>IF(A65="","",D65-E65)</f>
        <v>1885.66475490198</v>
      </c>
      <c r="G65" s="17">
        <f>IF(A65="","",MAX(0,C65-F65))</f>
        <v>7637.41485326074</v>
      </c>
    </row>
    <row r="66">
      <c r="A66" s="15">
        <f>IF(57&gt;$F$5,"",57)</f>
        <v>57</v>
      </c>
      <c r="B66" s="16">
        <f>IF(A66="","",EDATE($C$7,56))</f>
        <v>48122.0</v>
      </c>
      <c r="C66" s="17">
        <f>IF(A66="","",G65)</f>
        <v>7637.41485326074</v>
      </c>
      <c r="D66" s="17">
        <f>IF(A66="","",MIN($F$4,C66*(1+$C$5/12)))</f>
        <v>1933.28015294279</v>
      </c>
      <c r="E66" s="17">
        <f>IF(A66="","",C66*$C$5/12)</f>
        <v>38.1870742663037</v>
      </c>
      <c r="F66" s="17">
        <f>IF(A66="","",D66-E66)</f>
        <v>1895.09307867649</v>
      </c>
      <c r="G66" s="17">
        <f>IF(A66="","",MAX(0,C66-F66))</f>
        <v>5742.32177458425</v>
      </c>
    </row>
    <row r="67">
      <c r="A67" s="15">
        <f>IF(58&gt;$F$5,"",58)</f>
        <v>58</v>
      </c>
      <c r="B67" s="16">
        <f>IF(A67="","",EDATE($C$7,57))</f>
        <v>48153.0</v>
      </c>
      <c r="C67" s="17">
        <f>IF(A67="","",G66)</f>
        <v>5742.32177458425</v>
      </c>
      <c r="D67" s="17">
        <f>IF(A67="","",MIN($F$4,C67*(1+$C$5/12)))</f>
        <v>1933.28015294279</v>
      </c>
      <c r="E67" s="17">
        <f>IF(A67="","",C67*$C$5/12)</f>
        <v>28.7116088729213</v>
      </c>
      <c r="F67" s="17">
        <f>IF(A67="","",D67-E67)</f>
        <v>1904.56854406987</v>
      </c>
      <c r="G67" s="17">
        <f>IF(A67="","",MAX(0,C67-F67))</f>
        <v>3837.75323051438</v>
      </c>
    </row>
    <row r="68">
      <c r="A68" s="15">
        <f>IF(59&gt;$F$5,"",59)</f>
        <v>59</v>
      </c>
      <c r="B68" s="16">
        <f>IF(A68="","",EDATE($C$7,58))</f>
        <v>48183.0</v>
      </c>
      <c r="C68" s="17">
        <f>IF(A68="","",G67)</f>
        <v>3837.75323051438</v>
      </c>
      <c r="D68" s="17">
        <f>IF(A68="","",MIN($F$4,C68*(1+$C$5/12)))</f>
        <v>1933.28015294279</v>
      </c>
      <c r="E68" s="17">
        <f>IF(A68="","",C68*$C$5/12)</f>
        <v>19.1887661525719</v>
      </c>
      <c r="F68" s="17">
        <f>IF(A68="","",D68-E68)</f>
        <v>1914.09138679022</v>
      </c>
      <c r="G68" s="17">
        <f>IF(A68="","",MAX(0,C68-F68))</f>
        <v>1923.66184372416</v>
      </c>
    </row>
    <row r="69">
      <c r="A69" s="15">
        <f>IF(60&gt;$F$5,"",60)</f>
        <v>60</v>
      </c>
      <c r="B69" s="16">
        <f>IF(A69="","",EDATE($C$7,59))</f>
        <v>48214.0</v>
      </c>
      <c r="C69" s="17">
        <f>IF(A69="","",G68)</f>
        <v>1923.66184372416</v>
      </c>
      <c r="D69" s="17">
        <f>IF(A69="","",MIN($F$4,C69*(1+$C$5/12)))</f>
        <v>1933.28015294278</v>
      </c>
      <c r="E69" s="17">
        <f>IF(A69="","",C69*$C$5/12)</f>
        <v>9.61830921862082</v>
      </c>
      <c r="F69" s="17">
        <f>IF(A69="","",D69-E69)</f>
        <v>1923.66184372416</v>
      </c>
      <c r="G69" s="17">
        <f>IF(A69="","",MAX(0,C69-F69))</f>
        <v>0</v>
      </c>
    </row>
    <row r="70">
      <c r="A70" s="15" t="str">
        <f>IF(61&gt;$F$5,"",61)</f>
        <v/>
      </c>
      <c r="B70" s="16" t="str">
        <f>IF(A70="","",EDATE($C$7,60))</f>
        <v/>
      </c>
      <c r="C70" s="17" t="str">
        <f>IF(A70="","",G69)</f>
        <v/>
      </c>
      <c r="D70" s="17" t="str">
        <f>IF(A70="","",MIN($F$4,C70*(1+$C$5/12)))</f>
        <v/>
      </c>
      <c r="E70" s="17" t="str">
        <f>IF(A70="","",C70*$C$5/12)</f>
        <v/>
      </c>
      <c r="F70" s="17" t="str">
        <f>IF(A70="","",D70-E70)</f>
        <v/>
      </c>
      <c r="G70" s="17" t="str">
        <f>IF(A70="","",MAX(0,C70-F70))</f>
        <v/>
      </c>
    </row>
    <row r="71">
      <c r="A71" s="15" t="str">
        <f>IF(62&gt;$F$5,"",62)</f>
        <v/>
      </c>
      <c r="B71" s="16" t="str">
        <f>IF(A71="","",EDATE($C$7,61))</f>
        <v/>
      </c>
      <c r="C71" s="17" t="str">
        <f>IF(A71="","",G70)</f>
        <v/>
      </c>
      <c r="D71" s="17" t="str">
        <f>IF(A71="","",MIN($F$4,C71*(1+$C$5/12)))</f>
        <v/>
      </c>
      <c r="E71" s="17" t="str">
        <f>IF(A71="","",C71*$C$5/12)</f>
        <v/>
      </c>
      <c r="F71" s="17" t="str">
        <f>IF(A71="","",D71-E71)</f>
        <v/>
      </c>
      <c r="G71" s="17" t="str">
        <f>IF(A71="","",MAX(0,C71-F71))</f>
        <v/>
      </c>
    </row>
    <row r="72">
      <c r="A72" s="15" t="str">
        <f>IF(63&gt;$F$5,"",63)</f>
        <v/>
      </c>
      <c r="B72" s="16" t="str">
        <f>IF(A72="","",EDATE($C$7,62))</f>
        <v/>
      </c>
      <c r="C72" s="17" t="str">
        <f>IF(A72="","",G71)</f>
        <v/>
      </c>
      <c r="D72" s="17" t="str">
        <f>IF(A72="","",MIN($F$4,C72*(1+$C$5/12)))</f>
        <v/>
      </c>
      <c r="E72" s="17" t="str">
        <f>IF(A72="","",C72*$C$5/12)</f>
        <v/>
      </c>
      <c r="F72" s="17" t="str">
        <f>IF(A72="","",D72-E72)</f>
        <v/>
      </c>
      <c r="G72" s="17" t="str">
        <f>IF(A72="","",MAX(0,C72-F72))</f>
        <v/>
      </c>
    </row>
    <row r="73">
      <c r="A73" s="15" t="str">
        <f>IF(64&gt;$F$5,"",64)</f>
        <v/>
      </c>
      <c r="B73" s="16" t="str">
        <f>IF(A73="","",EDATE($C$7,63))</f>
        <v/>
      </c>
      <c r="C73" s="17" t="str">
        <f>IF(A73="","",G72)</f>
        <v/>
      </c>
      <c r="D73" s="17" t="str">
        <f>IF(A73="","",MIN($F$4,C73*(1+$C$5/12)))</f>
        <v/>
      </c>
      <c r="E73" s="17" t="str">
        <f>IF(A73="","",C73*$C$5/12)</f>
        <v/>
      </c>
      <c r="F73" s="17" t="str">
        <f>IF(A73="","",D73-E73)</f>
        <v/>
      </c>
      <c r="G73" s="17" t="str">
        <f>IF(A73="","",MAX(0,C73-F73))</f>
        <v/>
      </c>
    </row>
    <row r="74">
      <c r="A74" s="15" t="str">
        <f>IF(65&gt;$F$5,"",65)</f>
        <v/>
      </c>
      <c r="B74" s="16" t="str">
        <f>IF(A74="","",EDATE($C$7,64))</f>
        <v/>
      </c>
      <c r="C74" s="17" t="str">
        <f>IF(A74="","",G73)</f>
        <v/>
      </c>
      <c r="D74" s="17" t="str">
        <f>IF(A74="","",MIN($F$4,C74*(1+$C$5/12)))</f>
        <v/>
      </c>
      <c r="E74" s="17" t="str">
        <f>IF(A74="","",C74*$C$5/12)</f>
        <v/>
      </c>
      <c r="F74" s="17" t="str">
        <f>IF(A74="","",D74-E74)</f>
        <v/>
      </c>
      <c r="G74" s="17" t="str">
        <f>IF(A74="","",MAX(0,C74-F74))</f>
        <v/>
      </c>
    </row>
    <row r="75">
      <c r="A75" s="15" t="str">
        <f>IF(66&gt;$F$5,"",66)</f>
        <v/>
      </c>
      <c r="B75" s="16" t="str">
        <f>IF(A75="","",EDATE($C$7,65))</f>
        <v/>
      </c>
      <c r="C75" s="17" t="str">
        <f>IF(A75="","",G74)</f>
        <v/>
      </c>
      <c r="D75" s="17" t="str">
        <f>IF(A75="","",MIN($F$4,C75*(1+$C$5/12)))</f>
        <v/>
      </c>
      <c r="E75" s="17" t="str">
        <f>IF(A75="","",C75*$C$5/12)</f>
        <v/>
      </c>
      <c r="F75" s="17" t="str">
        <f>IF(A75="","",D75-E75)</f>
        <v/>
      </c>
      <c r="G75" s="17" t="str">
        <f>IF(A75="","",MAX(0,C75-F75))</f>
        <v/>
      </c>
    </row>
    <row r="76">
      <c r="A76" s="15" t="str">
        <f>IF(67&gt;$F$5,"",67)</f>
        <v/>
      </c>
      <c r="B76" s="16" t="str">
        <f>IF(A76="","",EDATE($C$7,66))</f>
        <v/>
      </c>
      <c r="C76" s="17" t="str">
        <f>IF(A76="","",G75)</f>
        <v/>
      </c>
      <c r="D76" s="17" t="str">
        <f>IF(A76="","",MIN($F$4,C76*(1+$C$5/12)))</f>
        <v/>
      </c>
      <c r="E76" s="17" t="str">
        <f>IF(A76="","",C76*$C$5/12)</f>
        <v/>
      </c>
      <c r="F76" s="17" t="str">
        <f>IF(A76="","",D76-E76)</f>
        <v/>
      </c>
      <c r="G76" s="17" t="str">
        <f>IF(A76="","",MAX(0,C76-F76))</f>
        <v/>
      </c>
    </row>
    <row r="77">
      <c r="A77" s="15" t="str">
        <f>IF(68&gt;$F$5,"",68)</f>
        <v/>
      </c>
      <c r="B77" s="16" t="str">
        <f>IF(A77="","",EDATE($C$7,67))</f>
        <v/>
      </c>
      <c r="C77" s="17" t="str">
        <f>IF(A77="","",G76)</f>
        <v/>
      </c>
      <c r="D77" s="17" t="str">
        <f>IF(A77="","",MIN($F$4,C77*(1+$C$5/12)))</f>
        <v/>
      </c>
      <c r="E77" s="17" t="str">
        <f>IF(A77="","",C77*$C$5/12)</f>
        <v/>
      </c>
      <c r="F77" s="17" t="str">
        <f>IF(A77="","",D77-E77)</f>
        <v/>
      </c>
      <c r="G77" s="17" t="str">
        <f>IF(A77="","",MAX(0,C77-F77))</f>
        <v/>
      </c>
    </row>
    <row r="78">
      <c r="A78" s="15" t="str">
        <f>IF(69&gt;$F$5,"",69)</f>
        <v/>
      </c>
      <c r="B78" s="16" t="str">
        <f>IF(A78="","",EDATE($C$7,68))</f>
        <v/>
      </c>
      <c r="C78" s="17" t="str">
        <f>IF(A78="","",G77)</f>
        <v/>
      </c>
      <c r="D78" s="17" t="str">
        <f>IF(A78="","",MIN($F$4,C78*(1+$C$5/12)))</f>
        <v/>
      </c>
      <c r="E78" s="17" t="str">
        <f>IF(A78="","",C78*$C$5/12)</f>
        <v/>
      </c>
      <c r="F78" s="17" t="str">
        <f>IF(A78="","",D78-E78)</f>
        <v/>
      </c>
      <c r="G78" s="17" t="str">
        <f>IF(A78="","",MAX(0,C78-F78))</f>
        <v/>
      </c>
    </row>
    <row r="79">
      <c r="A79" s="15" t="str">
        <f>IF(70&gt;$F$5,"",70)</f>
        <v/>
      </c>
      <c r="B79" s="16" t="str">
        <f>IF(A79="","",EDATE($C$7,69))</f>
        <v/>
      </c>
      <c r="C79" s="17" t="str">
        <f>IF(A79="","",G78)</f>
        <v/>
      </c>
      <c r="D79" s="17" t="str">
        <f>IF(A79="","",MIN($F$4,C79*(1+$C$5/12)))</f>
        <v/>
      </c>
      <c r="E79" s="17" t="str">
        <f>IF(A79="","",C79*$C$5/12)</f>
        <v/>
      </c>
      <c r="F79" s="17" t="str">
        <f>IF(A79="","",D79-E79)</f>
        <v/>
      </c>
      <c r="G79" s="17" t="str">
        <f>IF(A79="","",MAX(0,C79-F79))</f>
        <v/>
      </c>
    </row>
    <row r="80">
      <c r="A80" s="15" t="str">
        <f>IF(71&gt;$F$5,"",71)</f>
        <v/>
      </c>
      <c r="B80" s="16" t="str">
        <f>IF(A80="","",EDATE($C$7,70))</f>
        <v/>
      </c>
      <c r="C80" s="17" t="str">
        <f>IF(A80="","",G79)</f>
        <v/>
      </c>
      <c r="D80" s="17" t="str">
        <f>IF(A80="","",MIN($F$4,C80*(1+$C$5/12)))</f>
        <v/>
      </c>
      <c r="E80" s="17" t="str">
        <f>IF(A80="","",C80*$C$5/12)</f>
        <v/>
      </c>
      <c r="F80" s="17" t="str">
        <f>IF(A80="","",D80-E80)</f>
        <v/>
      </c>
      <c r="G80" s="17" t="str">
        <f>IF(A80="","",MAX(0,C80-F80))</f>
        <v/>
      </c>
    </row>
    <row r="81">
      <c r="A81" s="15" t="str">
        <f>IF(72&gt;$F$5,"",72)</f>
        <v/>
      </c>
      <c r="B81" s="16" t="str">
        <f>IF(A81="","",EDATE($C$7,71))</f>
        <v/>
      </c>
      <c r="C81" s="17" t="str">
        <f>IF(A81="","",G80)</f>
        <v/>
      </c>
      <c r="D81" s="17" t="str">
        <f>IF(A81="","",MIN($F$4,C81*(1+$C$5/12)))</f>
        <v/>
      </c>
      <c r="E81" s="17" t="str">
        <f>IF(A81="","",C81*$C$5/12)</f>
        <v/>
      </c>
      <c r="F81" s="17" t="str">
        <f>IF(A81="","",D81-E81)</f>
        <v/>
      </c>
      <c r="G81" s="17" t="str">
        <f>IF(A81="","",MAX(0,C81-F81))</f>
        <v/>
      </c>
    </row>
    <row r="82">
      <c r="A82" s="15" t="str">
        <f>IF(73&gt;$F$5,"",73)</f>
        <v/>
      </c>
      <c r="B82" s="16" t="str">
        <f>IF(A82="","",EDATE($C$7,72))</f>
        <v/>
      </c>
      <c r="C82" s="17" t="str">
        <f>IF(A82="","",G81)</f>
        <v/>
      </c>
      <c r="D82" s="17" t="str">
        <f>IF(A82="","",MIN($F$4,C82*(1+$C$5/12)))</f>
        <v/>
      </c>
      <c r="E82" s="17" t="str">
        <f>IF(A82="","",C82*$C$5/12)</f>
        <v/>
      </c>
      <c r="F82" s="17" t="str">
        <f>IF(A82="","",D82-E82)</f>
        <v/>
      </c>
      <c r="G82" s="17" t="str">
        <f>IF(A82="","",MAX(0,C82-F82))</f>
        <v/>
      </c>
    </row>
    <row r="83">
      <c r="A83" s="15" t="str">
        <f>IF(74&gt;$F$5,"",74)</f>
        <v/>
      </c>
      <c r="B83" s="16" t="str">
        <f>IF(A83="","",EDATE($C$7,73))</f>
        <v/>
      </c>
      <c r="C83" s="17" t="str">
        <f>IF(A83="","",G82)</f>
        <v/>
      </c>
      <c r="D83" s="17" t="str">
        <f>IF(A83="","",MIN($F$4,C83*(1+$C$5/12)))</f>
        <v/>
      </c>
      <c r="E83" s="17" t="str">
        <f>IF(A83="","",C83*$C$5/12)</f>
        <v/>
      </c>
      <c r="F83" s="17" t="str">
        <f>IF(A83="","",D83-E83)</f>
        <v/>
      </c>
      <c r="G83" s="17" t="str">
        <f>IF(A83="","",MAX(0,C83-F83))</f>
        <v/>
      </c>
    </row>
    <row r="84">
      <c r="A84" s="15" t="str">
        <f>IF(75&gt;$F$5,"",75)</f>
        <v/>
      </c>
      <c r="B84" s="16" t="str">
        <f>IF(A84="","",EDATE($C$7,74))</f>
        <v/>
      </c>
      <c r="C84" s="17" t="str">
        <f>IF(A84="","",G83)</f>
        <v/>
      </c>
      <c r="D84" s="17" t="str">
        <f>IF(A84="","",MIN($F$4,C84*(1+$C$5/12)))</f>
        <v/>
      </c>
      <c r="E84" s="17" t="str">
        <f>IF(A84="","",C84*$C$5/12)</f>
        <v/>
      </c>
      <c r="F84" s="17" t="str">
        <f>IF(A84="","",D84-E84)</f>
        <v/>
      </c>
      <c r="G84" s="17" t="str">
        <f>IF(A84="","",MAX(0,C84-F84))</f>
        <v/>
      </c>
    </row>
    <row r="85">
      <c r="A85" s="15" t="str">
        <f>IF(76&gt;$F$5,"",76)</f>
        <v/>
      </c>
      <c r="B85" s="16" t="str">
        <f>IF(A85="","",EDATE($C$7,75))</f>
        <v/>
      </c>
      <c r="C85" s="17" t="str">
        <f>IF(A85="","",G84)</f>
        <v/>
      </c>
      <c r="D85" s="17" t="str">
        <f>IF(A85="","",MIN($F$4,C85*(1+$C$5/12)))</f>
        <v/>
      </c>
      <c r="E85" s="17" t="str">
        <f>IF(A85="","",C85*$C$5/12)</f>
        <v/>
      </c>
      <c r="F85" s="17" t="str">
        <f>IF(A85="","",D85-E85)</f>
        <v/>
      </c>
      <c r="G85" s="17" t="str">
        <f>IF(A85="","",MAX(0,C85-F85))</f>
        <v/>
      </c>
    </row>
    <row r="86">
      <c r="A86" s="15" t="str">
        <f>IF(77&gt;$F$5,"",77)</f>
        <v/>
      </c>
      <c r="B86" s="16" t="str">
        <f>IF(A86="","",EDATE($C$7,76))</f>
        <v/>
      </c>
      <c r="C86" s="17" t="str">
        <f>IF(A86="","",G85)</f>
        <v/>
      </c>
      <c r="D86" s="17" t="str">
        <f>IF(A86="","",MIN($F$4,C86*(1+$C$5/12)))</f>
        <v/>
      </c>
      <c r="E86" s="17" t="str">
        <f>IF(A86="","",C86*$C$5/12)</f>
        <v/>
      </c>
      <c r="F86" s="17" t="str">
        <f>IF(A86="","",D86-E86)</f>
        <v/>
      </c>
      <c r="G86" s="17" t="str">
        <f>IF(A86="","",MAX(0,C86-F86))</f>
        <v/>
      </c>
    </row>
    <row r="87">
      <c r="A87" s="15" t="str">
        <f>IF(78&gt;$F$5,"",78)</f>
        <v/>
      </c>
      <c r="B87" s="16" t="str">
        <f>IF(A87="","",EDATE($C$7,77))</f>
        <v/>
      </c>
      <c r="C87" s="17" t="str">
        <f>IF(A87="","",G86)</f>
        <v/>
      </c>
      <c r="D87" s="17" t="str">
        <f>IF(A87="","",MIN($F$4,C87*(1+$C$5/12)))</f>
        <v/>
      </c>
      <c r="E87" s="17" t="str">
        <f>IF(A87="","",C87*$C$5/12)</f>
        <v/>
      </c>
      <c r="F87" s="17" t="str">
        <f>IF(A87="","",D87-E87)</f>
        <v/>
      </c>
      <c r="G87" s="17" t="str">
        <f>IF(A87="","",MAX(0,C87-F87))</f>
        <v/>
      </c>
    </row>
    <row r="88">
      <c r="A88" s="15" t="str">
        <f>IF(79&gt;$F$5,"",79)</f>
        <v/>
      </c>
      <c r="B88" s="16" t="str">
        <f>IF(A88="","",EDATE($C$7,78))</f>
        <v/>
      </c>
      <c r="C88" s="17" t="str">
        <f>IF(A88="","",G87)</f>
        <v/>
      </c>
      <c r="D88" s="17" t="str">
        <f>IF(A88="","",MIN($F$4,C88*(1+$C$5/12)))</f>
        <v/>
      </c>
      <c r="E88" s="17" t="str">
        <f>IF(A88="","",C88*$C$5/12)</f>
        <v/>
      </c>
      <c r="F88" s="17" t="str">
        <f>IF(A88="","",D88-E88)</f>
        <v/>
      </c>
      <c r="G88" s="17" t="str">
        <f>IF(A88="","",MAX(0,C88-F88))</f>
        <v/>
      </c>
    </row>
    <row r="89">
      <c r="A89" s="15" t="str">
        <f>IF(80&gt;$F$5,"",80)</f>
        <v/>
      </c>
      <c r="B89" s="16" t="str">
        <f>IF(A89="","",EDATE($C$7,79))</f>
        <v/>
      </c>
      <c r="C89" s="17" t="str">
        <f>IF(A89="","",G88)</f>
        <v/>
      </c>
      <c r="D89" s="17" t="str">
        <f>IF(A89="","",MIN($F$4,C89*(1+$C$5/12)))</f>
        <v/>
      </c>
      <c r="E89" s="17" t="str">
        <f>IF(A89="","",C89*$C$5/12)</f>
        <v/>
      </c>
      <c r="F89" s="17" t="str">
        <f>IF(A89="","",D89-E89)</f>
        <v/>
      </c>
      <c r="G89" s="17" t="str">
        <f>IF(A89="","",MAX(0,C89-F89))</f>
        <v/>
      </c>
    </row>
    <row r="90">
      <c r="A90" s="15" t="str">
        <f>IF(81&gt;$F$5,"",81)</f>
        <v/>
      </c>
      <c r="B90" s="16" t="str">
        <f>IF(A90="","",EDATE($C$7,80))</f>
        <v/>
      </c>
      <c r="C90" s="17" t="str">
        <f>IF(A90="","",G89)</f>
        <v/>
      </c>
      <c r="D90" s="17" t="str">
        <f>IF(A90="","",MIN($F$4,C90*(1+$C$5/12)))</f>
        <v/>
      </c>
      <c r="E90" s="17" t="str">
        <f>IF(A90="","",C90*$C$5/12)</f>
        <v/>
      </c>
      <c r="F90" s="17" t="str">
        <f>IF(A90="","",D90-E90)</f>
        <v/>
      </c>
      <c r="G90" s="17" t="str">
        <f>IF(A90="","",MAX(0,C90-F90))</f>
        <v/>
      </c>
    </row>
    <row r="91">
      <c r="A91" s="15" t="str">
        <f>IF(82&gt;$F$5,"",82)</f>
        <v/>
      </c>
      <c r="B91" s="16" t="str">
        <f>IF(A91="","",EDATE($C$7,81))</f>
        <v/>
      </c>
      <c r="C91" s="17" t="str">
        <f>IF(A91="","",G90)</f>
        <v/>
      </c>
      <c r="D91" s="17" t="str">
        <f>IF(A91="","",MIN($F$4,C91*(1+$C$5/12)))</f>
        <v/>
      </c>
      <c r="E91" s="17" t="str">
        <f>IF(A91="","",C91*$C$5/12)</f>
        <v/>
      </c>
      <c r="F91" s="17" t="str">
        <f>IF(A91="","",D91-E91)</f>
        <v/>
      </c>
      <c r="G91" s="17" t="str">
        <f>IF(A91="","",MAX(0,C91-F91))</f>
        <v/>
      </c>
    </row>
    <row r="92">
      <c r="A92" s="15" t="str">
        <f>IF(83&gt;$F$5,"",83)</f>
        <v/>
      </c>
      <c r="B92" s="16" t="str">
        <f>IF(A92="","",EDATE($C$7,82))</f>
        <v/>
      </c>
      <c r="C92" s="17" t="str">
        <f>IF(A92="","",G91)</f>
        <v/>
      </c>
      <c r="D92" s="17" t="str">
        <f>IF(A92="","",MIN($F$4,C92*(1+$C$5/12)))</f>
        <v/>
      </c>
      <c r="E92" s="17" t="str">
        <f>IF(A92="","",C92*$C$5/12)</f>
        <v/>
      </c>
      <c r="F92" s="17" t="str">
        <f>IF(A92="","",D92-E92)</f>
        <v/>
      </c>
      <c r="G92" s="17" t="str">
        <f>IF(A92="","",MAX(0,C92-F92))</f>
        <v/>
      </c>
    </row>
    <row r="93">
      <c r="A93" s="15" t="str">
        <f>IF(84&gt;$F$5,"",84)</f>
        <v/>
      </c>
      <c r="B93" s="16" t="str">
        <f>IF(A93="","",EDATE($C$7,83))</f>
        <v/>
      </c>
      <c r="C93" s="17" t="str">
        <f>IF(A93="","",G92)</f>
        <v/>
      </c>
      <c r="D93" s="17" t="str">
        <f>IF(A93="","",MIN($F$4,C93*(1+$C$5/12)))</f>
        <v/>
      </c>
      <c r="E93" s="17" t="str">
        <f>IF(A93="","",C93*$C$5/12)</f>
        <v/>
      </c>
      <c r="F93" s="17" t="str">
        <f>IF(A93="","",D93-E93)</f>
        <v/>
      </c>
      <c r="G93" s="17" t="str">
        <f>IF(A93="","",MAX(0,C93-F93))</f>
        <v/>
      </c>
    </row>
    <row r="94">
      <c r="A94" s="15" t="str">
        <f>IF(85&gt;$F$5,"",85)</f>
        <v/>
      </c>
      <c r="B94" s="16" t="str">
        <f>IF(A94="","",EDATE($C$7,84))</f>
        <v/>
      </c>
      <c r="C94" s="17" t="str">
        <f>IF(A94="","",G93)</f>
        <v/>
      </c>
      <c r="D94" s="17" t="str">
        <f>IF(A94="","",MIN($F$4,C94*(1+$C$5/12)))</f>
        <v/>
      </c>
      <c r="E94" s="17" t="str">
        <f>IF(A94="","",C94*$C$5/12)</f>
        <v/>
      </c>
      <c r="F94" s="17" t="str">
        <f>IF(A94="","",D94-E94)</f>
        <v/>
      </c>
      <c r="G94" s="17" t="str">
        <f>IF(A94="","",MAX(0,C94-F94))</f>
        <v/>
      </c>
    </row>
    <row r="95">
      <c r="A95" s="15" t="str">
        <f>IF(86&gt;$F$5,"",86)</f>
        <v/>
      </c>
      <c r="B95" s="16" t="str">
        <f>IF(A95="","",EDATE($C$7,85))</f>
        <v/>
      </c>
      <c r="C95" s="17" t="str">
        <f>IF(A95="","",G94)</f>
        <v/>
      </c>
      <c r="D95" s="17" t="str">
        <f>IF(A95="","",MIN($F$4,C95*(1+$C$5/12)))</f>
        <v/>
      </c>
      <c r="E95" s="17" t="str">
        <f>IF(A95="","",C95*$C$5/12)</f>
        <v/>
      </c>
      <c r="F95" s="17" t="str">
        <f>IF(A95="","",D95-E95)</f>
        <v/>
      </c>
      <c r="G95" s="17" t="str">
        <f>IF(A95="","",MAX(0,C95-F95))</f>
        <v/>
      </c>
    </row>
    <row r="96">
      <c r="A96" s="15" t="str">
        <f>IF(87&gt;$F$5,"",87)</f>
        <v/>
      </c>
      <c r="B96" s="16" t="str">
        <f>IF(A96="","",EDATE($C$7,86))</f>
        <v/>
      </c>
      <c r="C96" s="17" t="str">
        <f>IF(A96="","",G95)</f>
        <v/>
      </c>
      <c r="D96" s="17" t="str">
        <f>IF(A96="","",MIN($F$4,C96*(1+$C$5/12)))</f>
        <v/>
      </c>
      <c r="E96" s="17" t="str">
        <f>IF(A96="","",C96*$C$5/12)</f>
        <v/>
      </c>
      <c r="F96" s="17" t="str">
        <f>IF(A96="","",D96-E96)</f>
        <v/>
      </c>
      <c r="G96" s="17" t="str">
        <f>IF(A96="","",MAX(0,C96-F96))</f>
        <v/>
      </c>
    </row>
    <row r="97">
      <c r="A97" s="15" t="str">
        <f>IF(88&gt;$F$5,"",88)</f>
        <v/>
      </c>
      <c r="B97" s="16" t="str">
        <f>IF(A97="","",EDATE($C$7,87))</f>
        <v/>
      </c>
      <c r="C97" s="17" t="str">
        <f>IF(A97="","",G96)</f>
        <v/>
      </c>
      <c r="D97" s="17" t="str">
        <f>IF(A97="","",MIN($F$4,C97*(1+$C$5/12)))</f>
        <v/>
      </c>
      <c r="E97" s="17" t="str">
        <f>IF(A97="","",C97*$C$5/12)</f>
        <v/>
      </c>
      <c r="F97" s="17" t="str">
        <f>IF(A97="","",D97-E97)</f>
        <v/>
      </c>
      <c r="G97" s="17" t="str">
        <f>IF(A97="","",MAX(0,C97-F97))</f>
        <v/>
      </c>
    </row>
    <row r="98">
      <c r="A98" s="15" t="str">
        <f>IF(89&gt;$F$5,"",89)</f>
        <v/>
      </c>
      <c r="B98" s="16" t="str">
        <f>IF(A98="","",EDATE($C$7,88))</f>
        <v/>
      </c>
      <c r="C98" s="17" t="str">
        <f>IF(A98="","",G97)</f>
        <v/>
      </c>
      <c r="D98" s="17" t="str">
        <f>IF(A98="","",MIN($F$4,C98*(1+$C$5/12)))</f>
        <v/>
      </c>
      <c r="E98" s="17" t="str">
        <f>IF(A98="","",C98*$C$5/12)</f>
        <v/>
      </c>
      <c r="F98" s="17" t="str">
        <f>IF(A98="","",D98-E98)</f>
        <v/>
      </c>
      <c r="G98" s="17" t="str">
        <f>IF(A98="","",MAX(0,C98-F98))</f>
        <v/>
      </c>
    </row>
    <row r="99">
      <c r="A99" s="15" t="str">
        <f>IF(90&gt;$F$5,"",90)</f>
        <v/>
      </c>
      <c r="B99" s="16" t="str">
        <f>IF(A99="","",EDATE($C$7,89))</f>
        <v/>
      </c>
      <c r="C99" s="17" t="str">
        <f>IF(A99="","",G98)</f>
        <v/>
      </c>
      <c r="D99" s="17" t="str">
        <f>IF(A99="","",MIN($F$4,C99*(1+$C$5/12)))</f>
        <v/>
      </c>
      <c r="E99" s="17" t="str">
        <f>IF(A99="","",C99*$C$5/12)</f>
        <v/>
      </c>
      <c r="F99" s="17" t="str">
        <f>IF(A99="","",D99-E99)</f>
        <v/>
      </c>
      <c r="G99" s="17" t="str">
        <f>IF(A99="","",MAX(0,C99-F99))</f>
        <v/>
      </c>
    </row>
    <row r="100">
      <c r="A100" s="15" t="str">
        <f>IF(91&gt;$F$5,"",91)</f>
        <v/>
      </c>
      <c r="B100" s="16" t="str">
        <f>IF(A100="","",EDATE($C$7,90))</f>
        <v/>
      </c>
      <c r="C100" s="17" t="str">
        <f>IF(A100="","",G99)</f>
        <v/>
      </c>
      <c r="D100" s="17" t="str">
        <f>IF(A100="","",MIN($F$4,C100*(1+$C$5/12)))</f>
        <v/>
      </c>
      <c r="E100" s="17" t="str">
        <f>IF(A100="","",C100*$C$5/12)</f>
        <v/>
      </c>
      <c r="F100" s="17" t="str">
        <f>IF(A100="","",D100-E100)</f>
        <v/>
      </c>
      <c r="G100" s="17" t="str">
        <f>IF(A100="","",MAX(0,C100-F100))</f>
        <v/>
      </c>
    </row>
    <row r="101">
      <c r="A101" s="15" t="str">
        <f>IF(92&gt;$F$5,"",92)</f>
        <v/>
      </c>
      <c r="B101" s="16" t="str">
        <f>IF(A101="","",EDATE($C$7,91))</f>
        <v/>
      </c>
      <c r="C101" s="17" t="str">
        <f>IF(A101="","",G100)</f>
        <v/>
      </c>
      <c r="D101" s="17" t="str">
        <f>IF(A101="","",MIN($F$4,C101*(1+$C$5/12)))</f>
        <v/>
      </c>
      <c r="E101" s="17" t="str">
        <f>IF(A101="","",C101*$C$5/12)</f>
        <v/>
      </c>
      <c r="F101" s="17" t="str">
        <f>IF(A101="","",D101-E101)</f>
        <v/>
      </c>
      <c r="G101" s="17" t="str">
        <f>IF(A101="","",MAX(0,C101-F101))</f>
        <v/>
      </c>
    </row>
    <row r="102">
      <c r="A102" s="15" t="str">
        <f>IF(93&gt;$F$5,"",93)</f>
        <v/>
      </c>
      <c r="B102" s="16" t="str">
        <f>IF(A102="","",EDATE($C$7,92))</f>
        <v/>
      </c>
      <c r="C102" s="17" t="str">
        <f>IF(A102="","",G101)</f>
        <v/>
      </c>
      <c r="D102" s="17" t="str">
        <f>IF(A102="","",MIN($F$4,C102*(1+$C$5/12)))</f>
        <v/>
      </c>
      <c r="E102" s="17" t="str">
        <f>IF(A102="","",C102*$C$5/12)</f>
        <v/>
      </c>
      <c r="F102" s="17" t="str">
        <f>IF(A102="","",D102-E102)</f>
        <v/>
      </c>
      <c r="G102" s="17" t="str">
        <f>IF(A102="","",MAX(0,C102-F102))</f>
        <v/>
      </c>
    </row>
    <row r="103">
      <c r="A103" s="15" t="str">
        <f>IF(94&gt;$F$5,"",94)</f>
        <v/>
      </c>
      <c r="B103" s="16" t="str">
        <f>IF(A103="","",EDATE($C$7,93))</f>
        <v/>
      </c>
      <c r="C103" s="17" t="str">
        <f>IF(A103="","",G102)</f>
        <v/>
      </c>
      <c r="D103" s="17" t="str">
        <f>IF(A103="","",MIN($F$4,C103*(1+$C$5/12)))</f>
        <v/>
      </c>
      <c r="E103" s="17" t="str">
        <f>IF(A103="","",C103*$C$5/12)</f>
        <v/>
      </c>
      <c r="F103" s="17" t="str">
        <f>IF(A103="","",D103-E103)</f>
        <v/>
      </c>
      <c r="G103" s="17" t="str">
        <f>IF(A103="","",MAX(0,C103-F103))</f>
        <v/>
      </c>
    </row>
    <row r="104">
      <c r="A104" s="15" t="str">
        <f>IF(95&gt;$F$5,"",95)</f>
        <v/>
      </c>
      <c r="B104" s="16" t="str">
        <f>IF(A104="","",EDATE($C$7,94))</f>
        <v/>
      </c>
      <c r="C104" s="17" t="str">
        <f>IF(A104="","",G103)</f>
        <v/>
      </c>
      <c r="D104" s="17" t="str">
        <f>IF(A104="","",MIN($F$4,C104*(1+$C$5/12)))</f>
        <v/>
      </c>
      <c r="E104" s="17" t="str">
        <f>IF(A104="","",C104*$C$5/12)</f>
        <v/>
      </c>
      <c r="F104" s="17" t="str">
        <f>IF(A104="","",D104-E104)</f>
        <v/>
      </c>
      <c r="G104" s="17" t="str">
        <f>IF(A104="","",MAX(0,C104-F104))</f>
        <v/>
      </c>
    </row>
    <row r="105">
      <c r="A105" s="15" t="str">
        <f>IF(96&gt;$F$5,"",96)</f>
        <v/>
      </c>
      <c r="B105" s="16" t="str">
        <f>IF(A105="","",EDATE($C$7,95))</f>
        <v/>
      </c>
      <c r="C105" s="17" t="str">
        <f>IF(A105="","",G104)</f>
        <v/>
      </c>
      <c r="D105" s="17" t="str">
        <f>IF(A105="","",MIN($F$4,C105*(1+$C$5/12)))</f>
        <v/>
      </c>
      <c r="E105" s="17" t="str">
        <f>IF(A105="","",C105*$C$5/12)</f>
        <v/>
      </c>
      <c r="F105" s="17" t="str">
        <f>IF(A105="","",D105-E105)</f>
        <v/>
      </c>
      <c r="G105" s="17" t="str">
        <f>IF(A105="","",MAX(0,C105-F105))</f>
        <v/>
      </c>
    </row>
    <row r="106">
      <c r="A106" s="15" t="str">
        <f>IF(97&gt;$F$5,"",97)</f>
        <v/>
      </c>
      <c r="B106" s="16" t="str">
        <f>IF(A106="","",EDATE($C$7,96))</f>
        <v/>
      </c>
      <c r="C106" s="17" t="str">
        <f>IF(A106="","",G105)</f>
        <v/>
      </c>
      <c r="D106" s="17" t="str">
        <f>IF(A106="","",MIN($F$4,C106*(1+$C$5/12)))</f>
        <v/>
      </c>
      <c r="E106" s="17" t="str">
        <f>IF(A106="","",C106*$C$5/12)</f>
        <v/>
      </c>
      <c r="F106" s="17" t="str">
        <f>IF(A106="","",D106-E106)</f>
        <v/>
      </c>
      <c r="G106" s="17" t="str">
        <f>IF(A106="","",MAX(0,C106-F106))</f>
        <v/>
      </c>
    </row>
    <row r="107">
      <c r="A107" s="15" t="str">
        <f>IF(98&gt;$F$5,"",98)</f>
        <v/>
      </c>
      <c r="B107" s="16" t="str">
        <f>IF(A107="","",EDATE($C$7,97))</f>
        <v/>
      </c>
      <c r="C107" s="17" t="str">
        <f>IF(A107="","",G106)</f>
        <v/>
      </c>
      <c r="D107" s="17" t="str">
        <f>IF(A107="","",MIN($F$4,C107*(1+$C$5/12)))</f>
        <v/>
      </c>
      <c r="E107" s="17" t="str">
        <f>IF(A107="","",C107*$C$5/12)</f>
        <v/>
      </c>
      <c r="F107" s="17" t="str">
        <f>IF(A107="","",D107-E107)</f>
        <v/>
      </c>
      <c r="G107" s="17" t="str">
        <f>IF(A107="","",MAX(0,C107-F107))</f>
        <v/>
      </c>
    </row>
    <row r="108">
      <c r="A108" s="15" t="str">
        <f>IF(99&gt;$F$5,"",99)</f>
        <v/>
      </c>
      <c r="B108" s="16" t="str">
        <f>IF(A108="","",EDATE($C$7,98))</f>
        <v/>
      </c>
      <c r="C108" s="17" t="str">
        <f>IF(A108="","",G107)</f>
        <v/>
      </c>
      <c r="D108" s="17" t="str">
        <f>IF(A108="","",MIN($F$4,C108*(1+$C$5/12)))</f>
        <v/>
      </c>
      <c r="E108" s="17" t="str">
        <f>IF(A108="","",C108*$C$5/12)</f>
        <v/>
      </c>
      <c r="F108" s="17" t="str">
        <f>IF(A108="","",D108-E108)</f>
        <v/>
      </c>
      <c r="G108" s="17" t="str">
        <f>IF(A108="","",MAX(0,C108-F108))</f>
        <v/>
      </c>
    </row>
    <row r="109">
      <c r="A109" s="15" t="str">
        <f>IF(100&gt;$F$5,"",100)</f>
        <v/>
      </c>
      <c r="B109" s="16" t="str">
        <f>IF(A109="","",EDATE($C$7,99))</f>
        <v/>
      </c>
      <c r="C109" s="17" t="str">
        <f>IF(A109="","",G108)</f>
        <v/>
      </c>
      <c r="D109" s="17" t="str">
        <f>IF(A109="","",MIN($F$4,C109*(1+$C$5/12)))</f>
        <v/>
      </c>
      <c r="E109" s="17" t="str">
        <f>IF(A109="","",C109*$C$5/12)</f>
        <v/>
      </c>
      <c r="F109" s="17" t="str">
        <f>IF(A109="","",D109-E109)</f>
        <v/>
      </c>
      <c r="G109" s="17" t="str">
        <f>IF(A109="","",MAX(0,C109-F109))</f>
        <v/>
      </c>
    </row>
    <row r="110">
      <c r="A110" s="15" t="str">
        <f>IF(101&gt;$F$5,"",101)</f>
        <v/>
      </c>
      <c r="B110" s="16" t="str">
        <f>IF(A110="","",EDATE($C$7,100))</f>
        <v/>
      </c>
      <c r="C110" s="17" t="str">
        <f>IF(A110="","",G109)</f>
        <v/>
      </c>
      <c r="D110" s="17" t="str">
        <f>IF(A110="","",MIN($F$4,C110*(1+$C$5/12)))</f>
        <v/>
      </c>
      <c r="E110" s="17" t="str">
        <f>IF(A110="","",C110*$C$5/12)</f>
        <v/>
      </c>
      <c r="F110" s="17" t="str">
        <f>IF(A110="","",D110-E110)</f>
        <v/>
      </c>
      <c r="G110" s="17" t="str">
        <f>IF(A110="","",MAX(0,C110-F110))</f>
        <v/>
      </c>
    </row>
    <row r="111">
      <c r="A111" s="15" t="str">
        <f>IF(102&gt;$F$5,"",102)</f>
        <v/>
      </c>
      <c r="B111" s="16" t="str">
        <f>IF(A111="","",EDATE($C$7,101))</f>
        <v/>
      </c>
      <c r="C111" s="17" t="str">
        <f>IF(A111="","",G110)</f>
        <v/>
      </c>
      <c r="D111" s="17" t="str">
        <f>IF(A111="","",MIN($F$4,C111*(1+$C$5/12)))</f>
        <v/>
      </c>
      <c r="E111" s="17" t="str">
        <f>IF(A111="","",C111*$C$5/12)</f>
        <v/>
      </c>
      <c r="F111" s="17" t="str">
        <f>IF(A111="","",D111-E111)</f>
        <v/>
      </c>
      <c r="G111" s="17" t="str">
        <f>IF(A111="","",MAX(0,C111-F111))</f>
        <v/>
      </c>
    </row>
    <row r="112">
      <c r="A112" s="15" t="str">
        <f>IF(103&gt;$F$5,"",103)</f>
        <v/>
      </c>
      <c r="B112" s="16" t="str">
        <f>IF(A112="","",EDATE($C$7,102))</f>
        <v/>
      </c>
      <c r="C112" s="17" t="str">
        <f>IF(A112="","",G111)</f>
        <v/>
      </c>
      <c r="D112" s="17" t="str">
        <f>IF(A112="","",MIN($F$4,C112*(1+$C$5/12)))</f>
        <v/>
      </c>
      <c r="E112" s="17" t="str">
        <f>IF(A112="","",C112*$C$5/12)</f>
        <v/>
      </c>
      <c r="F112" s="17" t="str">
        <f>IF(A112="","",D112-E112)</f>
        <v/>
      </c>
      <c r="G112" s="17" t="str">
        <f>IF(A112="","",MAX(0,C112-F112))</f>
        <v/>
      </c>
    </row>
    <row r="113">
      <c r="A113" s="15" t="str">
        <f>IF(104&gt;$F$5,"",104)</f>
        <v/>
      </c>
      <c r="B113" s="16" t="str">
        <f>IF(A113="","",EDATE($C$7,103))</f>
        <v/>
      </c>
      <c r="C113" s="17" t="str">
        <f>IF(A113="","",G112)</f>
        <v/>
      </c>
      <c r="D113" s="17" t="str">
        <f>IF(A113="","",MIN($F$4,C113*(1+$C$5/12)))</f>
        <v/>
      </c>
      <c r="E113" s="17" t="str">
        <f>IF(A113="","",C113*$C$5/12)</f>
        <v/>
      </c>
      <c r="F113" s="17" t="str">
        <f>IF(A113="","",D113-E113)</f>
        <v/>
      </c>
      <c r="G113" s="17" t="str">
        <f>IF(A113="","",MAX(0,C113-F113))</f>
        <v/>
      </c>
    </row>
    <row r="114">
      <c r="A114" s="15" t="str">
        <f>IF(105&gt;$F$5,"",105)</f>
        <v/>
      </c>
      <c r="B114" s="16" t="str">
        <f>IF(A114="","",EDATE($C$7,104))</f>
        <v/>
      </c>
      <c r="C114" s="17" t="str">
        <f>IF(A114="","",G113)</f>
        <v/>
      </c>
      <c r="D114" s="17" t="str">
        <f>IF(A114="","",MIN($F$4,C114*(1+$C$5/12)))</f>
        <v/>
      </c>
      <c r="E114" s="17" t="str">
        <f>IF(A114="","",C114*$C$5/12)</f>
        <v/>
      </c>
      <c r="F114" s="17" t="str">
        <f>IF(A114="","",D114-E114)</f>
        <v/>
      </c>
      <c r="G114" s="17" t="str">
        <f>IF(A114="","",MAX(0,C114-F114))</f>
        <v/>
      </c>
    </row>
    <row r="115">
      <c r="A115" s="15" t="str">
        <f>IF(106&gt;$F$5,"",106)</f>
        <v/>
      </c>
      <c r="B115" s="16" t="str">
        <f>IF(A115="","",EDATE($C$7,105))</f>
        <v/>
      </c>
      <c r="C115" s="17" t="str">
        <f>IF(A115="","",G114)</f>
        <v/>
      </c>
      <c r="D115" s="17" t="str">
        <f>IF(A115="","",MIN($F$4,C115*(1+$C$5/12)))</f>
        <v/>
      </c>
      <c r="E115" s="17" t="str">
        <f>IF(A115="","",C115*$C$5/12)</f>
        <v/>
      </c>
      <c r="F115" s="17" t="str">
        <f>IF(A115="","",D115-E115)</f>
        <v/>
      </c>
      <c r="G115" s="17" t="str">
        <f>IF(A115="","",MAX(0,C115-F115))</f>
        <v/>
      </c>
    </row>
    <row r="116">
      <c r="A116" s="15" t="str">
        <f>IF(107&gt;$F$5,"",107)</f>
        <v/>
      </c>
      <c r="B116" s="16" t="str">
        <f>IF(A116="","",EDATE($C$7,106))</f>
        <v/>
      </c>
      <c r="C116" s="17" t="str">
        <f>IF(A116="","",G115)</f>
        <v/>
      </c>
      <c r="D116" s="17" t="str">
        <f>IF(A116="","",MIN($F$4,C116*(1+$C$5/12)))</f>
        <v/>
      </c>
      <c r="E116" s="17" t="str">
        <f>IF(A116="","",C116*$C$5/12)</f>
        <v/>
      </c>
      <c r="F116" s="17" t="str">
        <f>IF(A116="","",D116-E116)</f>
        <v/>
      </c>
      <c r="G116" s="17" t="str">
        <f>IF(A116="","",MAX(0,C116-F116))</f>
        <v/>
      </c>
    </row>
    <row r="117">
      <c r="A117" s="15" t="str">
        <f>IF(108&gt;$F$5,"",108)</f>
        <v/>
      </c>
      <c r="B117" s="16" t="str">
        <f>IF(A117="","",EDATE($C$7,107))</f>
        <v/>
      </c>
      <c r="C117" s="17" t="str">
        <f>IF(A117="","",G116)</f>
        <v/>
      </c>
      <c r="D117" s="17" t="str">
        <f>IF(A117="","",MIN($F$4,C117*(1+$C$5/12)))</f>
        <v/>
      </c>
      <c r="E117" s="17" t="str">
        <f>IF(A117="","",C117*$C$5/12)</f>
        <v/>
      </c>
      <c r="F117" s="17" t="str">
        <f>IF(A117="","",D117-E117)</f>
        <v/>
      </c>
      <c r="G117" s="17" t="str">
        <f>IF(A117="","",MAX(0,C117-F117))</f>
        <v/>
      </c>
    </row>
    <row r="118">
      <c r="A118" s="15" t="str">
        <f>IF(109&gt;$F$5,"",109)</f>
        <v/>
      </c>
      <c r="B118" s="16" t="str">
        <f>IF(A118="","",EDATE($C$7,108))</f>
        <v/>
      </c>
      <c r="C118" s="17" t="str">
        <f>IF(A118="","",G117)</f>
        <v/>
      </c>
      <c r="D118" s="17" t="str">
        <f>IF(A118="","",MIN($F$4,C118*(1+$C$5/12)))</f>
        <v/>
      </c>
      <c r="E118" s="17" t="str">
        <f>IF(A118="","",C118*$C$5/12)</f>
        <v/>
      </c>
      <c r="F118" s="17" t="str">
        <f>IF(A118="","",D118-E118)</f>
        <v/>
      </c>
      <c r="G118" s="17" t="str">
        <f>IF(A118="","",MAX(0,C118-F118))</f>
        <v/>
      </c>
    </row>
    <row r="119">
      <c r="A119" s="15" t="str">
        <f>IF(110&gt;$F$5,"",110)</f>
        <v/>
      </c>
      <c r="B119" s="16" t="str">
        <f>IF(A119="","",EDATE($C$7,109))</f>
        <v/>
      </c>
      <c r="C119" s="17" t="str">
        <f>IF(A119="","",G118)</f>
        <v/>
      </c>
      <c r="D119" s="17" t="str">
        <f>IF(A119="","",MIN($F$4,C119*(1+$C$5/12)))</f>
        <v/>
      </c>
      <c r="E119" s="17" t="str">
        <f>IF(A119="","",C119*$C$5/12)</f>
        <v/>
      </c>
      <c r="F119" s="17" t="str">
        <f>IF(A119="","",D119-E119)</f>
        <v/>
      </c>
      <c r="G119" s="17" t="str">
        <f>IF(A119="","",MAX(0,C119-F119))</f>
        <v/>
      </c>
    </row>
    <row r="120">
      <c r="A120" s="15" t="str">
        <f>IF(111&gt;$F$5,"",111)</f>
        <v/>
      </c>
      <c r="B120" s="16" t="str">
        <f>IF(A120="","",EDATE($C$7,110))</f>
        <v/>
      </c>
      <c r="C120" s="17" t="str">
        <f>IF(A120="","",G119)</f>
        <v/>
      </c>
      <c r="D120" s="17" t="str">
        <f>IF(A120="","",MIN($F$4,C120*(1+$C$5/12)))</f>
        <v/>
      </c>
      <c r="E120" s="17" t="str">
        <f>IF(A120="","",C120*$C$5/12)</f>
        <v/>
      </c>
      <c r="F120" s="17" t="str">
        <f>IF(A120="","",D120-E120)</f>
        <v/>
      </c>
      <c r="G120" s="17" t="str">
        <f>IF(A120="","",MAX(0,C120-F120))</f>
        <v/>
      </c>
    </row>
    <row r="121">
      <c r="A121" s="15" t="str">
        <f>IF(112&gt;$F$5,"",112)</f>
        <v/>
      </c>
      <c r="B121" s="16" t="str">
        <f>IF(A121="","",EDATE($C$7,111))</f>
        <v/>
      </c>
      <c r="C121" s="17" t="str">
        <f>IF(A121="","",G120)</f>
        <v/>
      </c>
      <c r="D121" s="17" t="str">
        <f>IF(A121="","",MIN($F$4,C121*(1+$C$5/12)))</f>
        <v/>
      </c>
      <c r="E121" s="17" t="str">
        <f>IF(A121="","",C121*$C$5/12)</f>
        <v/>
      </c>
      <c r="F121" s="17" t="str">
        <f>IF(A121="","",D121-E121)</f>
        <v/>
      </c>
      <c r="G121" s="17" t="str">
        <f>IF(A121="","",MAX(0,C121-F121))</f>
        <v/>
      </c>
    </row>
    <row r="122">
      <c r="A122" s="15" t="str">
        <f>IF(113&gt;$F$5,"",113)</f>
        <v/>
      </c>
      <c r="B122" s="16" t="str">
        <f>IF(A122="","",EDATE($C$7,112))</f>
        <v/>
      </c>
      <c r="C122" s="17" t="str">
        <f>IF(A122="","",G121)</f>
        <v/>
      </c>
      <c r="D122" s="17" t="str">
        <f>IF(A122="","",MIN($F$4,C122*(1+$C$5/12)))</f>
        <v/>
      </c>
      <c r="E122" s="17" t="str">
        <f>IF(A122="","",C122*$C$5/12)</f>
        <v/>
      </c>
      <c r="F122" s="17" t="str">
        <f>IF(A122="","",D122-E122)</f>
        <v/>
      </c>
      <c r="G122" s="17" t="str">
        <f>IF(A122="","",MAX(0,C122-F122))</f>
        <v/>
      </c>
    </row>
    <row r="123">
      <c r="A123" s="15" t="str">
        <f>IF(114&gt;$F$5,"",114)</f>
        <v/>
      </c>
      <c r="B123" s="16" t="str">
        <f>IF(A123="","",EDATE($C$7,113))</f>
        <v/>
      </c>
      <c r="C123" s="17" t="str">
        <f>IF(A123="","",G122)</f>
        <v/>
      </c>
      <c r="D123" s="17" t="str">
        <f>IF(A123="","",MIN($F$4,C123*(1+$C$5/12)))</f>
        <v/>
      </c>
      <c r="E123" s="17" t="str">
        <f>IF(A123="","",C123*$C$5/12)</f>
        <v/>
      </c>
      <c r="F123" s="17" t="str">
        <f>IF(A123="","",D123-E123)</f>
        <v/>
      </c>
      <c r="G123" s="17" t="str">
        <f>IF(A123="","",MAX(0,C123-F123))</f>
        <v/>
      </c>
    </row>
    <row r="124">
      <c r="A124" s="15" t="str">
        <f>IF(115&gt;$F$5,"",115)</f>
        <v/>
      </c>
      <c r="B124" s="16" t="str">
        <f>IF(A124="","",EDATE($C$7,114))</f>
        <v/>
      </c>
      <c r="C124" s="17" t="str">
        <f>IF(A124="","",G123)</f>
        <v/>
      </c>
      <c r="D124" s="17" t="str">
        <f>IF(A124="","",MIN($F$4,C124*(1+$C$5/12)))</f>
        <v/>
      </c>
      <c r="E124" s="17" t="str">
        <f>IF(A124="","",C124*$C$5/12)</f>
        <v/>
      </c>
      <c r="F124" s="17" t="str">
        <f>IF(A124="","",D124-E124)</f>
        <v/>
      </c>
      <c r="G124" s="17" t="str">
        <f>IF(A124="","",MAX(0,C124-F124))</f>
        <v/>
      </c>
    </row>
    <row r="125">
      <c r="A125" s="15" t="str">
        <f>IF(116&gt;$F$5,"",116)</f>
        <v/>
      </c>
      <c r="B125" s="16" t="str">
        <f>IF(A125="","",EDATE($C$7,115))</f>
        <v/>
      </c>
      <c r="C125" s="17" t="str">
        <f>IF(A125="","",G124)</f>
        <v/>
      </c>
      <c r="D125" s="17" t="str">
        <f>IF(A125="","",MIN($F$4,C125*(1+$C$5/12)))</f>
        <v/>
      </c>
      <c r="E125" s="17" t="str">
        <f>IF(A125="","",C125*$C$5/12)</f>
        <v/>
      </c>
      <c r="F125" s="17" t="str">
        <f>IF(A125="","",D125-E125)</f>
        <v/>
      </c>
      <c r="G125" s="17" t="str">
        <f>IF(A125="","",MAX(0,C125-F125))</f>
        <v/>
      </c>
    </row>
    <row r="126">
      <c r="A126" s="15" t="str">
        <f>IF(117&gt;$F$5,"",117)</f>
        <v/>
      </c>
      <c r="B126" s="16" t="str">
        <f>IF(A126="","",EDATE($C$7,116))</f>
        <v/>
      </c>
      <c r="C126" s="17" t="str">
        <f>IF(A126="","",G125)</f>
        <v/>
      </c>
      <c r="D126" s="17" t="str">
        <f>IF(A126="","",MIN($F$4,C126*(1+$C$5/12)))</f>
        <v/>
      </c>
      <c r="E126" s="17" t="str">
        <f>IF(A126="","",C126*$C$5/12)</f>
        <v/>
      </c>
      <c r="F126" s="17" t="str">
        <f>IF(A126="","",D126-E126)</f>
        <v/>
      </c>
      <c r="G126" s="17" t="str">
        <f>IF(A126="","",MAX(0,C126-F126))</f>
        <v/>
      </c>
    </row>
    <row r="127">
      <c r="A127" s="15" t="str">
        <f>IF(118&gt;$F$5,"",118)</f>
        <v/>
      </c>
      <c r="B127" s="16" t="str">
        <f>IF(A127="","",EDATE($C$7,117))</f>
        <v/>
      </c>
      <c r="C127" s="17" t="str">
        <f>IF(A127="","",G126)</f>
        <v/>
      </c>
      <c r="D127" s="17" t="str">
        <f>IF(A127="","",MIN($F$4,C127*(1+$C$5/12)))</f>
        <v/>
      </c>
      <c r="E127" s="17" t="str">
        <f>IF(A127="","",C127*$C$5/12)</f>
        <v/>
      </c>
      <c r="F127" s="17" t="str">
        <f>IF(A127="","",D127-E127)</f>
        <v/>
      </c>
      <c r="G127" s="17" t="str">
        <f>IF(A127="","",MAX(0,C127-F127))</f>
        <v/>
      </c>
    </row>
    <row r="128">
      <c r="A128" s="15" t="str">
        <f>IF(119&gt;$F$5,"",119)</f>
        <v/>
      </c>
      <c r="B128" s="16" t="str">
        <f>IF(A128="","",EDATE($C$7,118))</f>
        <v/>
      </c>
      <c r="C128" s="17" t="str">
        <f>IF(A128="","",G127)</f>
        <v/>
      </c>
      <c r="D128" s="17" t="str">
        <f>IF(A128="","",MIN($F$4,C128*(1+$C$5/12)))</f>
        <v/>
      </c>
      <c r="E128" s="17" t="str">
        <f>IF(A128="","",C128*$C$5/12)</f>
        <v/>
      </c>
      <c r="F128" s="17" t="str">
        <f>IF(A128="","",D128-E128)</f>
        <v/>
      </c>
      <c r="G128" s="17" t="str">
        <f>IF(A128="","",MAX(0,C128-F128))</f>
        <v/>
      </c>
    </row>
    <row r="129">
      <c r="A129" s="15" t="str">
        <f>IF(120&gt;$F$5,"",120)</f>
        <v/>
      </c>
      <c r="B129" s="16" t="str">
        <f>IF(A129="","",EDATE($C$7,119))</f>
        <v/>
      </c>
      <c r="C129" s="17" t="str">
        <f>IF(A129="","",G128)</f>
        <v/>
      </c>
      <c r="D129" s="17" t="str">
        <f>IF(A129="","",MIN($F$4,C129*(1+$C$5/12)))</f>
        <v/>
      </c>
      <c r="E129" s="17" t="str">
        <f>IF(A129="","",C129*$C$5/12)</f>
        <v/>
      </c>
      <c r="F129" s="17" t="str">
        <f>IF(A129="","",D129-E129)</f>
        <v/>
      </c>
      <c r="G129" s="17" t="str">
        <f>IF(A129="","",MAX(0,C129-F129))</f>
        <v/>
      </c>
    </row>
    <row r="130">
      <c r="A130" s="15" t="str">
        <f>IF(121&gt;$F$5,"",121)</f>
        <v/>
      </c>
      <c r="B130" s="16" t="str">
        <f>IF(A130="","",EDATE($C$7,120))</f>
        <v/>
      </c>
      <c r="C130" s="17" t="str">
        <f>IF(A130="","",G129)</f>
        <v/>
      </c>
      <c r="D130" s="17" t="str">
        <f>IF(A130="","",MIN($F$4,C130*(1+$C$5/12)))</f>
        <v/>
      </c>
      <c r="E130" s="17" t="str">
        <f>IF(A130="","",C130*$C$5/12)</f>
        <v/>
      </c>
      <c r="F130" s="17" t="str">
        <f>IF(A130="","",D130-E130)</f>
        <v/>
      </c>
      <c r="G130" s="17" t="str">
        <f>IF(A130="","",MAX(0,C130-F130))</f>
        <v/>
      </c>
    </row>
    <row r="131">
      <c r="A131" s="15" t="str">
        <f>IF(122&gt;$F$5,"",122)</f>
        <v/>
      </c>
      <c r="B131" s="16" t="str">
        <f>IF(A131="","",EDATE($C$7,121))</f>
        <v/>
      </c>
      <c r="C131" s="17" t="str">
        <f>IF(A131="","",G130)</f>
        <v/>
      </c>
      <c r="D131" s="17" t="str">
        <f>IF(A131="","",MIN($F$4,C131*(1+$C$5/12)))</f>
        <v/>
      </c>
      <c r="E131" s="17" t="str">
        <f>IF(A131="","",C131*$C$5/12)</f>
        <v/>
      </c>
      <c r="F131" s="17" t="str">
        <f>IF(A131="","",D131-E131)</f>
        <v/>
      </c>
      <c r="G131" s="17" t="str">
        <f>IF(A131="","",MAX(0,C131-F131))</f>
        <v/>
      </c>
    </row>
    <row r="132">
      <c r="A132" s="15" t="str">
        <f>IF(123&gt;$F$5,"",123)</f>
        <v/>
      </c>
      <c r="B132" s="16" t="str">
        <f>IF(A132="","",EDATE($C$7,122))</f>
        <v/>
      </c>
      <c r="C132" s="17" t="str">
        <f>IF(A132="","",G131)</f>
        <v/>
      </c>
      <c r="D132" s="17" t="str">
        <f>IF(A132="","",MIN($F$4,C132*(1+$C$5/12)))</f>
        <v/>
      </c>
      <c r="E132" s="17" t="str">
        <f>IF(A132="","",C132*$C$5/12)</f>
        <v/>
      </c>
      <c r="F132" s="17" t="str">
        <f>IF(A132="","",D132-E132)</f>
        <v/>
      </c>
      <c r="G132" s="17" t="str">
        <f>IF(A132="","",MAX(0,C132-F132))</f>
        <v/>
      </c>
    </row>
    <row r="133">
      <c r="A133" s="15" t="str">
        <f>IF(124&gt;$F$5,"",124)</f>
        <v/>
      </c>
      <c r="B133" s="16" t="str">
        <f>IF(A133="","",EDATE($C$7,123))</f>
        <v/>
      </c>
      <c r="C133" s="17" t="str">
        <f>IF(A133="","",G132)</f>
        <v/>
      </c>
      <c r="D133" s="17" t="str">
        <f>IF(A133="","",MIN($F$4,C133*(1+$C$5/12)))</f>
        <v/>
      </c>
      <c r="E133" s="17" t="str">
        <f>IF(A133="","",C133*$C$5/12)</f>
        <v/>
      </c>
      <c r="F133" s="17" t="str">
        <f>IF(A133="","",D133-E133)</f>
        <v/>
      </c>
      <c r="G133" s="17" t="str">
        <f>IF(A133="","",MAX(0,C133-F133))</f>
        <v/>
      </c>
    </row>
    <row r="134">
      <c r="A134" s="15" t="str">
        <f>IF(125&gt;$F$5,"",125)</f>
        <v/>
      </c>
      <c r="B134" s="16" t="str">
        <f>IF(A134="","",EDATE($C$7,124))</f>
        <v/>
      </c>
      <c r="C134" s="17" t="str">
        <f>IF(A134="","",G133)</f>
        <v/>
      </c>
      <c r="D134" s="17" t="str">
        <f>IF(A134="","",MIN($F$4,C134*(1+$C$5/12)))</f>
        <v/>
      </c>
      <c r="E134" s="17" t="str">
        <f>IF(A134="","",C134*$C$5/12)</f>
        <v/>
      </c>
      <c r="F134" s="17" t="str">
        <f>IF(A134="","",D134-E134)</f>
        <v/>
      </c>
      <c r="G134" s="17" t="str">
        <f>IF(A134="","",MAX(0,C134-F134))</f>
        <v/>
      </c>
    </row>
    <row r="135">
      <c r="A135" s="15" t="str">
        <f>IF(126&gt;$F$5,"",126)</f>
        <v/>
      </c>
      <c r="B135" s="16" t="str">
        <f>IF(A135="","",EDATE($C$7,125))</f>
        <v/>
      </c>
      <c r="C135" s="17" t="str">
        <f>IF(A135="","",G134)</f>
        <v/>
      </c>
      <c r="D135" s="17" t="str">
        <f>IF(A135="","",MIN($F$4,C135*(1+$C$5/12)))</f>
        <v/>
      </c>
      <c r="E135" s="17" t="str">
        <f>IF(A135="","",C135*$C$5/12)</f>
        <v/>
      </c>
      <c r="F135" s="17" t="str">
        <f>IF(A135="","",D135-E135)</f>
        <v/>
      </c>
      <c r="G135" s="17" t="str">
        <f>IF(A135="","",MAX(0,C135-F135))</f>
        <v/>
      </c>
    </row>
    <row r="136">
      <c r="A136" s="15" t="str">
        <f>IF(127&gt;$F$5,"",127)</f>
        <v/>
      </c>
      <c r="B136" s="16" t="str">
        <f>IF(A136="","",EDATE($C$7,126))</f>
        <v/>
      </c>
      <c r="C136" s="17" t="str">
        <f>IF(A136="","",G135)</f>
        <v/>
      </c>
      <c r="D136" s="17" t="str">
        <f>IF(A136="","",MIN($F$4,C136*(1+$C$5/12)))</f>
        <v/>
      </c>
      <c r="E136" s="17" t="str">
        <f>IF(A136="","",C136*$C$5/12)</f>
        <v/>
      </c>
      <c r="F136" s="17" t="str">
        <f>IF(A136="","",D136-E136)</f>
        <v/>
      </c>
      <c r="G136" s="17" t="str">
        <f>IF(A136="","",MAX(0,C136-F136))</f>
        <v/>
      </c>
    </row>
    <row r="137">
      <c r="A137" s="15" t="str">
        <f>IF(128&gt;$F$5,"",128)</f>
        <v/>
      </c>
      <c r="B137" s="16" t="str">
        <f>IF(A137="","",EDATE($C$7,127))</f>
        <v/>
      </c>
      <c r="C137" s="17" t="str">
        <f>IF(A137="","",G136)</f>
        <v/>
      </c>
      <c r="D137" s="17" t="str">
        <f>IF(A137="","",MIN($F$4,C137*(1+$C$5/12)))</f>
        <v/>
      </c>
      <c r="E137" s="17" t="str">
        <f>IF(A137="","",C137*$C$5/12)</f>
        <v/>
      </c>
      <c r="F137" s="17" t="str">
        <f>IF(A137="","",D137-E137)</f>
        <v/>
      </c>
      <c r="G137" s="17" t="str">
        <f>IF(A137="","",MAX(0,C137-F137))</f>
        <v/>
      </c>
    </row>
    <row r="138">
      <c r="A138" s="15" t="str">
        <f>IF(129&gt;$F$5,"",129)</f>
        <v/>
      </c>
      <c r="B138" s="16" t="str">
        <f>IF(A138="","",EDATE($C$7,128))</f>
        <v/>
      </c>
      <c r="C138" s="17" t="str">
        <f>IF(A138="","",G137)</f>
        <v/>
      </c>
      <c r="D138" s="17" t="str">
        <f>IF(A138="","",MIN($F$4,C138*(1+$C$5/12)))</f>
        <v/>
      </c>
      <c r="E138" s="17" t="str">
        <f>IF(A138="","",C138*$C$5/12)</f>
        <v/>
      </c>
      <c r="F138" s="17" t="str">
        <f>IF(A138="","",D138-E138)</f>
        <v/>
      </c>
      <c r="G138" s="17" t="str">
        <f>IF(A138="","",MAX(0,C138-F138))</f>
        <v/>
      </c>
    </row>
    <row r="139">
      <c r="A139" s="15" t="str">
        <f>IF(130&gt;$F$5,"",130)</f>
        <v/>
      </c>
      <c r="B139" s="16" t="str">
        <f>IF(A139="","",EDATE($C$7,129))</f>
        <v/>
      </c>
      <c r="C139" s="17" t="str">
        <f>IF(A139="","",G138)</f>
        <v/>
      </c>
      <c r="D139" s="17" t="str">
        <f>IF(A139="","",MIN($F$4,C139*(1+$C$5/12)))</f>
        <v/>
      </c>
      <c r="E139" s="17" t="str">
        <f>IF(A139="","",C139*$C$5/12)</f>
        <v/>
      </c>
      <c r="F139" s="17" t="str">
        <f>IF(A139="","",D139-E139)</f>
        <v/>
      </c>
      <c r="G139" s="17" t="str">
        <f>IF(A139="","",MAX(0,C139-F139))</f>
        <v/>
      </c>
    </row>
    <row r="140">
      <c r="A140" s="15" t="str">
        <f>IF(131&gt;$F$5,"",131)</f>
        <v/>
      </c>
      <c r="B140" s="16" t="str">
        <f>IF(A140="","",EDATE($C$7,130))</f>
        <v/>
      </c>
      <c r="C140" s="17" t="str">
        <f>IF(A140="","",G139)</f>
        <v/>
      </c>
      <c r="D140" s="17" t="str">
        <f>IF(A140="","",MIN($F$4,C140*(1+$C$5/12)))</f>
        <v/>
      </c>
      <c r="E140" s="17" t="str">
        <f>IF(A140="","",C140*$C$5/12)</f>
        <v/>
      </c>
      <c r="F140" s="17" t="str">
        <f>IF(A140="","",D140-E140)</f>
        <v/>
      </c>
      <c r="G140" s="17" t="str">
        <f>IF(A140="","",MAX(0,C140-F140))</f>
        <v/>
      </c>
    </row>
    <row r="141">
      <c r="A141" s="15" t="str">
        <f>IF(132&gt;$F$5,"",132)</f>
        <v/>
      </c>
      <c r="B141" s="16" t="str">
        <f>IF(A141="","",EDATE($C$7,131))</f>
        <v/>
      </c>
      <c r="C141" s="17" t="str">
        <f>IF(A141="","",G140)</f>
        <v/>
      </c>
      <c r="D141" s="17" t="str">
        <f>IF(A141="","",MIN($F$4,C141*(1+$C$5/12)))</f>
        <v/>
      </c>
      <c r="E141" s="17" t="str">
        <f>IF(A141="","",C141*$C$5/12)</f>
        <v/>
      </c>
      <c r="F141" s="17" t="str">
        <f>IF(A141="","",D141-E141)</f>
        <v/>
      </c>
      <c r="G141" s="17" t="str">
        <f>IF(A141="","",MAX(0,C141-F141))</f>
        <v/>
      </c>
    </row>
    <row r="142">
      <c r="A142" s="15" t="str">
        <f>IF(133&gt;$F$5,"",133)</f>
        <v/>
      </c>
      <c r="B142" s="16" t="str">
        <f>IF(A142="","",EDATE($C$7,132))</f>
        <v/>
      </c>
      <c r="C142" s="17" t="str">
        <f>IF(A142="","",G141)</f>
        <v/>
      </c>
      <c r="D142" s="17" t="str">
        <f>IF(A142="","",MIN($F$4,C142*(1+$C$5/12)))</f>
        <v/>
      </c>
      <c r="E142" s="17" t="str">
        <f>IF(A142="","",C142*$C$5/12)</f>
        <v/>
      </c>
      <c r="F142" s="17" t="str">
        <f>IF(A142="","",D142-E142)</f>
        <v/>
      </c>
      <c r="G142" s="17" t="str">
        <f>IF(A142="","",MAX(0,C142-F142))</f>
        <v/>
      </c>
    </row>
    <row r="143">
      <c r="A143" s="15" t="str">
        <f>IF(134&gt;$F$5,"",134)</f>
        <v/>
      </c>
      <c r="B143" s="16" t="str">
        <f>IF(A143="","",EDATE($C$7,133))</f>
        <v/>
      </c>
      <c r="C143" s="17" t="str">
        <f>IF(A143="","",G142)</f>
        <v/>
      </c>
      <c r="D143" s="17" t="str">
        <f>IF(A143="","",MIN($F$4,C143*(1+$C$5/12)))</f>
        <v/>
      </c>
      <c r="E143" s="17" t="str">
        <f>IF(A143="","",C143*$C$5/12)</f>
        <v/>
      </c>
      <c r="F143" s="17" t="str">
        <f>IF(A143="","",D143-E143)</f>
        <v/>
      </c>
      <c r="G143" s="17" t="str">
        <f>IF(A143="","",MAX(0,C143-F143))</f>
        <v/>
      </c>
    </row>
    <row r="144">
      <c r="A144" s="15" t="str">
        <f>IF(135&gt;$F$5,"",135)</f>
        <v/>
      </c>
      <c r="B144" s="16" t="str">
        <f>IF(A144="","",EDATE($C$7,134))</f>
        <v/>
      </c>
      <c r="C144" s="17" t="str">
        <f>IF(A144="","",G143)</f>
        <v/>
      </c>
      <c r="D144" s="17" t="str">
        <f>IF(A144="","",MIN($F$4,C144*(1+$C$5/12)))</f>
        <v/>
      </c>
      <c r="E144" s="17" t="str">
        <f>IF(A144="","",C144*$C$5/12)</f>
        <v/>
      </c>
      <c r="F144" s="17" t="str">
        <f>IF(A144="","",D144-E144)</f>
        <v/>
      </c>
      <c r="G144" s="17" t="str">
        <f>IF(A144="","",MAX(0,C144-F144))</f>
        <v/>
      </c>
    </row>
    <row r="145">
      <c r="A145" s="15" t="str">
        <f>IF(136&gt;$F$5,"",136)</f>
        <v/>
      </c>
      <c r="B145" s="16" t="str">
        <f>IF(A145="","",EDATE($C$7,135))</f>
        <v/>
      </c>
      <c r="C145" s="17" t="str">
        <f>IF(A145="","",G144)</f>
        <v/>
      </c>
      <c r="D145" s="17" t="str">
        <f>IF(A145="","",MIN($F$4,C145*(1+$C$5/12)))</f>
        <v/>
      </c>
      <c r="E145" s="17" t="str">
        <f>IF(A145="","",C145*$C$5/12)</f>
        <v/>
      </c>
      <c r="F145" s="17" t="str">
        <f>IF(A145="","",D145-E145)</f>
        <v/>
      </c>
      <c r="G145" s="17" t="str">
        <f>IF(A145="","",MAX(0,C145-F145))</f>
        <v/>
      </c>
    </row>
    <row r="146">
      <c r="A146" s="15" t="str">
        <f>IF(137&gt;$F$5,"",137)</f>
        <v/>
      </c>
      <c r="B146" s="16" t="str">
        <f>IF(A146="","",EDATE($C$7,136))</f>
        <v/>
      </c>
      <c r="C146" s="17" t="str">
        <f>IF(A146="","",G145)</f>
        <v/>
      </c>
      <c r="D146" s="17" t="str">
        <f>IF(A146="","",MIN($F$4,C146*(1+$C$5/12)))</f>
        <v/>
      </c>
      <c r="E146" s="17" t="str">
        <f>IF(A146="","",C146*$C$5/12)</f>
        <v/>
      </c>
      <c r="F146" s="17" t="str">
        <f>IF(A146="","",D146-E146)</f>
        <v/>
      </c>
      <c r="G146" s="17" t="str">
        <f>IF(A146="","",MAX(0,C146-F146))</f>
        <v/>
      </c>
    </row>
    <row r="147">
      <c r="A147" s="15" t="str">
        <f>IF(138&gt;$F$5,"",138)</f>
        <v/>
      </c>
      <c r="B147" s="16" t="str">
        <f>IF(A147="","",EDATE($C$7,137))</f>
        <v/>
      </c>
      <c r="C147" s="17" t="str">
        <f>IF(A147="","",G146)</f>
        <v/>
      </c>
      <c r="D147" s="17" t="str">
        <f>IF(A147="","",MIN($F$4,C147*(1+$C$5/12)))</f>
        <v/>
      </c>
      <c r="E147" s="17" t="str">
        <f>IF(A147="","",C147*$C$5/12)</f>
        <v/>
      </c>
      <c r="F147" s="17" t="str">
        <f>IF(A147="","",D147-E147)</f>
        <v/>
      </c>
      <c r="G147" s="17" t="str">
        <f>IF(A147="","",MAX(0,C147-F147))</f>
        <v/>
      </c>
    </row>
    <row r="148">
      <c r="A148" s="15" t="str">
        <f>IF(139&gt;$F$5,"",139)</f>
        <v/>
      </c>
      <c r="B148" s="16" t="str">
        <f>IF(A148="","",EDATE($C$7,138))</f>
        <v/>
      </c>
      <c r="C148" s="17" t="str">
        <f>IF(A148="","",G147)</f>
        <v/>
      </c>
      <c r="D148" s="17" t="str">
        <f>IF(A148="","",MIN($F$4,C148*(1+$C$5/12)))</f>
        <v/>
      </c>
      <c r="E148" s="17" t="str">
        <f>IF(A148="","",C148*$C$5/12)</f>
        <v/>
      </c>
      <c r="F148" s="17" t="str">
        <f>IF(A148="","",D148-E148)</f>
        <v/>
      </c>
      <c r="G148" s="17" t="str">
        <f>IF(A148="","",MAX(0,C148-F148))</f>
        <v/>
      </c>
    </row>
    <row r="149">
      <c r="A149" s="15" t="str">
        <f>IF(140&gt;$F$5,"",140)</f>
        <v/>
      </c>
      <c r="B149" s="16" t="str">
        <f>IF(A149="","",EDATE($C$7,139))</f>
        <v/>
      </c>
      <c r="C149" s="17" t="str">
        <f>IF(A149="","",G148)</f>
        <v/>
      </c>
      <c r="D149" s="17" t="str">
        <f>IF(A149="","",MIN($F$4,C149*(1+$C$5/12)))</f>
        <v/>
      </c>
      <c r="E149" s="17" t="str">
        <f>IF(A149="","",C149*$C$5/12)</f>
        <v/>
      </c>
      <c r="F149" s="17" t="str">
        <f>IF(A149="","",D149-E149)</f>
        <v/>
      </c>
      <c r="G149" s="17" t="str">
        <f>IF(A149="","",MAX(0,C149-F149))</f>
        <v/>
      </c>
    </row>
    <row r="150">
      <c r="A150" s="15" t="str">
        <f>IF(141&gt;$F$5,"",141)</f>
        <v/>
      </c>
      <c r="B150" s="16" t="str">
        <f>IF(A150="","",EDATE($C$7,140))</f>
        <v/>
      </c>
      <c r="C150" s="17" t="str">
        <f>IF(A150="","",G149)</f>
        <v/>
      </c>
      <c r="D150" s="17" t="str">
        <f>IF(A150="","",MIN($F$4,C150*(1+$C$5/12)))</f>
        <v/>
      </c>
      <c r="E150" s="17" t="str">
        <f>IF(A150="","",C150*$C$5/12)</f>
        <v/>
      </c>
      <c r="F150" s="17" t="str">
        <f>IF(A150="","",D150-E150)</f>
        <v/>
      </c>
      <c r="G150" s="17" t="str">
        <f>IF(A150="","",MAX(0,C150-F150))</f>
        <v/>
      </c>
    </row>
    <row r="151">
      <c r="A151" s="15" t="str">
        <f>IF(142&gt;$F$5,"",142)</f>
        <v/>
      </c>
      <c r="B151" s="16" t="str">
        <f>IF(A151="","",EDATE($C$7,141))</f>
        <v/>
      </c>
      <c r="C151" s="17" t="str">
        <f>IF(A151="","",G150)</f>
        <v/>
      </c>
      <c r="D151" s="17" t="str">
        <f>IF(A151="","",MIN($F$4,C151*(1+$C$5/12)))</f>
        <v/>
      </c>
      <c r="E151" s="17" t="str">
        <f>IF(A151="","",C151*$C$5/12)</f>
        <v/>
      </c>
      <c r="F151" s="17" t="str">
        <f>IF(A151="","",D151-E151)</f>
        <v/>
      </c>
      <c r="G151" s="17" t="str">
        <f>IF(A151="","",MAX(0,C151-F151))</f>
        <v/>
      </c>
    </row>
    <row r="152">
      <c r="A152" s="15" t="str">
        <f>IF(143&gt;$F$5,"",143)</f>
        <v/>
      </c>
      <c r="B152" s="16" t="str">
        <f>IF(A152="","",EDATE($C$7,142))</f>
        <v/>
      </c>
      <c r="C152" s="17" t="str">
        <f>IF(A152="","",G151)</f>
        <v/>
      </c>
      <c r="D152" s="17" t="str">
        <f>IF(A152="","",MIN($F$4,C152*(1+$C$5/12)))</f>
        <v/>
      </c>
      <c r="E152" s="17" t="str">
        <f>IF(A152="","",C152*$C$5/12)</f>
        <v/>
      </c>
      <c r="F152" s="17" t="str">
        <f>IF(A152="","",D152-E152)</f>
        <v/>
      </c>
      <c r="G152" s="17" t="str">
        <f>IF(A152="","",MAX(0,C152-F152))</f>
        <v/>
      </c>
    </row>
    <row r="153">
      <c r="A153" s="15" t="str">
        <f>IF(144&gt;$F$5,"",144)</f>
        <v/>
      </c>
      <c r="B153" s="16" t="str">
        <f>IF(A153="","",EDATE($C$7,143))</f>
        <v/>
      </c>
      <c r="C153" s="17" t="str">
        <f>IF(A153="","",G152)</f>
        <v/>
      </c>
      <c r="D153" s="17" t="str">
        <f>IF(A153="","",MIN($F$4,C153*(1+$C$5/12)))</f>
        <v/>
      </c>
      <c r="E153" s="17" t="str">
        <f>IF(A153="","",C153*$C$5/12)</f>
        <v/>
      </c>
      <c r="F153" s="17" t="str">
        <f>IF(A153="","",D153-E153)</f>
        <v/>
      </c>
      <c r="G153" s="17" t="str">
        <f>IF(A153="","",MAX(0,C153-F153))</f>
        <v/>
      </c>
    </row>
    <row r="154">
      <c r="A154" s="15" t="str">
        <f>IF(145&gt;$F$5,"",145)</f>
        <v/>
      </c>
      <c r="B154" s="16" t="str">
        <f>IF(A154="","",EDATE($C$7,144))</f>
        <v/>
      </c>
      <c r="C154" s="17" t="str">
        <f>IF(A154="","",G153)</f>
        <v/>
      </c>
      <c r="D154" s="17" t="str">
        <f>IF(A154="","",MIN($F$4,C154*(1+$C$5/12)))</f>
        <v/>
      </c>
      <c r="E154" s="17" t="str">
        <f>IF(A154="","",C154*$C$5/12)</f>
        <v/>
      </c>
      <c r="F154" s="17" t="str">
        <f>IF(A154="","",D154-E154)</f>
        <v/>
      </c>
      <c r="G154" s="17" t="str">
        <f>IF(A154="","",MAX(0,C154-F154))</f>
        <v/>
      </c>
    </row>
    <row r="155">
      <c r="A155" s="15" t="str">
        <f>IF(146&gt;$F$5,"",146)</f>
        <v/>
      </c>
      <c r="B155" s="16" t="str">
        <f>IF(A155="","",EDATE($C$7,145))</f>
        <v/>
      </c>
      <c r="C155" s="17" t="str">
        <f>IF(A155="","",G154)</f>
        <v/>
      </c>
      <c r="D155" s="17" t="str">
        <f>IF(A155="","",MIN($F$4,C155*(1+$C$5/12)))</f>
        <v/>
      </c>
      <c r="E155" s="17" t="str">
        <f>IF(A155="","",C155*$C$5/12)</f>
        <v/>
      </c>
      <c r="F155" s="17" t="str">
        <f>IF(A155="","",D155-E155)</f>
        <v/>
      </c>
      <c r="G155" s="17" t="str">
        <f>IF(A155="","",MAX(0,C155-F155))</f>
        <v/>
      </c>
    </row>
    <row r="156">
      <c r="A156" s="15" t="str">
        <f>IF(147&gt;$F$5,"",147)</f>
        <v/>
      </c>
      <c r="B156" s="16" t="str">
        <f>IF(A156="","",EDATE($C$7,146))</f>
        <v/>
      </c>
      <c r="C156" s="17" t="str">
        <f>IF(A156="","",G155)</f>
        <v/>
      </c>
      <c r="D156" s="17" t="str">
        <f>IF(A156="","",MIN($F$4,C156*(1+$C$5/12)))</f>
        <v/>
      </c>
      <c r="E156" s="17" t="str">
        <f>IF(A156="","",C156*$C$5/12)</f>
        <v/>
      </c>
      <c r="F156" s="17" t="str">
        <f>IF(A156="","",D156-E156)</f>
        <v/>
      </c>
      <c r="G156" s="17" t="str">
        <f>IF(A156="","",MAX(0,C156-F156))</f>
        <v/>
      </c>
    </row>
    <row r="157">
      <c r="A157" s="15" t="str">
        <f>IF(148&gt;$F$5,"",148)</f>
        <v/>
      </c>
      <c r="B157" s="16" t="str">
        <f>IF(A157="","",EDATE($C$7,147))</f>
        <v/>
      </c>
      <c r="C157" s="17" t="str">
        <f>IF(A157="","",G156)</f>
        <v/>
      </c>
      <c r="D157" s="17" t="str">
        <f>IF(A157="","",MIN($F$4,C157*(1+$C$5/12)))</f>
        <v/>
      </c>
      <c r="E157" s="17" t="str">
        <f>IF(A157="","",C157*$C$5/12)</f>
        <v/>
      </c>
      <c r="F157" s="17" t="str">
        <f>IF(A157="","",D157-E157)</f>
        <v/>
      </c>
      <c r="G157" s="17" t="str">
        <f>IF(A157="","",MAX(0,C157-F157))</f>
        <v/>
      </c>
    </row>
    <row r="158">
      <c r="A158" s="15" t="str">
        <f>IF(149&gt;$F$5,"",149)</f>
        <v/>
      </c>
      <c r="B158" s="16" t="str">
        <f>IF(A158="","",EDATE($C$7,148))</f>
        <v/>
      </c>
      <c r="C158" s="17" t="str">
        <f>IF(A158="","",G157)</f>
        <v/>
      </c>
      <c r="D158" s="17" t="str">
        <f>IF(A158="","",MIN($F$4,C158*(1+$C$5/12)))</f>
        <v/>
      </c>
      <c r="E158" s="17" t="str">
        <f>IF(A158="","",C158*$C$5/12)</f>
        <v/>
      </c>
      <c r="F158" s="17" t="str">
        <f>IF(A158="","",D158-E158)</f>
        <v/>
      </c>
      <c r="G158" s="17" t="str">
        <f>IF(A158="","",MAX(0,C158-F158))</f>
        <v/>
      </c>
    </row>
    <row r="159">
      <c r="A159" s="15" t="str">
        <f>IF(150&gt;$F$5,"",150)</f>
        <v/>
      </c>
      <c r="B159" s="16" t="str">
        <f>IF(A159="","",EDATE($C$7,149))</f>
        <v/>
      </c>
      <c r="C159" s="17" t="str">
        <f>IF(A159="","",G158)</f>
        <v/>
      </c>
      <c r="D159" s="17" t="str">
        <f>IF(A159="","",MIN($F$4,C159*(1+$C$5/12)))</f>
        <v/>
      </c>
      <c r="E159" s="17" t="str">
        <f>IF(A159="","",C159*$C$5/12)</f>
        <v/>
      </c>
      <c r="F159" s="17" t="str">
        <f>IF(A159="","",D159-E159)</f>
        <v/>
      </c>
      <c r="G159" s="17" t="str">
        <f>IF(A159="","",MAX(0,C159-F159))</f>
        <v/>
      </c>
    </row>
    <row r="160">
      <c r="A160" s="15" t="str">
        <f>IF(151&gt;$F$5,"",151)</f>
        <v/>
      </c>
      <c r="B160" s="16" t="str">
        <f>IF(A160="","",EDATE($C$7,150))</f>
        <v/>
      </c>
      <c r="C160" s="17" t="str">
        <f>IF(A160="","",G159)</f>
        <v/>
      </c>
      <c r="D160" s="17" t="str">
        <f>IF(A160="","",MIN($F$4,C160*(1+$C$5/12)))</f>
        <v/>
      </c>
      <c r="E160" s="17" t="str">
        <f>IF(A160="","",C160*$C$5/12)</f>
        <v/>
      </c>
      <c r="F160" s="17" t="str">
        <f>IF(A160="","",D160-E160)</f>
        <v/>
      </c>
      <c r="G160" s="17" t="str">
        <f>IF(A160="","",MAX(0,C160-F160))</f>
        <v/>
      </c>
    </row>
    <row r="161">
      <c r="A161" s="15" t="str">
        <f>IF(152&gt;$F$5,"",152)</f>
        <v/>
      </c>
      <c r="B161" s="16" t="str">
        <f>IF(A161="","",EDATE($C$7,151))</f>
        <v/>
      </c>
      <c r="C161" s="17" t="str">
        <f>IF(A161="","",G160)</f>
        <v/>
      </c>
      <c r="D161" s="17" t="str">
        <f>IF(A161="","",MIN($F$4,C161*(1+$C$5/12)))</f>
        <v/>
      </c>
      <c r="E161" s="17" t="str">
        <f>IF(A161="","",C161*$C$5/12)</f>
        <v/>
      </c>
      <c r="F161" s="17" t="str">
        <f>IF(A161="","",D161-E161)</f>
        <v/>
      </c>
      <c r="G161" s="17" t="str">
        <f>IF(A161="","",MAX(0,C161-F161))</f>
        <v/>
      </c>
    </row>
    <row r="162">
      <c r="A162" s="15" t="str">
        <f>IF(153&gt;$F$5,"",153)</f>
        <v/>
      </c>
      <c r="B162" s="16" t="str">
        <f>IF(A162="","",EDATE($C$7,152))</f>
        <v/>
      </c>
      <c r="C162" s="17" t="str">
        <f>IF(A162="","",G161)</f>
        <v/>
      </c>
      <c r="D162" s="17" t="str">
        <f>IF(A162="","",MIN($F$4,C162*(1+$C$5/12)))</f>
        <v/>
      </c>
      <c r="E162" s="17" t="str">
        <f>IF(A162="","",C162*$C$5/12)</f>
        <v/>
      </c>
      <c r="F162" s="17" t="str">
        <f>IF(A162="","",D162-E162)</f>
        <v/>
      </c>
      <c r="G162" s="17" t="str">
        <f>IF(A162="","",MAX(0,C162-F162))</f>
        <v/>
      </c>
    </row>
    <row r="163">
      <c r="A163" s="15" t="str">
        <f>IF(154&gt;$F$5,"",154)</f>
        <v/>
      </c>
      <c r="B163" s="16" t="str">
        <f>IF(A163="","",EDATE($C$7,153))</f>
        <v/>
      </c>
      <c r="C163" s="17" t="str">
        <f>IF(A163="","",G162)</f>
        <v/>
      </c>
      <c r="D163" s="17" t="str">
        <f>IF(A163="","",MIN($F$4,C163*(1+$C$5/12)))</f>
        <v/>
      </c>
      <c r="E163" s="17" t="str">
        <f>IF(A163="","",C163*$C$5/12)</f>
        <v/>
      </c>
      <c r="F163" s="17" t="str">
        <f>IF(A163="","",D163-E163)</f>
        <v/>
      </c>
      <c r="G163" s="17" t="str">
        <f>IF(A163="","",MAX(0,C163-F163))</f>
        <v/>
      </c>
    </row>
    <row r="164">
      <c r="A164" s="15" t="str">
        <f>IF(155&gt;$F$5,"",155)</f>
        <v/>
      </c>
      <c r="B164" s="16" t="str">
        <f>IF(A164="","",EDATE($C$7,154))</f>
        <v/>
      </c>
      <c r="C164" s="17" t="str">
        <f>IF(A164="","",G163)</f>
        <v/>
      </c>
      <c r="D164" s="17" t="str">
        <f>IF(A164="","",MIN($F$4,C164*(1+$C$5/12)))</f>
        <v/>
      </c>
      <c r="E164" s="17" t="str">
        <f>IF(A164="","",C164*$C$5/12)</f>
        <v/>
      </c>
      <c r="F164" s="17" t="str">
        <f>IF(A164="","",D164-E164)</f>
        <v/>
      </c>
      <c r="G164" s="17" t="str">
        <f>IF(A164="","",MAX(0,C164-F164))</f>
        <v/>
      </c>
    </row>
    <row r="165">
      <c r="A165" s="15" t="str">
        <f>IF(156&gt;$F$5,"",156)</f>
        <v/>
      </c>
      <c r="B165" s="16" t="str">
        <f>IF(A165="","",EDATE($C$7,155))</f>
        <v/>
      </c>
      <c r="C165" s="17" t="str">
        <f>IF(A165="","",G164)</f>
        <v/>
      </c>
      <c r="D165" s="17" t="str">
        <f>IF(A165="","",MIN($F$4,C165*(1+$C$5/12)))</f>
        <v/>
      </c>
      <c r="E165" s="17" t="str">
        <f>IF(A165="","",C165*$C$5/12)</f>
        <v/>
      </c>
      <c r="F165" s="17" t="str">
        <f>IF(A165="","",D165-E165)</f>
        <v/>
      </c>
      <c r="G165" s="17" t="str">
        <f>IF(A165="","",MAX(0,C165-F165))</f>
        <v/>
      </c>
    </row>
    <row r="166">
      <c r="A166" s="15" t="str">
        <f>IF(157&gt;$F$5,"",157)</f>
        <v/>
      </c>
      <c r="B166" s="16" t="str">
        <f>IF(A166="","",EDATE($C$7,156))</f>
        <v/>
      </c>
      <c r="C166" s="17" t="str">
        <f>IF(A166="","",G165)</f>
        <v/>
      </c>
      <c r="D166" s="17" t="str">
        <f>IF(A166="","",MIN($F$4,C166*(1+$C$5/12)))</f>
        <v/>
      </c>
      <c r="E166" s="17" t="str">
        <f>IF(A166="","",C166*$C$5/12)</f>
        <v/>
      </c>
      <c r="F166" s="17" t="str">
        <f>IF(A166="","",D166-E166)</f>
        <v/>
      </c>
      <c r="G166" s="17" t="str">
        <f>IF(A166="","",MAX(0,C166-F166))</f>
        <v/>
      </c>
    </row>
    <row r="167">
      <c r="A167" s="15" t="str">
        <f>IF(158&gt;$F$5,"",158)</f>
        <v/>
      </c>
      <c r="B167" s="16" t="str">
        <f>IF(A167="","",EDATE($C$7,157))</f>
        <v/>
      </c>
      <c r="C167" s="17" t="str">
        <f>IF(A167="","",G166)</f>
        <v/>
      </c>
      <c r="D167" s="17" t="str">
        <f>IF(A167="","",MIN($F$4,C167*(1+$C$5/12)))</f>
        <v/>
      </c>
      <c r="E167" s="17" t="str">
        <f>IF(A167="","",C167*$C$5/12)</f>
        <v/>
      </c>
      <c r="F167" s="17" t="str">
        <f>IF(A167="","",D167-E167)</f>
        <v/>
      </c>
      <c r="G167" s="17" t="str">
        <f>IF(A167="","",MAX(0,C167-F167))</f>
        <v/>
      </c>
    </row>
    <row r="168">
      <c r="A168" s="15" t="str">
        <f>IF(159&gt;$F$5,"",159)</f>
        <v/>
      </c>
      <c r="B168" s="16" t="str">
        <f>IF(A168="","",EDATE($C$7,158))</f>
        <v/>
      </c>
      <c r="C168" s="17" t="str">
        <f>IF(A168="","",G167)</f>
        <v/>
      </c>
      <c r="D168" s="17" t="str">
        <f>IF(A168="","",MIN($F$4,C168*(1+$C$5/12)))</f>
        <v/>
      </c>
      <c r="E168" s="17" t="str">
        <f>IF(A168="","",C168*$C$5/12)</f>
        <v/>
      </c>
      <c r="F168" s="17" t="str">
        <f>IF(A168="","",D168-E168)</f>
        <v/>
      </c>
      <c r="G168" s="17" t="str">
        <f>IF(A168="","",MAX(0,C168-F168))</f>
        <v/>
      </c>
    </row>
    <row r="169">
      <c r="A169" s="15" t="str">
        <f>IF(160&gt;$F$5,"",160)</f>
        <v/>
      </c>
      <c r="B169" s="16" t="str">
        <f>IF(A169="","",EDATE($C$7,159))</f>
        <v/>
      </c>
      <c r="C169" s="17" t="str">
        <f>IF(A169="","",G168)</f>
        <v/>
      </c>
      <c r="D169" s="17" t="str">
        <f>IF(A169="","",MIN($F$4,C169*(1+$C$5/12)))</f>
        <v/>
      </c>
      <c r="E169" s="17" t="str">
        <f>IF(A169="","",C169*$C$5/12)</f>
        <v/>
      </c>
      <c r="F169" s="17" t="str">
        <f>IF(A169="","",D169-E169)</f>
        <v/>
      </c>
      <c r="G169" s="17" t="str">
        <f>IF(A169="","",MAX(0,C169-F169))</f>
        <v/>
      </c>
    </row>
    <row r="170">
      <c r="A170" s="15" t="str">
        <f>IF(161&gt;$F$5,"",161)</f>
        <v/>
      </c>
      <c r="B170" s="16" t="str">
        <f>IF(A170="","",EDATE($C$7,160))</f>
        <v/>
      </c>
      <c r="C170" s="17" t="str">
        <f>IF(A170="","",G169)</f>
        <v/>
      </c>
      <c r="D170" s="17" t="str">
        <f>IF(A170="","",MIN($F$4,C170*(1+$C$5/12)))</f>
        <v/>
      </c>
      <c r="E170" s="17" t="str">
        <f>IF(A170="","",C170*$C$5/12)</f>
        <v/>
      </c>
      <c r="F170" s="17" t="str">
        <f>IF(A170="","",D170-E170)</f>
        <v/>
      </c>
      <c r="G170" s="17" t="str">
        <f>IF(A170="","",MAX(0,C170-F170))</f>
        <v/>
      </c>
    </row>
    <row r="171">
      <c r="A171" s="15" t="str">
        <f>IF(162&gt;$F$5,"",162)</f>
        <v/>
      </c>
      <c r="B171" s="16" t="str">
        <f>IF(A171="","",EDATE($C$7,161))</f>
        <v/>
      </c>
      <c r="C171" s="17" t="str">
        <f>IF(A171="","",G170)</f>
        <v/>
      </c>
      <c r="D171" s="17" t="str">
        <f>IF(A171="","",MIN($F$4,C171*(1+$C$5/12)))</f>
        <v/>
      </c>
      <c r="E171" s="17" t="str">
        <f>IF(A171="","",C171*$C$5/12)</f>
        <v/>
      </c>
      <c r="F171" s="17" t="str">
        <f>IF(A171="","",D171-E171)</f>
        <v/>
      </c>
      <c r="G171" s="17" t="str">
        <f>IF(A171="","",MAX(0,C171-F171))</f>
        <v/>
      </c>
    </row>
    <row r="172">
      <c r="A172" s="15" t="str">
        <f>IF(163&gt;$F$5,"",163)</f>
        <v/>
      </c>
      <c r="B172" s="16" t="str">
        <f>IF(A172="","",EDATE($C$7,162))</f>
        <v/>
      </c>
      <c r="C172" s="17" t="str">
        <f>IF(A172="","",G171)</f>
        <v/>
      </c>
      <c r="D172" s="17" t="str">
        <f>IF(A172="","",MIN($F$4,C172*(1+$C$5/12)))</f>
        <v/>
      </c>
      <c r="E172" s="17" t="str">
        <f>IF(A172="","",C172*$C$5/12)</f>
        <v/>
      </c>
      <c r="F172" s="17" t="str">
        <f>IF(A172="","",D172-E172)</f>
        <v/>
      </c>
      <c r="G172" s="17" t="str">
        <f>IF(A172="","",MAX(0,C172-F172))</f>
        <v/>
      </c>
    </row>
    <row r="173">
      <c r="A173" s="15" t="str">
        <f>IF(164&gt;$F$5,"",164)</f>
        <v/>
      </c>
      <c r="B173" s="16" t="str">
        <f>IF(A173="","",EDATE($C$7,163))</f>
        <v/>
      </c>
      <c r="C173" s="17" t="str">
        <f>IF(A173="","",G172)</f>
        <v/>
      </c>
      <c r="D173" s="17" t="str">
        <f>IF(A173="","",MIN($F$4,C173*(1+$C$5/12)))</f>
        <v/>
      </c>
      <c r="E173" s="17" t="str">
        <f>IF(A173="","",C173*$C$5/12)</f>
        <v/>
      </c>
      <c r="F173" s="17" t="str">
        <f>IF(A173="","",D173-E173)</f>
        <v/>
      </c>
      <c r="G173" s="17" t="str">
        <f>IF(A173="","",MAX(0,C173-F173))</f>
        <v/>
      </c>
    </row>
    <row r="174">
      <c r="A174" s="15" t="str">
        <f>IF(165&gt;$F$5,"",165)</f>
        <v/>
      </c>
      <c r="B174" s="16" t="str">
        <f>IF(A174="","",EDATE($C$7,164))</f>
        <v/>
      </c>
      <c r="C174" s="17" t="str">
        <f>IF(A174="","",G173)</f>
        <v/>
      </c>
      <c r="D174" s="17" t="str">
        <f>IF(A174="","",MIN($F$4,C174*(1+$C$5/12)))</f>
        <v/>
      </c>
      <c r="E174" s="17" t="str">
        <f>IF(A174="","",C174*$C$5/12)</f>
        <v/>
      </c>
      <c r="F174" s="17" t="str">
        <f>IF(A174="","",D174-E174)</f>
        <v/>
      </c>
      <c r="G174" s="17" t="str">
        <f>IF(A174="","",MAX(0,C174-F174))</f>
        <v/>
      </c>
    </row>
    <row r="175">
      <c r="A175" s="15" t="str">
        <f>IF(166&gt;$F$5,"",166)</f>
        <v/>
      </c>
      <c r="B175" s="16" t="str">
        <f>IF(A175="","",EDATE($C$7,165))</f>
        <v/>
      </c>
      <c r="C175" s="17" t="str">
        <f>IF(A175="","",G174)</f>
        <v/>
      </c>
      <c r="D175" s="17" t="str">
        <f>IF(A175="","",MIN($F$4,C175*(1+$C$5/12)))</f>
        <v/>
      </c>
      <c r="E175" s="17" t="str">
        <f>IF(A175="","",C175*$C$5/12)</f>
        <v/>
      </c>
      <c r="F175" s="17" t="str">
        <f>IF(A175="","",D175-E175)</f>
        <v/>
      </c>
      <c r="G175" s="17" t="str">
        <f>IF(A175="","",MAX(0,C175-F175))</f>
        <v/>
      </c>
    </row>
    <row r="176">
      <c r="A176" s="15" t="str">
        <f>IF(167&gt;$F$5,"",167)</f>
        <v/>
      </c>
      <c r="B176" s="16" t="str">
        <f>IF(A176="","",EDATE($C$7,166))</f>
        <v/>
      </c>
      <c r="C176" s="17" t="str">
        <f>IF(A176="","",G175)</f>
        <v/>
      </c>
      <c r="D176" s="17" t="str">
        <f>IF(A176="","",MIN($F$4,C176*(1+$C$5/12)))</f>
        <v/>
      </c>
      <c r="E176" s="17" t="str">
        <f>IF(A176="","",C176*$C$5/12)</f>
        <v/>
      </c>
      <c r="F176" s="17" t="str">
        <f>IF(A176="","",D176-E176)</f>
        <v/>
      </c>
      <c r="G176" s="17" t="str">
        <f>IF(A176="","",MAX(0,C176-F176))</f>
        <v/>
      </c>
    </row>
    <row r="177">
      <c r="A177" s="15" t="str">
        <f>IF(168&gt;$F$5,"",168)</f>
        <v/>
      </c>
      <c r="B177" s="16" t="str">
        <f>IF(A177="","",EDATE($C$7,167))</f>
        <v/>
      </c>
      <c r="C177" s="17" t="str">
        <f>IF(A177="","",G176)</f>
        <v/>
      </c>
      <c r="D177" s="17" t="str">
        <f>IF(A177="","",MIN($F$4,C177*(1+$C$5/12)))</f>
        <v/>
      </c>
      <c r="E177" s="17" t="str">
        <f>IF(A177="","",C177*$C$5/12)</f>
        <v/>
      </c>
      <c r="F177" s="17" t="str">
        <f>IF(A177="","",D177-E177)</f>
        <v/>
      </c>
      <c r="G177" s="17" t="str">
        <f>IF(A177="","",MAX(0,C177-F177))</f>
        <v/>
      </c>
    </row>
    <row r="178">
      <c r="A178" s="15" t="str">
        <f>IF(169&gt;$F$5,"",169)</f>
        <v/>
      </c>
      <c r="B178" s="16" t="str">
        <f>IF(A178="","",EDATE($C$7,168))</f>
        <v/>
      </c>
      <c r="C178" s="17" t="str">
        <f>IF(A178="","",G177)</f>
        <v/>
      </c>
      <c r="D178" s="17" t="str">
        <f>IF(A178="","",MIN($F$4,C178*(1+$C$5/12)))</f>
        <v/>
      </c>
      <c r="E178" s="17" t="str">
        <f>IF(A178="","",C178*$C$5/12)</f>
        <v/>
      </c>
      <c r="F178" s="17" t="str">
        <f>IF(A178="","",D178-E178)</f>
        <v/>
      </c>
      <c r="G178" s="17" t="str">
        <f>IF(A178="","",MAX(0,C178-F178))</f>
        <v/>
      </c>
    </row>
    <row r="179">
      <c r="A179" s="15" t="str">
        <f>IF(170&gt;$F$5,"",170)</f>
        <v/>
      </c>
      <c r="B179" s="16" t="str">
        <f>IF(A179="","",EDATE($C$7,169))</f>
        <v/>
      </c>
      <c r="C179" s="17" t="str">
        <f>IF(A179="","",G178)</f>
        <v/>
      </c>
      <c r="D179" s="17" t="str">
        <f>IF(A179="","",MIN($F$4,C179*(1+$C$5/12)))</f>
        <v/>
      </c>
      <c r="E179" s="17" t="str">
        <f>IF(A179="","",C179*$C$5/12)</f>
        <v/>
      </c>
      <c r="F179" s="17" t="str">
        <f>IF(A179="","",D179-E179)</f>
        <v/>
      </c>
      <c r="G179" s="17" t="str">
        <f>IF(A179="","",MAX(0,C179-F179))</f>
        <v/>
      </c>
    </row>
    <row r="180">
      <c r="A180" s="15" t="str">
        <f>IF(171&gt;$F$5,"",171)</f>
        <v/>
      </c>
      <c r="B180" s="16" t="str">
        <f>IF(A180="","",EDATE($C$7,170))</f>
        <v/>
      </c>
      <c r="C180" s="17" t="str">
        <f>IF(A180="","",G179)</f>
        <v/>
      </c>
      <c r="D180" s="17" t="str">
        <f>IF(A180="","",MIN($F$4,C180*(1+$C$5/12)))</f>
        <v/>
      </c>
      <c r="E180" s="17" t="str">
        <f>IF(A180="","",C180*$C$5/12)</f>
        <v/>
      </c>
      <c r="F180" s="17" t="str">
        <f>IF(A180="","",D180-E180)</f>
        <v/>
      </c>
      <c r="G180" s="17" t="str">
        <f>IF(A180="","",MAX(0,C180-F180))</f>
        <v/>
      </c>
    </row>
    <row r="181">
      <c r="A181" s="15" t="str">
        <f>IF(172&gt;$F$5,"",172)</f>
        <v/>
      </c>
      <c r="B181" s="16" t="str">
        <f>IF(A181="","",EDATE($C$7,171))</f>
        <v/>
      </c>
      <c r="C181" s="17" t="str">
        <f>IF(A181="","",G180)</f>
        <v/>
      </c>
      <c r="D181" s="17" t="str">
        <f>IF(A181="","",MIN($F$4,C181*(1+$C$5/12)))</f>
        <v/>
      </c>
      <c r="E181" s="17" t="str">
        <f>IF(A181="","",C181*$C$5/12)</f>
        <v/>
      </c>
      <c r="F181" s="17" t="str">
        <f>IF(A181="","",D181-E181)</f>
        <v/>
      </c>
      <c r="G181" s="17" t="str">
        <f>IF(A181="","",MAX(0,C181-F181))</f>
        <v/>
      </c>
    </row>
    <row r="182">
      <c r="A182" s="15" t="str">
        <f>IF(173&gt;$F$5,"",173)</f>
        <v/>
      </c>
      <c r="B182" s="16" t="str">
        <f>IF(A182="","",EDATE($C$7,172))</f>
        <v/>
      </c>
      <c r="C182" s="17" t="str">
        <f>IF(A182="","",G181)</f>
        <v/>
      </c>
      <c r="D182" s="17" t="str">
        <f>IF(A182="","",MIN($F$4,C182*(1+$C$5/12)))</f>
        <v/>
      </c>
      <c r="E182" s="17" t="str">
        <f>IF(A182="","",C182*$C$5/12)</f>
        <v/>
      </c>
      <c r="F182" s="17" t="str">
        <f>IF(A182="","",D182-E182)</f>
        <v/>
      </c>
      <c r="G182" s="17" t="str">
        <f>IF(A182="","",MAX(0,C182-F182))</f>
        <v/>
      </c>
    </row>
    <row r="183">
      <c r="A183" s="15" t="str">
        <f>IF(174&gt;$F$5,"",174)</f>
        <v/>
      </c>
      <c r="B183" s="16" t="str">
        <f>IF(A183="","",EDATE($C$7,173))</f>
        <v/>
      </c>
      <c r="C183" s="17" t="str">
        <f>IF(A183="","",G182)</f>
        <v/>
      </c>
      <c r="D183" s="17" t="str">
        <f>IF(A183="","",MIN($F$4,C183*(1+$C$5/12)))</f>
        <v/>
      </c>
      <c r="E183" s="17" t="str">
        <f>IF(A183="","",C183*$C$5/12)</f>
        <v/>
      </c>
      <c r="F183" s="17" t="str">
        <f>IF(A183="","",D183-E183)</f>
        <v/>
      </c>
      <c r="G183" s="17" t="str">
        <f>IF(A183="","",MAX(0,C183-F183))</f>
        <v/>
      </c>
    </row>
    <row r="184">
      <c r="A184" s="15" t="str">
        <f>IF(175&gt;$F$5,"",175)</f>
        <v/>
      </c>
      <c r="B184" s="16" t="str">
        <f>IF(A184="","",EDATE($C$7,174))</f>
        <v/>
      </c>
      <c r="C184" s="17" t="str">
        <f>IF(A184="","",G183)</f>
        <v/>
      </c>
      <c r="D184" s="17" t="str">
        <f>IF(A184="","",MIN($F$4,C184*(1+$C$5/12)))</f>
        <v/>
      </c>
      <c r="E184" s="17" t="str">
        <f>IF(A184="","",C184*$C$5/12)</f>
        <v/>
      </c>
      <c r="F184" s="17" t="str">
        <f>IF(A184="","",D184-E184)</f>
        <v/>
      </c>
      <c r="G184" s="17" t="str">
        <f>IF(A184="","",MAX(0,C184-F184))</f>
        <v/>
      </c>
    </row>
    <row r="185">
      <c r="A185" s="15" t="str">
        <f>IF(176&gt;$F$5,"",176)</f>
        <v/>
      </c>
      <c r="B185" s="16" t="str">
        <f>IF(A185="","",EDATE($C$7,175))</f>
        <v/>
      </c>
      <c r="C185" s="17" t="str">
        <f>IF(A185="","",G184)</f>
        <v/>
      </c>
      <c r="D185" s="17" t="str">
        <f>IF(A185="","",MIN($F$4,C185*(1+$C$5/12)))</f>
        <v/>
      </c>
      <c r="E185" s="17" t="str">
        <f>IF(A185="","",C185*$C$5/12)</f>
        <v/>
      </c>
      <c r="F185" s="17" t="str">
        <f>IF(A185="","",D185-E185)</f>
        <v/>
      </c>
      <c r="G185" s="17" t="str">
        <f>IF(A185="","",MAX(0,C185-F185))</f>
        <v/>
      </c>
    </row>
    <row r="186">
      <c r="A186" s="15" t="str">
        <f>IF(177&gt;$F$5,"",177)</f>
        <v/>
      </c>
      <c r="B186" s="16" t="str">
        <f>IF(A186="","",EDATE($C$7,176))</f>
        <v/>
      </c>
      <c r="C186" s="17" t="str">
        <f>IF(A186="","",G185)</f>
        <v/>
      </c>
      <c r="D186" s="17" t="str">
        <f>IF(A186="","",MIN($F$4,C186*(1+$C$5/12)))</f>
        <v/>
      </c>
      <c r="E186" s="17" t="str">
        <f>IF(A186="","",C186*$C$5/12)</f>
        <v/>
      </c>
      <c r="F186" s="17" t="str">
        <f>IF(A186="","",D186-E186)</f>
        <v/>
      </c>
      <c r="G186" s="17" t="str">
        <f>IF(A186="","",MAX(0,C186-F186))</f>
        <v/>
      </c>
    </row>
    <row r="187">
      <c r="A187" s="15" t="str">
        <f>IF(178&gt;$F$5,"",178)</f>
        <v/>
      </c>
      <c r="B187" s="16" t="str">
        <f>IF(A187="","",EDATE($C$7,177))</f>
        <v/>
      </c>
      <c r="C187" s="17" t="str">
        <f>IF(A187="","",G186)</f>
        <v/>
      </c>
      <c r="D187" s="17" t="str">
        <f>IF(A187="","",MIN($F$4,C187*(1+$C$5/12)))</f>
        <v/>
      </c>
      <c r="E187" s="17" t="str">
        <f>IF(A187="","",C187*$C$5/12)</f>
        <v/>
      </c>
      <c r="F187" s="17" t="str">
        <f>IF(A187="","",D187-E187)</f>
        <v/>
      </c>
      <c r="G187" s="17" t="str">
        <f>IF(A187="","",MAX(0,C187-F187))</f>
        <v/>
      </c>
    </row>
    <row r="188">
      <c r="A188" s="15" t="str">
        <f>IF(179&gt;$F$5,"",179)</f>
        <v/>
      </c>
      <c r="B188" s="16" t="str">
        <f>IF(A188="","",EDATE($C$7,178))</f>
        <v/>
      </c>
      <c r="C188" s="17" t="str">
        <f>IF(A188="","",G187)</f>
        <v/>
      </c>
      <c r="D188" s="17" t="str">
        <f>IF(A188="","",MIN($F$4,C188*(1+$C$5/12)))</f>
        <v/>
      </c>
      <c r="E188" s="17" t="str">
        <f>IF(A188="","",C188*$C$5/12)</f>
        <v/>
      </c>
      <c r="F188" s="17" t="str">
        <f>IF(A188="","",D188-E188)</f>
        <v/>
      </c>
      <c r="G188" s="17" t="str">
        <f>IF(A188="","",MAX(0,C188-F188))</f>
        <v/>
      </c>
    </row>
    <row r="189">
      <c r="A189" s="15" t="str">
        <f>IF(180&gt;$F$5,"",180)</f>
        <v/>
      </c>
      <c r="B189" s="16" t="str">
        <f>IF(A189="","",EDATE($C$7,179))</f>
        <v/>
      </c>
      <c r="C189" s="17" t="str">
        <f>IF(A189="","",G188)</f>
        <v/>
      </c>
      <c r="D189" s="17" t="str">
        <f>IF(A189="","",MIN($F$4,C189*(1+$C$5/12)))</f>
        <v/>
      </c>
      <c r="E189" s="17" t="str">
        <f>IF(A189="","",C189*$C$5/12)</f>
        <v/>
      </c>
      <c r="F189" s="17" t="str">
        <f>IF(A189="","",D189-E189)</f>
        <v/>
      </c>
      <c r="G189" s="17" t="str">
        <f>IF(A189="","",MAX(0,C189-F189))</f>
        <v/>
      </c>
    </row>
    <row r="190">
      <c r="A190" s="15" t="str">
        <f>IF(181&gt;$F$5,"",181)</f>
        <v/>
      </c>
      <c r="B190" s="16" t="str">
        <f>IF(A190="","",EDATE($C$7,180))</f>
        <v/>
      </c>
      <c r="C190" s="17" t="str">
        <f>IF(A190="","",G189)</f>
        <v/>
      </c>
      <c r="D190" s="17" t="str">
        <f>IF(A190="","",MIN($F$4,C190*(1+$C$5/12)))</f>
        <v/>
      </c>
      <c r="E190" s="17" t="str">
        <f>IF(A190="","",C190*$C$5/12)</f>
        <v/>
      </c>
      <c r="F190" s="17" t="str">
        <f>IF(A190="","",D190-E190)</f>
        <v/>
      </c>
      <c r="G190" s="17" t="str">
        <f>IF(A190="","",MAX(0,C190-F190))</f>
        <v/>
      </c>
    </row>
    <row r="191">
      <c r="A191" s="15" t="str">
        <f>IF(182&gt;$F$5,"",182)</f>
        <v/>
      </c>
      <c r="B191" s="16" t="str">
        <f>IF(A191="","",EDATE($C$7,181))</f>
        <v/>
      </c>
      <c r="C191" s="17" t="str">
        <f>IF(A191="","",G190)</f>
        <v/>
      </c>
      <c r="D191" s="17" t="str">
        <f>IF(A191="","",MIN($F$4,C191*(1+$C$5/12)))</f>
        <v/>
      </c>
      <c r="E191" s="17" t="str">
        <f>IF(A191="","",C191*$C$5/12)</f>
        <v/>
      </c>
      <c r="F191" s="17" t="str">
        <f>IF(A191="","",D191-E191)</f>
        <v/>
      </c>
      <c r="G191" s="17" t="str">
        <f>IF(A191="","",MAX(0,C191-F191))</f>
        <v/>
      </c>
    </row>
    <row r="192">
      <c r="A192" s="15" t="str">
        <f>IF(183&gt;$F$5,"",183)</f>
        <v/>
      </c>
      <c r="B192" s="16" t="str">
        <f>IF(A192="","",EDATE($C$7,182))</f>
        <v/>
      </c>
      <c r="C192" s="17" t="str">
        <f>IF(A192="","",G191)</f>
        <v/>
      </c>
      <c r="D192" s="17" t="str">
        <f>IF(A192="","",MIN($F$4,C192*(1+$C$5/12)))</f>
        <v/>
      </c>
      <c r="E192" s="17" t="str">
        <f>IF(A192="","",C192*$C$5/12)</f>
        <v/>
      </c>
      <c r="F192" s="17" t="str">
        <f>IF(A192="","",D192-E192)</f>
        <v/>
      </c>
      <c r="G192" s="17" t="str">
        <f>IF(A192="","",MAX(0,C192-F192))</f>
        <v/>
      </c>
    </row>
    <row r="193">
      <c r="A193" s="15" t="str">
        <f>IF(184&gt;$F$5,"",184)</f>
        <v/>
      </c>
      <c r="B193" s="16" t="str">
        <f>IF(A193="","",EDATE($C$7,183))</f>
        <v/>
      </c>
      <c r="C193" s="17" t="str">
        <f>IF(A193="","",G192)</f>
        <v/>
      </c>
      <c r="D193" s="17" t="str">
        <f>IF(A193="","",MIN($F$4,C193*(1+$C$5/12)))</f>
        <v/>
      </c>
      <c r="E193" s="17" t="str">
        <f>IF(A193="","",C193*$C$5/12)</f>
        <v/>
      </c>
      <c r="F193" s="17" t="str">
        <f>IF(A193="","",D193-E193)</f>
        <v/>
      </c>
      <c r="G193" s="17" t="str">
        <f>IF(A193="","",MAX(0,C193-F193))</f>
        <v/>
      </c>
    </row>
    <row r="194">
      <c r="A194" s="15" t="str">
        <f>IF(185&gt;$F$5,"",185)</f>
        <v/>
      </c>
      <c r="B194" s="16" t="str">
        <f>IF(A194="","",EDATE($C$7,184))</f>
        <v/>
      </c>
      <c r="C194" s="17" t="str">
        <f>IF(A194="","",G193)</f>
        <v/>
      </c>
      <c r="D194" s="17" t="str">
        <f>IF(A194="","",MIN($F$4,C194*(1+$C$5/12)))</f>
        <v/>
      </c>
      <c r="E194" s="17" t="str">
        <f>IF(A194="","",C194*$C$5/12)</f>
        <v/>
      </c>
      <c r="F194" s="17" t="str">
        <f>IF(A194="","",D194-E194)</f>
        <v/>
      </c>
      <c r="G194" s="17" t="str">
        <f>IF(A194="","",MAX(0,C194-F194))</f>
        <v/>
      </c>
    </row>
    <row r="195">
      <c r="A195" s="15" t="str">
        <f>IF(186&gt;$F$5,"",186)</f>
        <v/>
      </c>
      <c r="B195" s="16" t="str">
        <f>IF(A195="","",EDATE($C$7,185))</f>
        <v/>
      </c>
      <c r="C195" s="17" t="str">
        <f>IF(A195="","",G194)</f>
        <v/>
      </c>
      <c r="D195" s="17" t="str">
        <f>IF(A195="","",MIN($F$4,C195*(1+$C$5/12)))</f>
        <v/>
      </c>
      <c r="E195" s="17" t="str">
        <f>IF(A195="","",C195*$C$5/12)</f>
        <v/>
      </c>
      <c r="F195" s="17" t="str">
        <f>IF(A195="","",D195-E195)</f>
        <v/>
      </c>
      <c r="G195" s="17" t="str">
        <f>IF(A195="","",MAX(0,C195-F195))</f>
        <v/>
      </c>
    </row>
    <row r="196">
      <c r="A196" s="15" t="str">
        <f>IF(187&gt;$F$5,"",187)</f>
        <v/>
      </c>
      <c r="B196" s="16" t="str">
        <f>IF(A196="","",EDATE($C$7,186))</f>
        <v/>
      </c>
      <c r="C196" s="17" t="str">
        <f>IF(A196="","",G195)</f>
        <v/>
      </c>
      <c r="D196" s="17" t="str">
        <f>IF(A196="","",MIN($F$4,C196*(1+$C$5/12)))</f>
        <v/>
      </c>
      <c r="E196" s="17" t="str">
        <f>IF(A196="","",C196*$C$5/12)</f>
        <v/>
      </c>
      <c r="F196" s="17" t="str">
        <f>IF(A196="","",D196-E196)</f>
        <v/>
      </c>
      <c r="G196" s="17" t="str">
        <f>IF(A196="","",MAX(0,C196-F196))</f>
        <v/>
      </c>
    </row>
    <row r="197">
      <c r="A197" s="15" t="str">
        <f>IF(188&gt;$F$5,"",188)</f>
        <v/>
      </c>
      <c r="B197" s="16" t="str">
        <f>IF(A197="","",EDATE($C$7,187))</f>
        <v/>
      </c>
      <c r="C197" s="17" t="str">
        <f>IF(A197="","",G196)</f>
        <v/>
      </c>
      <c r="D197" s="17" t="str">
        <f>IF(A197="","",MIN($F$4,C197*(1+$C$5/12)))</f>
        <v/>
      </c>
      <c r="E197" s="17" t="str">
        <f>IF(A197="","",C197*$C$5/12)</f>
        <v/>
      </c>
      <c r="F197" s="17" t="str">
        <f>IF(A197="","",D197-E197)</f>
        <v/>
      </c>
      <c r="G197" s="17" t="str">
        <f>IF(A197="","",MAX(0,C197-F197))</f>
        <v/>
      </c>
    </row>
    <row r="198">
      <c r="A198" s="15" t="str">
        <f>IF(189&gt;$F$5,"",189)</f>
        <v/>
      </c>
      <c r="B198" s="16" t="str">
        <f>IF(A198="","",EDATE($C$7,188))</f>
        <v/>
      </c>
      <c r="C198" s="17" t="str">
        <f>IF(A198="","",G197)</f>
        <v/>
      </c>
      <c r="D198" s="17" t="str">
        <f>IF(A198="","",MIN($F$4,C198*(1+$C$5/12)))</f>
        <v/>
      </c>
      <c r="E198" s="17" t="str">
        <f>IF(A198="","",C198*$C$5/12)</f>
        <v/>
      </c>
      <c r="F198" s="17" t="str">
        <f>IF(A198="","",D198-E198)</f>
        <v/>
      </c>
      <c r="G198" s="17" t="str">
        <f>IF(A198="","",MAX(0,C198-F198))</f>
        <v/>
      </c>
    </row>
    <row r="199">
      <c r="A199" s="15" t="str">
        <f>IF(190&gt;$F$5,"",190)</f>
        <v/>
      </c>
      <c r="B199" s="16" t="str">
        <f>IF(A199="","",EDATE($C$7,189))</f>
        <v/>
      </c>
      <c r="C199" s="17" t="str">
        <f>IF(A199="","",G198)</f>
        <v/>
      </c>
      <c r="D199" s="17" t="str">
        <f>IF(A199="","",MIN($F$4,C199*(1+$C$5/12)))</f>
        <v/>
      </c>
      <c r="E199" s="17" t="str">
        <f>IF(A199="","",C199*$C$5/12)</f>
        <v/>
      </c>
      <c r="F199" s="17" t="str">
        <f>IF(A199="","",D199-E199)</f>
        <v/>
      </c>
      <c r="G199" s="17" t="str">
        <f>IF(A199="","",MAX(0,C199-F199))</f>
        <v/>
      </c>
    </row>
    <row r="200">
      <c r="A200" s="15" t="str">
        <f>IF(191&gt;$F$5,"",191)</f>
        <v/>
      </c>
      <c r="B200" s="16" t="str">
        <f>IF(A200="","",EDATE($C$7,190))</f>
        <v/>
      </c>
      <c r="C200" s="17" t="str">
        <f>IF(A200="","",G199)</f>
        <v/>
      </c>
      <c r="D200" s="17" t="str">
        <f>IF(A200="","",MIN($F$4,C200*(1+$C$5/12)))</f>
        <v/>
      </c>
      <c r="E200" s="17" t="str">
        <f>IF(A200="","",C200*$C$5/12)</f>
        <v/>
      </c>
      <c r="F200" s="17" t="str">
        <f>IF(A200="","",D200-E200)</f>
        <v/>
      </c>
      <c r="G200" s="17" t="str">
        <f>IF(A200="","",MAX(0,C200-F200))</f>
        <v/>
      </c>
    </row>
    <row r="201">
      <c r="A201" s="15" t="str">
        <f>IF(192&gt;$F$5,"",192)</f>
        <v/>
      </c>
      <c r="B201" s="16" t="str">
        <f>IF(A201="","",EDATE($C$7,191))</f>
        <v/>
      </c>
      <c r="C201" s="17" t="str">
        <f>IF(A201="","",G200)</f>
        <v/>
      </c>
      <c r="D201" s="17" t="str">
        <f>IF(A201="","",MIN($F$4,C201*(1+$C$5/12)))</f>
        <v/>
      </c>
      <c r="E201" s="17" t="str">
        <f>IF(A201="","",C201*$C$5/12)</f>
        <v/>
      </c>
      <c r="F201" s="17" t="str">
        <f>IF(A201="","",D201-E201)</f>
        <v/>
      </c>
      <c r="G201" s="17" t="str">
        <f>IF(A201="","",MAX(0,C201-F201))</f>
        <v/>
      </c>
    </row>
    <row r="202">
      <c r="A202" s="15" t="str">
        <f>IF(193&gt;$F$5,"",193)</f>
        <v/>
      </c>
      <c r="B202" s="16" t="str">
        <f>IF(A202="","",EDATE($C$7,192))</f>
        <v/>
      </c>
      <c r="C202" s="17" t="str">
        <f>IF(A202="","",G201)</f>
        <v/>
      </c>
      <c r="D202" s="17" t="str">
        <f>IF(A202="","",MIN($F$4,C202*(1+$C$5/12)))</f>
        <v/>
      </c>
      <c r="E202" s="17" t="str">
        <f>IF(A202="","",C202*$C$5/12)</f>
        <v/>
      </c>
      <c r="F202" s="17" t="str">
        <f>IF(A202="","",D202-E202)</f>
        <v/>
      </c>
      <c r="G202" s="17" t="str">
        <f>IF(A202="","",MAX(0,C202-F202))</f>
        <v/>
      </c>
    </row>
    <row r="203">
      <c r="A203" s="15" t="str">
        <f>IF(194&gt;$F$5,"",194)</f>
        <v/>
      </c>
      <c r="B203" s="16" t="str">
        <f>IF(A203="","",EDATE($C$7,193))</f>
        <v/>
      </c>
      <c r="C203" s="17" t="str">
        <f>IF(A203="","",G202)</f>
        <v/>
      </c>
      <c r="D203" s="17" t="str">
        <f>IF(A203="","",MIN($F$4,C203*(1+$C$5/12)))</f>
        <v/>
      </c>
      <c r="E203" s="17" t="str">
        <f>IF(A203="","",C203*$C$5/12)</f>
        <v/>
      </c>
      <c r="F203" s="17" t="str">
        <f>IF(A203="","",D203-E203)</f>
        <v/>
      </c>
      <c r="G203" s="17" t="str">
        <f>IF(A203="","",MAX(0,C203-F203))</f>
        <v/>
      </c>
    </row>
    <row r="204">
      <c r="A204" s="15" t="str">
        <f>IF(195&gt;$F$5,"",195)</f>
        <v/>
      </c>
      <c r="B204" s="16" t="str">
        <f>IF(A204="","",EDATE($C$7,194))</f>
        <v/>
      </c>
      <c r="C204" s="17" t="str">
        <f>IF(A204="","",G203)</f>
        <v/>
      </c>
      <c r="D204" s="17" t="str">
        <f>IF(A204="","",MIN($F$4,C204*(1+$C$5/12)))</f>
        <v/>
      </c>
      <c r="E204" s="17" t="str">
        <f>IF(A204="","",C204*$C$5/12)</f>
        <v/>
      </c>
      <c r="F204" s="17" t="str">
        <f>IF(A204="","",D204-E204)</f>
        <v/>
      </c>
      <c r="G204" s="17" t="str">
        <f>IF(A204="","",MAX(0,C204-F204))</f>
        <v/>
      </c>
    </row>
    <row r="205">
      <c r="A205" s="15" t="str">
        <f>IF(196&gt;$F$5,"",196)</f>
        <v/>
      </c>
      <c r="B205" s="16" t="str">
        <f>IF(A205="","",EDATE($C$7,195))</f>
        <v/>
      </c>
      <c r="C205" s="17" t="str">
        <f>IF(A205="","",G204)</f>
        <v/>
      </c>
      <c r="D205" s="17" t="str">
        <f>IF(A205="","",MIN($F$4,C205*(1+$C$5/12)))</f>
        <v/>
      </c>
      <c r="E205" s="17" t="str">
        <f>IF(A205="","",C205*$C$5/12)</f>
        <v/>
      </c>
      <c r="F205" s="17" t="str">
        <f>IF(A205="","",D205-E205)</f>
        <v/>
      </c>
      <c r="G205" s="17" t="str">
        <f>IF(A205="","",MAX(0,C205-F205))</f>
        <v/>
      </c>
    </row>
    <row r="206">
      <c r="A206" s="15" t="str">
        <f>IF(197&gt;$F$5,"",197)</f>
        <v/>
      </c>
      <c r="B206" s="16" t="str">
        <f>IF(A206="","",EDATE($C$7,196))</f>
        <v/>
      </c>
      <c r="C206" s="17" t="str">
        <f>IF(A206="","",G205)</f>
        <v/>
      </c>
      <c r="D206" s="17" t="str">
        <f>IF(A206="","",MIN($F$4,C206*(1+$C$5/12)))</f>
        <v/>
      </c>
      <c r="E206" s="17" t="str">
        <f>IF(A206="","",C206*$C$5/12)</f>
        <v/>
      </c>
      <c r="F206" s="17" t="str">
        <f>IF(A206="","",D206-E206)</f>
        <v/>
      </c>
      <c r="G206" s="17" t="str">
        <f>IF(A206="","",MAX(0,C206-F206))</f>
        <v/>
      </c>
    </row>
    <row r="207">
      <c r="A207" s="15" t="str">
        <f>IF(198&gt;$F$5,"",198)</f>
        <v/>
      </c>
      <c r="B207" s="16" t="str">
        <f>IF(A207="","",EDATE($C$7,197))</f>
        <v/>
      </c>
      <c r="C207" s="17" t="str">
        <f>IF(A207="","",G206)</f>
        <v/>
      </c>
      <c r="D207" s="17" t="str">
        <f>IF(A207="","",MIN($F$4,C207*(1+$C$5/12)))</f>
        <v/>
      </c>
      <c r="E207" s="17" t="str">
        <f>IF(A207="","",C207*$C$5/12)</f>
        <v/>
      </c>
      <c r="F207" s="17" t="str">
        <f>IF(A207="","",D207-E207)</f>
        <v/>
      </c>
      <c r="G207" s="17" t="str">
        <f>IF(A207="","",MAX(0,C207-F207))</f>
        <v/>
      </c>
    </row>
    <row r="208">
      <c r="A208" s="15" t="str">
        <f>IF(199&gt;$F$5,"",199)</f>
        <v/>
      </c>
      <c r="B208" s="16" t="str">
        <f>IF(A208="","",EDATE($C$7,198))</f>
        <v/>
      </c>
      <c r="C208" s="17" t="str">
        <f>IF(A208="","",G207)</f>
        <v/>
      </c>
      <c r="D208" s="17" t="str">
        <f>IF(A208="","",MIN($F$4,C208*(1+$C$5/12)))</f>
        <v/>
      </c>
      <c r="E208" s="17" t="str">
        <f>IF(A208="","",C208*$C$5/12)</f>
        <v/>
      </c>
      <c r="F208" s="17" t="str">
        <f>IF(A208="","",D208-E208)</f>
        <v/>
      </c>
      <c r="G208" s="17" t="str">
        <f>IF(A208="","",MAX(0,C208-F208))</f>
        <v/>
      </c>
    </row>
    <row r="209">
      <c r="A209" s="15" t="str">
        <f>IF(200&gt;$F$5,"",200)</f>
        <v/>
      </c>
      <c r="B209" s="16" t="str">
        <f>IF(A209="","",EDATE($C$7,199))</f>
        <v/>
      </c>
      <c r="C209" s="17" t="str">
        <f>IF(A209="","",G208)</f>
        <v/>
      </c>
      <c r="D209" s="17" t="str">
        <f>IF(A209="","",MIN($F$4,C209*(1+$C$5/12)))</f>
        <v/>
      </c>
      <c r="E209" s="17" t="str">
        <f>IF(A209="","",C209*$C$5/12)</f>
        <v/>
      </c>
      <c r="F209" s="17" t="str">
        <f>IF(A209="","",D209-E209)</f>
        <v/>
      </c>
      <c r="G209" s="17" t="str">
        <f>IF(A209="","",MAX(0,C209-F209))</f>
        <v/>
      </c>
    </row>
    <row r="210">
      <c r="A210" s="15" t="str">
        <f>IF(201&gt;$F$5,"",201)</f>
        <v/>
      </c>
      <c r="B210" s="16" t="str">
        <f>IF(A210="","",EDATE($C$7,200))</f>
        <v/>
      </c>
      <c r="C210" s="17" t="str">
        <f>IF(A210="","",G209)</f>
        <v/>
      </c>
      <c r="D210" s="17" t="str">
        <f>IF(A210="","",MIN($F$4,C210*(1+$C$5/12)))</f>
        <v/>
      </c>
      <c r="E210" s="17" t="str">
        <f>IF(A210="","",C210*$C$5/12)</f>
        <v/>
      </c>
      <c r="F210" s="17" t="str">
        <f>IF(A210="","",D210-E210)</f>
        <v/>
      </c>
      <c r="G210" s="17" t="str">
        <f>IF(A210="","",MAX(0,C210-F210))</f>
        <v/>
      </c>
    </row>
    <row r="211">
      <c r="A211" s="15" t="str">
        <f>IF(202&gt;$F$5,"",202)</f>
        <v/>
      </c>
      <c r="B211" s="16" t="str">
        <f>IF(A211="","",EDATE($C$7,201))</f>
        <v/>
      </c>
      <c r="C211" s="17" t="str">
        <f>IF(A211="","",G210)</f>
        <v/>
      </c>
      <c r="D211" s="17" t="str">
        <f>IF(A211="","",MIN($F$4,C211*(1+$C$5/12)))</f>
        <v/>
      </c>
      <c r="E211" s="17" t="str">
        <f>IF(A211="","",C211*$C$5/12)</f>
        <v/>
      </c>
      <c r="F211" s="17" t="str">
        <f>IF(A211="","",D211-E211)</f>
        <v/>
      </c>
      <c r="G211" s="17" t="str">
        <f>IF(A211="","",MAX(0,C211-F211))</f>
        <v/>
      </c>
    </row>
    <row r="212">
      <c r="A212" s="15" t="str">
        <f>IF(203&gt;$F$5,"",203)</f>
        <v/>
      </c>
      <c r="B212" s="16" t="str">
        <f>IF(A212="","",EDATE($C$7,202))</f>
        <v/>
      </c>
      <c r="C212" s="17" t="str">
        <f>IF(A212="","",G211)</f>
        <v/>
      </c>
      <c r="D212" s="17" t="str">
        <f>IF(A212="","",MIN($F$4,C212*(1+$C$5/12)))</f>
        <v/>
      </c>
      <c r="E212" s="17" t="str">
        <f>IF(A212="","",C212*$C$5/12)</f>
        <v/>
      </c>
      <c r="F212" s="17" t="str">
        <f>IF(A212="","",D212-E212)</f>
        <v/>
      </c>
      <c r="G212" s="17" t="str">
        <f>IF(A212="","",MAX(0,C212-F212))</f>
        <v/>
      </c>
    </row>
    <row r="213">
      <c r="A213" s="15" t="str">
        <f>IF(204&gt;$F$5,"",204)</f>
        <v/>
      </c>
      <c r="B213" s="16" t="str">
        <f>IF(A213="","",EDATE($C$7,203))</f>
        <v/>
      </c>
      <c r="C213" s="17" t="str">
        <f>IF(A213="","",G212)</f>
        <v/>
      </c>
      <c r="D213" s="17" t="str">
        <f>IF(A213="","",MIN($F$4,C213*(1+$C$5/12)))</f>
        <v/>
      </c>
      <c r="E213" s="17" t="str">
        <f>IF(A213="","",C213*$C$5/12)</f>
        <v/>
      </c>
      <c r="F213" s="17" t="str">
        <f>IF(A213="","",D213-E213)</f>
        <v/>
      </c>
      <c r="G213" s="17" t="str">
        <f>IF(A213="","",MAX(0,C213-F213))</f>
        <v/>
      </c>
    </row>
    <row r="214">
      <c r="A214" s="15" t="str">
        <f>IF(205&gt;$F$5,"",205)</f>
        <v/>
      </c>
      <c r="B214" s="16" t="str">
        <f>IF(A214="","",EDATE($C$7,204))</f>
        <v/>
      </c>
      <c r="C214" s="17" t="str">
        <f>IF(A214="","",G213)</f>
        <v/>
      </c>
      <c r="D214" s="17" t="str">
        <f>IF(A214="","",MIN($F$4,C214*(1+$C$5/12)))</f>
        <v/>
      </c>
      <c r="E214" s="17" t="str">
        <f>IF(A214="","",C214*$C$5/12)</f>
        <v/>
      </c>
      <c r="F214" s="17" t="str">
        <f>IF(A214="","",D214-E214)</f>
        <v/>
      </c>
      <c r="G214" s="17" t="str">
        <f>IF(A214="","",MAX(0,C214-F214))</f>
        <v/>
      </c>
    </row>
    <row r="215">
      <c r="A215" s="15" t="str">
        <f>IF(206&gt;$F$5,"",206)</f>
        <v/>
      </c>
      <c r="B215" s="16" t="str">
        <f>IF(A215="","",EDATE($C$7,205))</f>
        <v/>
      </c>
      <c r="C215" s="17" t="str">
        <f>IF(A215="","",G214)</f>
        <v/>
      </c>
      <c r="D215" s="17" t="str">
        <f>IF(A215="","",MIN($F$4,C215*(1+$C$5/12)))</f>
        <v/>
      </c>
      <c r="E215" s="17" t="str">
        <f>IF(A215="","",C215*$C$5/12)</f>
        <v/>
      </c>
      <c r="F215" s="17" t="str">
        <f>IF(A215="","",D215-E215)</f>
        <v/>
      </c>
      <c r="G215" s="17" t="str">
        <f>IF(A215="","",MAX(0,C215-F215))</f>
        <v/>
      </c>
    </row>
    <row r="216">
      <c r="A216" s="15" t="str">
        <f>IF(207&gt;$F$5,"",207)</f>
        <v/>
      </c>
      <c r="B216" s="16" t="str">
        <f>IF(A216="","",EDATE($C$7,206))</f>
        <v/>
      </c>
      <c r="C216" s="17" t="str">
        <f>IF(A216="","",G215)</f>
        <v/>
      </c>
      <c r="D216" s="17" t="str">
        <f>IF(A216="","",MIN($F$4,C216*(1+$C$5/12)))</f>
        <v/>
      </c>
      <c r="E216" s="17" t="str">
        <f>IF(A216="","",C216*$C$5/12)</f>
        <v/>
      </c>
      <c r="F216" s="17" t="str">
        <f>IF(A216="","",D216-E216)</f>
        <v/>
      </c>
      <c r="G216" s="17" t="str">
        <f>IF(A216="","",MAX(0,C216-F216))</f>
        <v/>
      </c>
    </row>
    <row r="217">
      <c r="A217" s="15" t="str">
        <f>IF(208&gt;$F$5,"",208)</f>
        <v/>
      </c>
      <c r="B217" s="16" t="str">
        <f>IF(A217="","",EDATE($C$7,207))</f>
        <v/>
      </c>
      <c r="C217" s="17" t="str">
        <f>IF(A217="","",G216)</f>
        <v/>
      </c>
      <c r="D217" s="17" t="str">
        <f>IF(A217="","",MIN($F$4,C217*(1+$C$5/12)))</f>
        <v/>
      </c>
      <c r="E217" s="17" t="str">
        <f>IF(A217="","",C217*$C$5/12)</f>
        <v/>
      </c>
      <c r="F217" s="17" t="str">
        <f>IF(A217="","",D217-E217)</f>
        <v/>
      </c>
      <c r="G217" s="17" t="str">
        <f>IF(A217="","",MAX(0,C217-F217))</f>
        <v/>
      </c>
    </row>
    <row r="218">
      <c r="A218" s="15" t="str">
        <f>IF(209&gt;$F$5,"",209)</f>
        <v/>
      </c>
      <c r="B218" s="16" t="str">
        <f>IF(A218="","",EDATE($C$7,208))</f>
        <v/>
      </c>
      <c r="C218" s="17" t="str">
        <f>IF(A218="","",G217)</f>
        <v/>
      </c>
      <c r="D218" s="17" t="str">
        <f>IF(A218="","",MIN($F$4,C218*(1+$C$5/12)))</f>
        <v/>
      </c>
      <c r="E218" s="17" t="str">
        <f>IF(A218="","",C218*$C$5/12)</f>
        <v/>
      </c>
      <c r="F218" s="17" t="str">
        <f>IF(A218="","",D218-E218)</f>
        <v/>
      </c>
      <c r="G218" s="17" t="str">
        <f>IF(A218="","",MAX(0,C218-F218))</f>
        <v/>
      </c>
    </row>
    <row r="219">
      <c r="A219" s="15" t="str">
        <f>IF(210&gt;$F$5,"",210)</f>
        <v/>
      </c>
      <c r="B219" s="16" t="str">
        <f>IF(A219="","",EDATE($C$7,209))</f>
        <v/>
      </c>
      <c r="C219" s="17" t="str">
        <f>IF(A219="","",G218)</f>
        <v/>
      </c>
      <c r="D219" s="17" t="str">
        <f>IF(A219="","",MIN($F$4,C219*(1+$C$5/12)))</f>
        <v/>
      </c>
      <c r="E219" s="17" t="str">
        <f>IF(A219="","",C219*$C$5/12)</f>
        <v/>
      </c>
      <c r="F219" s="17" t="str">
        <f>IF(A219="","",D219-E219)</f>
        <v/>
      </c>
      <c r="G219" s="17" t="str">
        <f>IF(A219="","",MAX(0,C219-F219))</f>
        <v/>
      </c>
    </row>
    <row r="220">
      <c r="A220" s="15" t="str">
        <f>IF(211&gt;$F$5,"",211)</f>
        <v/>
      </c>
      <c r="B220" s="16" t="str">
        <f>IF(A220="","",EDATE($C$7,210))</f>
        <v/>
      </c>
      <c r="C220" s="17" t="str">
        <f>IF(A220="","",G219)</f>
        <v/>
      </c>
      <c r="D220" s="17" t="str">
        <f>IF(A220="","",MIN($F$4,C220*(1+$C$5/12)))</f>
        <v/>
      </c>
      <c r="E220" s="17" t="str">
        <f>IF(A220="","",C220*$C$5/12)</f>
        <v/>
      </c>
      <c r="F220" s="17" t="str">
        <f>IF(A220="","",D220-E220)</f>
        <v/>
      </c>
      <c r="G220" s="17" t="str">
        <f>IF(A220="","",MAX(0,C220-F220))</f>
        <v/>
      </c>
    </row>
    <row r="221">
      <c r="A221" s="15" t="str">
        <f>IF(212&gt;$F$5,"",212)</f>
        <v/>
      </c>
      <c r="B221" s="16" t="str">
        <f>IF(A221="","",EDATE($C$7,211))</f>
        <v/>
      </c>
      <c r="C221" s="17" t="str">
        <f>IF(A221="","",G220)</f>
        <v/>
      </c>
      <c r="D221" s="17" t="str">
        <f>IF(A221="","",MIN($F$4,C221*(1+$C$5/12)))</f>
        <v/>
      </c>
      <c r="E221" s="17" t="str">
        <f>IF(A221="","",C221*$C$5/12)</f>
        <v/>
      </c>
      <c r="F221" s="17" t="str">
        <f>IF(A221="","",D221-E221)</f>
        <v/>
      </c>
      <c r="G221" s="17" t="str">
        <f>IF(A221="","",MAX(0,C221-F221))</f>
        <v/>
      </c>
    </row>
    <row r="222">
      <c r="A222" s="15" t="str">
        <f>IF(213&gt;$F$5,"",213)</f>
        <v/>
      </c>
      <c r="B222" s="16" t="str">
        <f>IF(A222="","",EDATE($C$7,212))</f>
        <v/>
      </c>
      <c r="C222" s="17" t="str">
        <f>IF(A222="","",G221)</f>
        <v/>
      </c>
      <c r="D222" s="17" t="str">
        <f>IF(A222="","",MIN($F$4,C222*(1+$C$5/12)))</f>
        <v/>
      </c>
      <c r="E222" s="17" t="str">
        <f>IF(A222="","",C222*$C$5/12)</f>
        <v/>
      </c>
      <c r="F222" s="17" t="str">
        <f>IF(A222="","",D222-E222)</f>
        <v/>
      </c>
      <c r="G222" s="17" t="str">
        <f>IF(A222="","",MAX(0,C222-F222))</f>
        <v/>
      </c>
    </row>
    <row r="223">
      <c r="A223" s="15" t="str">
        <f>IF(214&gt;$F$5,"",214)</f>
        <v/>
      </c>
      <c r="B223" s="16" t="str">
        <f>IF(A223="","",EDATE($C$7,213))</f>
        <v/>
      </c>
      <c r="C223" s="17" t="str">
        <f>IF(A223="","",G222)</f>
        <v/>
      </c>
      <c r="D223" s="17" t="str">
        <f>IF(A223="","",MIN($F$4,C223*(1+$C$5/12)))</f>
        <v/>
      </c>
      <c r="E223" s="17" t="str">
        <f>IF(A223="","",C223*$C$5/12)</f>
        <v/>
      </c>
      <c r="F223" s="17" t="str">
        <f>IF(A223="","",D223-E223)</f>
        <v/>
      </c>
      <c r="G223" s="17" t="str">
        <f>IF(A223="","",MAX(0,C223-F223))</f>
        <v/>
      </c>
    </row>
    <row r="224">
      <c r="A224" s="15" t="str">
        <f>IF(215&gt;$F$5,"",215)</f>
        <v/>
      </c>
      <c r="B224" s="16" t="str">
        <f>IF(A224="","",EDATE($C$7,214))</f>
        <v/>
      </c>
      <c r="C224" s="17" t="str">
        <f>IF(A224="","",G223)</f>
        <v/>
      </c>
      <c r="D224" s="17" t="str">
        <f>IF(A224="","",MIN($F$4,C224*(1+$C$5/12)))</f>
        <v/>
      </c>
      <c r="E224" s="17" t="str">
        <f>IF(A224="","",C224*$C$5/12)</f>
        <v/>
      </c>
      <c r="F224" s="17" t="str">
        <f>IF(A224="","",D224-E224)</f>
        <v/>
      </c>
      <c r="G224" s="17" t="str">
        <f>IF(A224="","",MAX(0,C224-F224))</f>
        <v/>
      </c>
    </row>
    <row r="225">
      <c r="A225" s="15" t="str">
        <f>IF(216&gt;$F$5,"",216)</f>
        <v/>
      </c>
      <c r="B225" s="16" t="str">
        <f>IF(A225="","",EDATE($C$7,215))</f>
        <v/>
      </c>
      <c r="C225" s="17" t="str">
        <f>IF(A225="","",G224)</f>
        <v/>
      </c>
      <c r="D225" s="17" t="str">
        <f>IF(A225="","",MIN($F$4,C225*(1+$C$5/12)))</f>
        <v/>
      </c>
      <c r="E225" s="17" t="str">
        <f>IF(A225="","",C225*$C$5/12)</f>
        <v/>
      </c>
      <c r="F225" s="17" t="str">
        <f>IF(A225="","",D225-E225)</f>
        <v/>
      </c>
      <c r="G225" s="17" t="str">
        <f>IF(A225="","",MAX(0,C225-F225))</f>
        <v/>
      </c>
    </row>
    <row r="226">
      <c r="A226" s="15" t="str">
        <f>IF(217&gt;$F$5,"",217)</f>
        <v/>
      </c>
      <c r="B226" s="16" t="str">
        <f>IF(A226="","",EDATE($C$7,216))</f>
        <v/>
      </c>
      <c r="C226" s="17" t="str">
        <f>IF(A226="","",G225)</f>
        <v/>
      </c>
      <c r="D226" s="17" t="str">
        <f>IF(A226="","",MIN($F$4,C226*(1+$C$5/12)))</f>
        <v/>
      </c>
      <c r="E226" s="17" t="str">
        <f>IF(A226="","",C226*$C$5/12)</f>
        <v/>
      </c>
      <c r="F226" s="17" t="str">
        <f>IF(A226="","",D226-E226)</f>
        <v/>
      </c>
      <c r="G226" s="17" t="str">
        <f>IF(A226="","",MAX(0,C226-F226))</f>
        <v/>
      </c>
    </row>
    <row r="227">
      <c r="A227" s="15" t="str">
        <f>IF(218&gt;$F$5,"",218)</f>
        <v/>
      </c>
      <c r="B227" s="16" t="str">
        <f>IF(A227="","",EDATE($C$7,217))</f>
        <v/>
      </c>
      <c r="C227" s="17" t="str">
        <f>IF(A227="","",G226)</f>
        <v/>
      </c>
      <c r="D227" s="17" t="str">
        <f>IF(A227="","",MIN($F$4,C227*(1+$C$5/12)))</f>
        <v/>
      </c>
      <c r="E227" s="17" t="str">
        <f>IF(A227="","",C227*$C$5/12)</f>
        <v/>
      </c>
      <c r="F227" s="17" t="str">
        <f>IF(A227="","",D227-E227)</f>
        <v/>
      </c>
      <c r="G227" s="17" t="str">
        <f>IF(A227="","",MAX(0,C227-F227))</f>
        <v/>
      </c>
    </row>
    <row r="228">
      <c r="A228" s="15" t="str">
        <f>IF(219&gt;$F$5,"",219)</f>
        <v/>
      </c>
      <c r="B228" s="16" t="str">
        <f>IF(A228="","",EDATE($C$7,218))</f>
        <v/>
      </c>
      <c r="C228" s="17" t="str">
        <f>IF(A228="","",G227)</f>
        <v/>
      </c>
      <c r="D228" s="17" t="str">
        <f>IF(A228="","",MIN($F$4,C228*(1+$C$5/12)))</f>
        <v/>
      </c>
      <c r="E228" s="17" t="str">
        <f>IF(A228="","",C228*$C$5/12)</f>
        <v/>
      </c>
      <c r="F228" s="17" t="str">
        <f>IF(A228="","",D228-E228)</f>
        <v/>
      </c>
      <c r="G228" s="17" t="str">
        <f>IF(A228="","",MAX(0,C228-F228))</f>
        <v/>
      </c>
    </row>
    <row r="229">
      <c r="A229" s="15" t="str">
        <f>IF(220&gt;$F$5,"",220)</f>
        <v/>
      </c>
      <c r="B229" s="16" t="str">
        <f>IF(A229="","",EDATE($C$7,219))</f>
        <v/>
      </c>
      <c r="C229" s="17" t="str">
        <f>IF(A229="","",G228)</f>
        <v/>
      </c>
      <c r="D229" s="17" t="str">
        <f>IF(A229="","",MIN($F$4,C229*(1+$C$5/12)))</f>
        <v/>
      </c>
      <c r="E229" s="17" t="str">
        <f>IF(A229="","",C229*$C$5/12)</f>
        <v/>
      </c>
      <c r="F229" s="17" t="str">
        <f>IF(A229="","",D229-E229)</f>
        <v/>
      </c>
      <c r="G229" s="17" t="str">
        <f>IF(A229="","",MAX(0,C229-F229))</f>
        <v/>
      </c>
    </row>
    <row r="230">
      <c r="A230" s="15" t="str">
        <f>IF(221&gt;$F$5,"",221)</f>
        <v/>
      </c>
      <c r="B230" s="16" t="str">
        <f>IF(A230="","",EDATE($C$7,220))</f>
        <v/>
      </c>
      <c r="C230" s="17" t="str">
        <f>IF(A230="","",G229)</f>
        <v/>
      </c>
      <c r="D230" s="17" t="str">
        <f>IF(A230="","",MIN($F$4,C230*(1+$C$5/12)))</f>
        <v/>
      </c>
      <c r="E230" s="17" t="str">
        <f>IF(A230="","",C230*$C$5/12)</f>
        <v/>
      </c>
      <c r="F230" s="17" t="str">
        <f>IF(A230="","",D230-E230)</f>
        <v/>
      </c>
      <c r="G230" s="17" t="str">
        <f>IF(A230="","",MAX(0,C230-F230))</f>
        <v/>
      </c>
    </row>
    <row r="231">
      <c r="A231" s="15" t="str">
        <f>IF(222&gt;$F$5,"",222)</f>
        <v/>
      </c>
      <c r="B231" s="16" t="str">
        <f>IF(A231="","",EDATE($C$7,221))</f>
        <v/>
      </c>
      <c r="C231" s="17" t="str">
        <f>IF(A231="","",G230)</f>
        <v/>
      </c>
      <c r="D231" s="17" t="str">
        <f>IF(A231="","",MIN($F$4,C231*(1+$C$5/12)))</f>
        <v/>
      </c>
      <c r="E231" s="17" t="str">
        <f>IF(A231="","",C231*$C$5/12)</f>
        <v/>
      </c>
      <c r="F231" s="17" t="str">
        <f>IF(A231="","",D231-E231)</f>
        <v/>
      </c>
      <c r="G231" s="17" t="str">
        <f>IF(A231="","",MAX(0,C231-F231))</f>
        <v/>
      </c>
    </row>
    <row r="232">
      <c r="A232" s="15" t="str">
        <f>IF(223&gt;$F$5,"",223)</f>
        <v/>
      </c>
      <c r="B232" s="16" t="str">
        <f>IF(A232="","",EDATE($C$7,222))</f>
        <v/>
      </c>
      <c r="C232" s="17" t="str">
        <f>IF(A232="","",G231)</f>
        <v/>
      </c>
      <c r="D232" s="17" t="str">
        <f>IF(A232="","",MIN($F$4,C232*(1+$C$5/12)))</f>
        <v/>
      </c>
      <c r="E232" s="17" t="str">
        <f>IF(A232="","",C232*$C$5/12)</f>
        <v/>
      </c>
      <c r="F232" s="17" t="str">
        <f>IF(A232="","",D232-E232)</f>
        <v/>
      </c>
      <c r="G232" s="17" t="str">
        <f>IF(A232="","",MAX(0,C232-F232))</f>
        <v/>
      </c>
    </row>
    <row r="233">
      <c r="A233" s="15" t="str">
        <f>IF(224&gt;$F$5,"",224)</f>
        <v/>
      </c>
      <c r="B233" s="16" t="str">
        <f>IF(A233="","",EDATE($C$7,223))</f>
        <v/>
      </c>
      <c r="C233" s="17" t="str">
        <f>IF(A233="","",G232)</f>
        <v/>
      </c>
      <c r="D233" s="17" t="str">
        <f>IF(A233="","",MIN($F$4,C233*(1+$C$5/12)))</f>
        <v/>
      </c>
      <c r="E233" s="17" t="str">
        <f>IF(A233="","",C233*$C$5/12)</f>
        <v/>
      </c>
      <c r="F233" s="17" t="str">
        <f>IF(A233="","",D233-E233)</f>
        <v/>
      </c>
      <c r="G233" s="17" t="str">
        <f>IF(A233="","",MAX(0,C233-F233))</f>
        <v/>
      </c>
    </row>
    <row r="234">
      <c r="A234" s="15" t="str">
        <f>IF(225&gt;$F$5,"",225)</f>
        <v/>
      </c>
      <c r="B234" s="16" t="str">
        <f>IF(A234="","",EDATE($C$7,224))</f>
        <v/>
      </c>
      <c r="C234" s="17" t="str">
        <f>IF(A234="","",G233)</f>
        <v/>
      </c>
      <c r="D234" s="17" t="str">
        <f>IF(A234="","",MIN($F$4,C234*(1+$C$5/12)))</f>
        <v/>
      </c>
      <c r="E234" s="17" t="str">
        <f>IF(A234="","",C234*$C$5/12)</f>
        <v/>
      </c>
      <c r="F234" s="17" t="str">
        <f>IF(A234="","",D234-E234)</f>
        <v/>
      </c>
      <c r="G234" s="17" t="str">
        <f>IF(A234="","",MAX(0,C234-F234))</f>
        <v/>
      </c>
    </row>
    <row r="235">
      <c r="A235" s="15" t="str">
        <f>IF(226&gt;$F$5,"",226)</f>
        <v/>
      </c>
      <c r="B235" s="16" t="str">
        <f>IF(A235="","",EDATE($C$7,225))</f>
        <v/>
      </c>
      <c r="C235" s="17" t="str">
        <f>IF(A235="","",G234)</f>
        <v/>
      </c>
      <c r="D235" s="17" t="str">
        <f>IF(A235="","",MIN($F$4,C235*(1+$C$5/12)))</f>
        <v/>
      </c>
      <c r="E235" s="17" t="str">
        <f>IF(A235="","",C235*$C$5/12)</f>
        <v/>
      </c>
      <c r="F235" s="17" t="str">
        <f>IF(A235="","",D235-E235)</f>
        <v/>
      </c>
      <c r="G235" s="17" t="str">
        <f>IF(A235="","",MAX(0,C235-F235))</f>
        <v/>
      </c>
    </row>
    <row r="236">
      <c r="A236" s="15" t="str">
        <f>IF(227&gt;$F$5,"",227)</f>
        <v/>
      </c>
      <c r="B236" s="16" t="str">
        <f>IF(A236="","",EDATE($C$7,226))</f>
        <v/>
      </c>
      <c r="C236" s="17" t="str">
        <f>IF(A236="","",G235)</f>
        <v/>
      </c>
      <c r="D236" s="17" t="str">
        <f>IF(A236="","",MIN($F$4,C236*(1+$C$5/12)))</f>
        <v/>
      </c>
      <c r="E236" s="17" t="str">
        <f>IF(A236="","",C236*$C$5/12)</f>
        <v/>
      </c>
      <c r="F236" s="17" t="str">
        <f>IF(A236="","",D236-E236)</f>
        <v/>
      </c>
      <c r="G236" s="17" t="str">
        <f>IF(A236="","",MAX(0,C236-F236))</f>
        <v/>
      </c>
    </row>
    <row r="237">
      <c r="A237" s="15" t="str">
        <f>IF(228&gt;$F$5,"",228)</f>
        <v/>
      </c>
      <c r="B237" s="16" t="str">
        <f>IF(A237="","",EDATE($C$7,227))</f>
        <v/>
      </c>
      <c r="C237" s="17" t="str">
        <f>IF(A237="","",G236)</f>
        <v/>
      </c>
      <c r="D237" s="17" t="str">
        <f>IF(A237="","",MIN($F$4,C237*(1+$C$5/12)))</f>
        <v/>
      </c>
      <c r="E237" s="17" t="str">
        <f>IF(A237="","",C237*$C$5/12)</f>
        <v/>
      </c>
      <c r="F237" s="17" t="str">
        <f>IF(A237="","",D237-E237)</f>
        <v/>
      </c>
      <c r="G237" s="17" t="str">
        <f>IF(A237="","",MAX(0,C237-F237))</f>
        <v/>
      </c>
    </row>
    <row r="238">
      <c r="A238" s="15" t="str">
        <f>IF(229&gt;$F$5,"",229)</f>
        <v/>
      </c>
      <c r="B238" s="16" t="str">
        <f>IF(A238="","",EDATE($C$7,228))</f>
        <v/>
      </c>
      <c r="C238" s="17" t="str">
        <f>IF(A238="","",G237)</f>
        <v/>
      </c>
      <c r="D238" s="17" t="str">
        <f>IF(A238="","",MIN($F$4,C238*(1+$C$5/12)))</f>
        <v/>
      </c>
      <c r="E238" s="17" t="str">
        <f>IF(A238="","",C238*$C$5/12)</f>
        <v/>
      </c>
      <c r="F238" s="17" t="str">
        <f>IF(A238="","",D238-E238)</f>
        <v/>
      </c>
      <c r="G238" s="17" t="str">
        <f>IF(A238="","",MAX(0,C238-F238))</f>
        <v/>
      </c>
    </row>
    <row r="239">
      <c r="A239" s="15" t="str">
        <f>IF(230&gt;$F$5,"",230)</f>
        <v/>
      </c>
      <c r="B239" s="16" t="str">
        <f>IF(A239="","",EDATE($C$7,229))</f>
        <v/>
      </c>
      <c r="C239" s="17" t="str">
        <f>IF(A239="","",G238)</f>
        <v/>
      </c>
      <c r="D239" s="17" t="str">
        <f>IF(A239="","",MIN($F$4,C239*(1+$C$5/12)))</f>
        <v/>
      </c>
      <c r="E239" s="17" t="str">
        <f>IF(A239="","",C239*$C$5/12)</f>
        <v/>
      </c>
      <c r="F239" s="17" t="str">
        <f>IF(A239="","",D239-E239)</f>
        <v/>
      </c>
      <c r="G239" s="17" t="str">
        <f>IF(A239="","",MAX(0,C239-F239))</f>
        <v/>
      </c>
    </row>
    <row r="240">
      <c r="A240" s="15" t="str">
        <f>IF(231&gt;$F$5,"",231)</f>
        <v/>
      </c>
      <c r="B240" s="16" t="str">
        <f>IF(A240="","",EDATE($C$7,230))</f>
        <v/>
      </c>
      <c r="C240" s="17" t="str">
        <f>IF(A240="","",G239)</f>
        <v/>
      </c>
      <c r="D240" s="17" t="str">
        <f>IF(A240="","",MIN($F$4,C240*(1+$C$5/12)))</f>
        <v/>
      </c>
      <c r="E240" s="17" t="str">
        <f>IF(A240="","",C240*$C$5/12)</f>
        <v/>
      </c>
      <c r="F240" s="17" t="str">
        <f>IF(A240="","",D240-E240)</f>
        <v/>
      </c>
      <c r="G240" s="17" t="str">
        <f>IF(A240="","",MAX(0,C240-F240))</f>
        <v/>
      </c>
    </row>
    <row r="241">
      <c r="A241" s="15" t="str">
        <f>IF(232&gt;$F$5,"",232)</f>
        <v/>
      </c>
      <c r="B241" s="16" t="str">
        <f>IF(A241="","",EDATE($C$7,231))</f>
        <v/>
      </c>
      <c r="C241" s="17" t="str">
        <f>IF(A241="","",G240)</f>
        <v/>
      </c>
      <c r="D241" s="17" t="str">
        <f>IF(A241="","",MIN($F$4,C241*(1+$C$5/12)))</f>
        <v/>
      </c>
      <c r="E241" s="17" t="str">
        <f>IF(A241="","",C241*$C$5/12)</f>
        <v/>
      </c>
      <c r="F241" s="17" t="str">
        <f>IF(A241="","",D241-E241)</f>
        <v/>
      </c>
      <c r="G241" s="17" t="str">
        <f>IF(A241="","",MAX(0,C241-F241))</f>
        <v/>
      </c>
    </row>
    <row r="242">
      <c r="A242" s="15" t="str">
        <f>IF(233&gt;$F$5,"",233)</f>
        <v/>
      </c>
      <c r="B242" s="16" t="str">
        <f>IF(A242="","",EDATE($C$7,232))</f>
        <v/>
      </c>
      <c r="C242" s="17" t="str">
        <f>IF(A242="","",G241)</f>
        <v/>
      </c>
      <c r="D242" s="17" t="str">
        <f>IF(A242="","",MIN($F$4,C242*(1+$C$5/12)))</f>
        <v/>
      </c>
      <c r="E242" s="17" t="str">
        <f>IF(A242="","",C242*$C$5/12)</f>
        <v/>
      </c>
      <c r="F242" s="17" t="str">
        <f>IF(A242="","",D242-E242)</f>
        <v/>
      </c>
      <c r="G242" s="17" t="str">
        <f>IF(A242="","",MAX(0,C242-F242))</f>
        <v/>
      </c>
    </row>
    <row r="243">
      <c r="A243" s="15" t="str">
        <f>IF(234&gt;$F$5,"",234)</f>
        <v/>
      </c>
      <c r="B243" s="16" t="str">
        <f>IF(A243="","",EDATE($C$7,233))</f>
        <v/>
      </c>
      <c r="C243" s="17" t="str">
        <f>IF(A243="","",G242)</f>
        <v/>
      </c>
      <c r="D243" s="17" t="str">
        <f>IF(A243="","",MIN($F$4,C243*(1+$C$5/12)))</f>
        <v/>
      </c>
      <c r="E243" s="17" t="str">
        <f>IF(A243="","",C243*$C$5/12)</f>
        <v/>
      </c>
      <c r="F243" s="17" t="str">
        <f>IF(A243="","",D243-E243)</f>
        <v/>
      </c>
      <c r="G243" s="17" t="str">
        <f>IF(A243="","",MAX(0,C243-F243))</f>
        <v/>
      </c>
    </row>
    <row r="244">
      <c r="A244" s="15" t="str">
        <f>IF(235&gt;$F$5,"",235)</f>
        <v/>
      </c>
      <c r="B244" s="16" t="str">
        <f>IF(A244="","",EDATE($C$7,234))</f>
        <v/>
      </c>
      <c r="C244" s="17" t="str">
        <f>IF(A244="","",G243)</f>
        <v/>
      </c>
      <c r="D244" s="17" t="str">
        <f>IF(A244="","",MIN($F$4,C244*(1+$C$5/12)))</f>
        <v/>
      </c>
      <c r="E244" s="17" t="str">
        <f>IF(A244="","",C244*$C$5/12)</f>
        <v/>
      </c>
      <c r="F244" s="17" t="str">
        <f>IF(A244="","",D244-E244)</f>
        <v/>
      </c>
      <c r="G244" s="17" t="str">
        <f>IF(A244="","",MAX(0,C244-F244))</f>
        <v/>
      </c>
    </row>
    <row r="245">
      <c r="A245" s="15" t="str">
        <f>IF(236&gt;$F$5,"",236)</f>
        <v/>
      </c>
      <c r="B245" s="16" t="str">
        <f>IF(A245="","",EDATE($C$7,235))</f>
        <v/>
      </c>
      <c r="C245" s="17" t="str">
        <f>IF(A245="","",G244)</f>
        <v/>
      </c>
      <c r="D245" s="17" t="str">
        <f>IF(A245="","",MIN($F$4,C245*(1+$C$5/12)))</f>
        <v/>
      </c>
      <c r="E245" s="17" t="str">
        <f>IF(A245="","",C245*$C$5/12)</f>
        <v/>
      </c>
      <c r="F245" s="17" t="str">
        <f>IF(A245="","",D245-E245)</f>
        <v/>
      </c>
      <c r="G245" s="17" t="str">
        <f>IF(A245="","",MAX(0,C245-F245))</f>
        <v/>
      </c>
    </row>
    <row r="246">
      <c r="A246" s="15" t="str">
        <f>IF(237&gt;$F$5,"",237)</f>
        <v/>
      </c>
      <c r="B246" s="16" t="str">
        <f>IF(A246="","",EDATE($C$7,236))</f>
        <v/>
      </c>
      <c r="C246" s="17" t="str">
        <f>IF(A246="","",G245)</f>
        <v/>
      </c>
      <c r="D246" s="17" t="str">
        <f>IF(A246="","",MIN($F$4,C246*(1+$C$5/12)))</f>
        <v/>
      </c>
      <c r="E246" s="17" t="str">
        <f>IF(A246="","",C246*$C$5/12)</f>
        <v/>
      </c>
      <c r="F246" s="17" t="str">
        <f>IF(A246="","",D246-E246)</f>
        <v/>
      </c>
      <c r="G246" s="17" t="str">
        <f>IF(A246="","",MAX(0,C246-F246))</f>
        <v/>
      </c>
    </row>
    <row r="247">
      <c r="A247" s="15" t="str">
        <f>IF(238&gt;$F$5,"",238)</f>
        <v/>
      </c>
      <c r="B247" s="16" t="str">
        <f>IF(A247="","",EDATE($C$7,237))</f>
        <v/>
      </c>
      <c r="C247" s="17" t="str">
        <f>IF(A247="","",G246)</f>
        <v/>
      </c>
      <c r="D247" s="17" t="str">
        <f>IF(A247="","",MIN($F$4,C247*(1+$C$5/12)))</f>
        <v/>
      </c>
      <c r="E247" s="17" t="str">
        <f>IF(A247="","",C247*$C$5/12)</f>
        <v/>
      </c>
      <c r="F247" s="17" t="str">
        <f>IF(A247="","",D247-E247)</f>
        <v/>
      </c>
      <c r="G247" s="17" t="str">
        <f>IF(A247="","",MAX(0,C247-F247))</f>
        <v/>
      </c>
    </row>
    <row r="248">
      <c r="A248" s="15" t="str">
        <f>IF(239&gt;$F$5,"",239)</f>
        <v/>
      </c>
      <c r="B248" s="16" t="str">
        <f>IF(A248="","",EDATE($C$7,238))</f>
        <v/>
      </c>
      <c r="C248" s="17" t="str">
        <f>IF(A248="","",G247)</f>
        <v/>
      </c>
      <c r="D248" s="17" t="str">
        <f>IF(A248="","",MIN($F$4,C248*(1+$C$5/12)))</f>
        <v/>
      </c>
      <c r="E248" s="17" t="str">
        <f>IF(A248="","",C248*$C$5/12)</f>
        <v/>
      </c>
      <c r="F248" s="17" t="str">
        <f>IF(A248="","",D248-E248)</f>
        <v/>
      </c>
      <c r="G248" s="17" t="str">
        <f>IF(A248="","",MAX(0,C248-F248))</f>
        <v/>
      </c>
    </row>
    <row r="249">
      <c r="A249" s="15" t="str">
        <f>IF(240&gt;$F$5,"",240)</f>
        <v/>
      </c>
      <c r="B249" s="16" t="str">
        <f>IF(A249="","",EDATE($C$7,239))</f>
        <v/>
      </c>
      <c r="C249" s="17" t="str">
        <f>IF(A249="","",G248)</f>
        <v/>
      </c>
      <c r="D249" s="17" t="str">
        <f>IF(A249="","",MIN($F$4,C249*(1+$C$5/12)))</f>
        <v/>
      </c>
      <c r="E249" s="17" t="str">
        <f>IF(A249="","",C249*$C$5/12)</f>
        <v/>
      </c>
      <c r="F249" s="17" t="str">
        <f>IF(A249="","",D249-E249)</f>
        <v/>
      </c>
      <c r="G249" s="17" t="str">
        <f>IF(A249="","",MAX(0,C249-F249))</f>
        <v/>
      </c>
    </row>
    <row r="250">
      <c r="A250" s="15" t="str">
        <f>IF(241&gt;$F$5,"",241)</f>
        <v/>
      </c>
      <c r="B250" s="16" t="str">
        <f>IF(A250="","",EDATE($C$7,240))</f>
        <v/>
      </c>
      <c r="C250" s="17" t="str">
        <f>IF(A250="","",G249)</f>
        <v/>
      </c>
      <c r="D250" s="17" t="str">
        <f>IF(A250="","",MIN($F$4,C250*(1+$C$5/12)))</f>
        <v/>
      </c>
      <c r="E250" s="17" t="str">
        <f>IF(A250="","",C250*$C$5/12)</f>
        <v/>
      </c>
      <c r="F250" s="17" t="str">
        <f>IF(A250="","",D250-E250)</f>
        <v/>
      </c>
      <c r="G250" s="17" t="str">
        <f>IF(A250="","",MAX(0,C250-F250))</f>
        <v/>
      </c>
    </row>
    <row r="251">
      <c r="A251" s="15" t="str">
        <f>IF(242&gt;$F$5,"",242)</f>
        <v/>
      </c>
      <c r="B251" s="16" t="str">
        <f>IF(A251="","",EDATE($C$7,241))</f>
        <v/>
      </c>
      <c r="C251" s="17" t="str">
        <f>IF(A251="","",G250)</f>
        <v/>
      </c>
      <c r="D251" s="17" t="str">
        <f>IF(A251="","",MIN($F$4,C251*(1+$C$5/12)))</f>
        <v/>
      </c>
      <c r="E251" s="17" t="str">
        <f>IF(A251="","",C251*$C$5/12)</f>
        <v/>
      </c>
      <c r="F251" s="17" t="str">
        <f>IF(A251="","",D251-E251)</f>
        <v/>
      </c>
      <c r="G251" s="17" t="str">
        <f>IF(A251="","",MAX(0,C251-F251))</f>
        <v/>
      </c>
    </row>
    <row r="252">
      <c r="A252" s="15" t="str">
        <f>IF(243&gt;$F$5,"",243)</f>
        <v/>
      </c>
      <c r="B252" s="16" t="str">
        <f>IF(A252="","",EDATE($C$7,242))</f>
        <v/>
      </c>
      <c r="C252" s="17" t="str">
        <f>IF(A252="","",G251)</f>
        <v/>
      </c>
      <c r="D252" s="17" t="str">
        <f>IF(A252="","",MIN($F$4,C252*(1+$C$5/12)))</f>
        <v/>
      </c>
      <c r="E252" s="17" t="str">
        <f>IF(A252="","",C252*$C$5/12)</f>
        <v/>
      </c>
      <c r="F252" s="17" t="str">
        <f>IF(A252="","",D252-E252)</f>
        <v/>
      </c>
      <c r="G252" s="17" t="str">
        <f>IF(A252="","",MAX(0,C252-F252))</f>
        <v/>
      </c>
    </row>
    <row r="253">
      <c r="A253" s="15" t="str">
        <f>IF(244&gt;$F$5,"",244)</f>
        <v/>
      </c>
      <c r="B253" s="16" t="str">
        <f>IF(A253="","",EDATE($C$7,243))</f>
        <v/>
      </c>
      <c r="C253" s="17" t="str">
        <f>IF(A253="","",G252)</f>
        <v/>
      </c>
      <c r="D253" s="17" t="str">
        <f>IF(A253="","",MIN($F$4,C253*(1+$C$5/12)))</f>
        <v/>
      </c>
      <c r="E253" s="17" t="str">
        <f>IF(A253="","",C253*$C$5/12)</f>
        <v/>
      </c>
      <c r="F253" s="17" t="str">
        <f>IF(A253="","",D253-E253)</f>
        <v/>
      </c>
      <c r="G253" s="17" t="str">
        <f>IF(A253="","",MAX(0,C253-F253))</f>
        <v/>
      </c>
    </row>
    <row r="254">
      <c r="A254" s="15" t="str">
        <f>IF(245&gt;$F$5,"",245)</f>
        <v/>
      </c>
      <c r="B254" s="16" t="str">
        <f>IF(A254="","",EDATE($C$7,244))</f>
        <v/>
      </c>
      <c r="C254" s="17" t="str">
        <f>IF(A254="","",G253)</f>
        <v/>
      </c>
      <c r="D254" s="17" t="str">
        <f>IF(A254="","",MIN($F$4,C254*(1+$C$5/12)))</f>
        <v/>
      </c>
      <c r="E254" s="17" t="str">
        <f>IF(A254="","",C254*$C$5/12)</f>
        <v/>
      </c>
      <c r="F254" s="17" t="str">
        <f>IF(A254="","",D254-E254)</f>
        <v/>
      </c>
      <c r="G254" s="17" t="str">
        <f>IF(A254="","",MAX(0,C254-F254))</f>
        <v/>
      </c>
    </row>
    <row r="255">
      <c r="A255" s="15" t="str">
        <f>IF(246&gt;$F$5,"",246)</f>
        <v/>
      </c>
      <c r="B255" s="16" t="str">
        <f>IF(A255="","",EDATE($C$7,245))</f>
        <v/>
      </c>
      <c r="C255" s="17" t="str">
        <f>IF(A255="","",G254)</f>
        <v/>
      </c>
      <c r="D255" s="17" t="str">
        <f>IF(A255="","",MIN($F$4,C255*(1+$C$5/12)))</f>
        <v/>
      </c>
      <c r="E255" s="17" t="str">
        <f>IF(A255="","",C255*$C$5/12)</f>
        <v/>
      </c>
      <c r="F255" s="17" t="str">
        <f>IF(A255="","",D255-E255)</f>
        <v/>
      </c>
      <c r="G255" s="17" t="str">
        <f>IF(A255="","",MAX(0,C255-F255))</f>
        <v/>
      </c>
    </row>
    <row r="256">
      <c r="A256" s="15" t="str">
        <f>IF(247&gt;$F$5,"",247)</f>
        <v/>
      </c>
      <c r="B256" s="16" t="str">
        <f>IF(A256="","",EDATE($C$7,246))</f>
        <v/>
      </c>
      <c r="C256" s="17" t="str">
        <f>IF(A256="","",G255)</f>
        <v/>
      </c>
      <c r="D256" s="17" t="str">
        <f>IF(A256="","",MIN($F$4,C256*(1+$C$5/12)))</f>
        <v/>
      </c>
      <c r="E256" s="17" t="str">
        <f>IF(A256="","",C256*$C$5/12)</f>
        <v/>
      </c>
      <c r="F256" s="17" t="str">
        <f>IF(A256="","",D256-E256)</f>
        <v/>
      </c>
      <c r="G256" s="17" t="str">
        <f>IF(A256="","",MAX(0,C256-F256))</f>
        <v/>
      </c>
    </row>
    <row r="257">
      <c r="A257" s="15" t="str">
        <f>IF(248&gt;$F$5,"",248)</f>
        <v/>
      </c>
      <c r="B257" s="16" t="str">
        <f>IF(A257="","",EDATE($C$7,247))</f>
        <v/>
      </c>
      <c r="C257" s="17" t="str">
        <f>IF(A257="","",G256)</f>
        <v/>
      </c>
      <c r="D257" s="17" t="str">
        <f>IF(A257="","",MIN($F$4,C257*(1+$C$5/12)))</f>
        <v/>
      </c>
      <c r="E257" s="17" t="str">
        <f>IF(A257="","",C257*$C$5/12)</f>
        <v/>
      </c>
      <c r="F257" s="17" t="str">
        <f>IF(A257="","",D257-E257)</f>
        <v/>
      </c>
      <c r="G257" s="17" t="str">
        <f>IF(A257="","",MAX(0,C257-F257))</f>
        <v/>
      </c>
    </row>
    <row r="258">
      <c r="A258" s="15" t="str">
        <f>IF(249&gt;$F$5,"",249)</f>
        <v/>
      </c>
      <c r="B258" s="16" t="str">
        <f>IF(A258="","",EDATE($C$7,248))</f>
        <v/>
      </c>
      <c r="C258" s="17" t="str">
        <f>IF(A258="","",G257)</f>
        <v/>
      </c>
      <c r="D258" s="17" t="str">
        <f>IF(A258="","",MIN($F$4,C258*(1+$C$5/12)))</f>
        <v/>
      </c>
      <c r="E258" s="17" t="str">
        <f>IF(A258="","",C258*$C$5/12)</f>
        <v/>
      </c>
      <c r="F258" s="17" t="str">
        <f>IF(A258="","",D258-E258)</f>
        <v/>
      </c>
      <c r="G258" s="17" t="str">
        <f>IF(A258="","",MAX(0,C258-F258))</f>
        <v/>
      </c>
    </row>
    <row r="259">
      <c r="A259" s="15" t="str">
        <f>IF(250&gt;$F$5,"",250)</f>
        <v/>
      </c>
      <c r="B259" s="16" t="str">
        <f>IF(A259="","",EDATE($C$7,249))</f>
        <v/>
      </c>
      <c r="C259" s="17" t="str">
        <f>IF(A259="","",G258)</f>
        <v/>
      </c>
      <c r="D259" s="17" t="str">
        <f>IF(A259="","",MIN($F$4,C259*(1+$C$5/12)))</f>
        <v/>
      </c>
      <c r="E259" s="17" t="str">
        <f>IF(A259="","",C259*$C$5/12)</f>
        <v/>
      </c>
      <c r="F259" s="17" t="str">
        <f>IF(A259="","",D259-E259)</f>
        <v/>
      </c>
      <c r="G259" s="17" t="str">
        <f>IF(A259="","",MAX(0,C259-F259))</f>
        <v/>
      </c>
    </row>
    <row r="260">
      <c r="A260" s="15" t="str">
        <f>IF(251&gt;$F$5,"",251)</f>
        <v/>
      </c>
      <c r="B260" s="16" t="str">
        <f>IF(A260="","",EDATE($C$7,250))</f>
        <v/>
      </c>
      <c r="C260" s="17" t="str">
        <f>IF(A260="","",G259)</f>
        <v/>
      </c>
      <c r="D260" s="17" t="str">
        <f>IF(A260="","",MIN($F$4,C260*(1+$C$5/12)))</f>
        <v/>
      </c>
      <c r="E260" s="17" t="str">
        <f>IF(A260="","",C260*$C$5/12)</f>
        <v/>
      </c>
      <c r="F260" s="17" t="str">
        <f>IF(A260="","",D260-E260)</f>
        <v/>
      </c>
      <c r="G260" s="17" t="str">
        <f>IF(A260="","",MAX(0,C260-F260))</f>
        <v/>
      </c>
    </row>
    <row r="261">
      <c r="A261" s="15" t="str">
        <f>IF(252&gt;$F$5,"",252)</f>
        <v/>
      </c>
      <c r="B261" s="16" t="str">
        <f>IF(A261="","",EDATE($C$7,251))</f>
        <v/>
      </c>
      <c r="C261" s="17" t="str">
        <f>IF(A261="","",G260)</f>
        <v/>
      </c>
      <c r="D261" s="17" t="str">
        <f>IF(A261="","",MIN($F$4,C261*(1+$C$5/12)))</f>
        <v/>
      </c>
      <c r="E261" s="17" t="str">
        <f>IF(A261="","",C261*$C$5/12)</f>
        <v/>
      </c>
      <c r="F261" s="17" t="str">
        <f>IF(A261="","",D261-E261)</f>
        <v/>
      </c>
      <c r="G261" s="17" t="str">
        <f>IF(A261="","",MAX(0,C261-F261))</f>
        <v/>
      </c>
    </row>
    <row r="262">
      <c r="A262" s="15" t="str">
        <f>IF(253&gt;$F$5,"",253)</f>
        <v/>
      </c>
      <c r="B262" s="16" t="str">
        <f>IF(A262="","",EDATE($C$7,252))</f>
        <v/>
      </c>
      <c r="C262" s="17" t="str">
        <f>IF(A262="","",G261)</f>
        <v/>
      </c>
      <c r="D262" s="17" t="str">
        <f>IF(A262="","",MIN($F$4,C262*(1+$C$5/12)))</f>
        <v/>
      </c>
      <c r="E262" s="17" t="str">
        <f>IF(A262="","",C262*$C$5/12)</f>
        <v/>
      </c>
      <c r="F262" s="17" t="str">
        <f>IF(A262="","",D262-E262)</f>
        <v/>
      </c>
      <c r="G262" s="17" t="str">
        <f>IF(A262="","",MAX(0,C262-F262))</f>
        <v/>
      </c>
    </row>
    <row r="263">
      <c r="A263" s="15" t="str">
        <f>IF(254&gt;$F$5,"",254)</f>
        <v/>
      </c>
      <c r="B263" s="16" t="str">
        <f>IF(A263="","",EDATE($C$7,253))</f>
        <v/>
      </c>
      <c r="C263" s="17" t="str">
        <f>IF(A263="","",G262)</f>
        <v/>
      </c>
      <c r="D263" s="17" t="str">
        <f>IF(A263="","",MIN($F$4,C263*(1+$C$5/12)))</f>
        <v/>
      </c>
      <c r="E263" s="17" t="str">
        <f>IF(A263="","",C263*$C$5/12)</f>
        <v/>
      </c>
      <c r="F263" s="17" t="str">
        <f>IF(A263="","",D263-E263)</f>
        <v/>
      </c>
      <c r="G263" s="17" t="str">
        <f>IF(A263="","",MAX(0,C263-F263))</f>
        <v/>
      </c>
    </row>
    <row r="264">
      <c r="A264" s="15" t="str">
        <f>IF(255&gt;$F$5,"",255)</f>
        <v/>
      </c>
      <c r="B264" s="16" t="str">
        <f>IF(A264="","",EDATE($C$7,254))</f>
        <v/>
      </c>
      <c r="C264" s="17" t="str">
        <f>IF(A264="","",G263)</f>
        <v/>
      </c>
      <c r="D264" s="17" t="str">
        <f>IF(A264="","",MIN($F$4,C264*(1+$C$5/12)))</f>
        <v/>
      </c>
      <c r="E264" s="17" t="str">
        <f>IF(A264="","",C264*$C$5/12)</f>
        <v/>
      </c>
      <c r="F264" s="17" t="str">
        <f>IF(A264="","",D264-E264)</f>
        <v/>
      </c>
      <c r="G264" s="17" t="str">
        <f>IF(A264="","",MAX(0,C264-F264))</f>
        <v/>
      </c>
    </row>
    <row r="265">
      <c r="A265" s="15" t="str">
        <f>IF(256&gt;$F$5,"",256)</f>
        <v/>
      </c>
      <c r="B265" s="16" t="str">
        <f>IF(A265="","",EDATE($C$7,255))</f>
        <v/>
      </c>
      <c r="C265" s="17" t="str">
        <f>IF(A265="","",G264)</f>
        <v/>
      </c>
      <c r="D265" s="17" t="str">
        <f>IF(A265="","",MIN($F$4,C265*(1+$C$5/12)))</f>
        <v/>
      </c>
      <c r="E265" s="17" t="str">
        <f>IF(A265="","",C265*$C$5/12)</f>
        <v/>
      </c>
      <c r="F265" s="17" t="str">
        <f>IF(A265="","",D265-E265)</f>
        <v/>
      </c>
      <c r="G265" s="17" t="str">
        <f>IF(A265="","",MAX(0,C265-F265))</f>
        <v/>
      </c>
    </row>
    <row r="266">
      <c r="A266" s="15" t="str">
        <f>IF(257&gt;$F$5,"",257)</f>
        <v/>
      </c>
      <c r="B266" s="16" t="str">
        <f>IF(A266="","",EDATE($C$7,256))</f>
        <v/>
      </c>
      <c r="C266" s="17" t="str">
        <f>IF(A266="","",G265)</f>
        <v/>
      </c>
      <c r="D266" s="17" t="str">
        <f>IF(A266="","",MIN($F$4,C266*(1+$C$5/12)))</f>
        <v/>
      </c>
      <c r="E266" s="17" t="str">
        <f>IF(A266="","",C266*$C$5/12)</f>
        <v/>
      </c>
      <c r="F266" s="17" t="str">
        <f>IF(A266="","",D266-E266)</f>
        <v/>
      </c>
      <c r="G266" s="17" t="str">
        <f>IF(A266="","",MAX(0,C266-F266))</f>
        <v/>
      </c>
    </row>
    <row r="267">
      <c r="A267" s="15" t="str">
        <f>IF(258&gt;$F$5,"",258)</f>
        <v/>
      </c>
      <c r="B267" s="16" t="str">
        <f>IF(A267="","",EDATE($C$7,257))</f>
        <v/>
      </c>
      <c r="C267" s="17" t="str">
        <f>IF(A267="","",G266)</f>
        <v/>
      </c>
      <c r="D267" s="17" t="str">
        <f>IF(A267="","",MIN($F$4,C267*(1+$C$5/12)))</f>
        <v/>
      </c>
      <c r="E267" s="17" t="str">
        <f>IF(A267="","",C267*$C$5/12)</f>
        <v/>
      </c>
      <c r="F267" s="17" t="str">
        <f>IF(A267="","",D267-E267)</f>
        <v/>
      </c>
      <c r="G267" s="17" t="str">
        <f>IF(A267="","",MAX(0,C267-F267))</f>
        <v/>
      </c>
    </row>
    <row r="268">
      <c r="A268" s="15" t="str">
        <f>IF(259&gt;$F$5,"",259)</f>
        <v/>
      </c>
      <c r="B268" s="16" t="str">
        <f>IF(A268="","",EDATE($C$7,258))</f>
        <v/>
      </c>
      <c r="C268" s="17" t="str">
        <f>IF(A268="","",G267)</f>
        <v/>
      </c>
      <c r="D268" s="17" t="str">
        <f>IF(A268="","",MIN($F$4,C268*(1+$C$5/12)))</f>
        <v/>
      </c>
      <c r="E268" s="17" t="str">
        <f>IF(A268="","",C268*$C$5/12)</f>
        <v/>
      </c>
      <c r="F268" s="17" t="str">
        <f>IF(A268="","",D268-E268)</f>
        <v/>
      </c>
      <c r="G268" s="17" t="str">
        <f>IF(A268="","",MAX(0,C268-F268))</f>
        <v/>
      </c>
    </row>
    <row r="269">
      <c r="A269" s="15" t="str">
        <f>IF(260&gt;$F$5,"",260)</f>
        <v/>
      </c>
      <c r="B269" s="16" t="str">
        <f>IF(A269="","",EDATE($C$7,259))</f>
        <v/>
      </c>
      <c r="C269" s="17" t="str">
        <f>IF(A269="","",G268)</f>
        <v/>
      </c>
      <c r="D269" s="17" t="str">
        <f>IF(A269="","",MIN($F$4,C269*(1+$C$5/12)))</f>
        <v/>
      </c>
      <c r="E269" s="17" t="str">
        <f>IF(A269="","",C269*$C$5/12)</f>
        <v/>
      </c>
      <c r="F269" s="17" t="str">
        <f>IF(A269="","",D269-E269)</f>
        <v/>
      </c>
      <c r="G269" s="17" t="str">
        <f>IF(A269="","",MAX(0,C269-F269))</f>
        <v/>
      </c>
    </row>
    <row r="270">
      <c r="A270" s="15" t="str">
        <f>IF(261&gt;$F$5,"",261)</f>
        <v/>
      </c>
      <c r="B270" s="16" t="str">
        <f>IF(A270="","",EDATE($C$7,260))</f>
        <v/>
      </c>
      <c r="C270" s="17" t="str">
        <f>IF(A270="","",G269)</f>
        <v/>
      </c>
      <c r="D270" s="17" t="str">
        <f>IF(A270="","",MIN($F$4,C270*(1+$C$5/12)))</f>
        <v/>
      </c>
      <c r="E270" s="17" t="str">
        <f>IF(A270="","",C270*$C$5/12)</f>
        <v/>
      </c>
      <c r="F270" s="17" t="str">
        <f>IF(A270="","",D270-E270)</f>
        <v/>
      </c>
      <c r="G270" s="17" t="str">
        <f>IF(A270="","",MAX(0,C270-F270))</f>
        <v/>
      </c>
    </row>
    <row r="271">
      <c r="A271" s="15" t="str">
        <f>IF(262&gt;$F$5,"",262)</f>
        <v/>
      </c>
      <c r="B271" s="16" t="str">
        <f>IF(A271="","",EDATE($C$7,261))</f>
        <v/>
      </c>
      <c r="C271" s="17" t="str">
        <f>IF(A271="","",G270)</f>
        <v/>
      </c>
      <c r="D271" s="17" t="str">
        <f>IF(A271="","",MIN($F$4,C271*(1+$C$5/12)))</f>
        <v/>
      </c>
      <c r="E271" s="17" t="str">
        <f>IF(A271="","",C271*$C$5/12)</f>
        <v/>
      </c>
      <c r="F271" s="17" t="str">
        <f>IF(A271="","",D271-E271)</f>
        <v/>
      </c>
      <c r="G271" s="17" t="str">
        <f>IF(A271="","",MAX(0,C271-F271))</f>
        <v/>
      </c>
    </row>
    <row r="272">
      <c r="A272" s="15" t="str">
        <f>IF(263&gt;$F$5,"",263)</f>
        <v/>
      </c>
      <c r="B272" s="16" t="str">
        <f>IF(A272="","",EDATE($C$7,262))</f>
        <v/>
      </c>
      <c r="C272" s="17" t="str">
        <f>IF(A272="","",G271)</f>
        <v/>
      </c>
      <c r="D272" s="17" t="str">
        <f>IF(A272="","",MIN($F$4,C272*(1+$C$5/12)))</f>
        <v/>
      </c>
      <c r="E272" s="17" t="str">
        <f>IF(A272="","",C272*$C$5/12)</f>
        <v/>
      </c>
      <c r="F272" s="17" t="str">
        <f>IF(A272="","",D272-E272)</f>
        <v/>
      </c>
      <c r="G272" s="17" t="str">
        <f>IF(A272="","",MAX(0,C272-F272))</f>
        <v/>
      </c>
    </row>
    <row r="273">
      <c r="A273" s="15" t="str">
        <f>IF(264&gt;$F$5,"",264)</f>
        <v/>
      </c>
      <c r="B273" s="16" t="str">
        <f>IF(A273="","",EDATE($C$7,263))</f>
        <v/>
      </c>
      <c r="C273" s="17" t="str">
        <f>IF(A273="","",G272)</f>
        <v/>
      </c>
      <c r="D273" s="17" t="str">
        <f>IF(A273="","",MIN($F$4,C273*(1+$C$5/12)))</f>
        <v/>
      </c>
      <c r="E273" s="17" t="str">
        <f>IF(A273="","",C273*$C$5/12)</f>
        <v/>
      </c>
      <c r="F273" s="17" t="str">
        <f>IF(A273="","",D273-E273)</f>
        <v/>
      </c>
      <c r="G273" s="17" t="str">
        <f>IF(A273="","",MAX(0,C273-F273))</f>
        <v/>
      </c>
    </row>
    <row r="274">
      <c r="A274" s="15" t="str">
        <f>IF(265&gt;$F$5,"",265)</f>
        <v/>
      </c>
      <c r="B274" s="16" t="str">
        <f>IF(A274="","",EDATE($C$7,264))</f>
        <v/>
      </c>
      <c r="C274" s="17" t="str">
        <f>IF(A274="","",G273)</f>
        <v/>
      </c>
      <c r="D274" s="17" t="str">
        <f>IF(A274="","",MIN($F$4,C274*(1+$C$5/12)))</f>
        <v/>
      </c>
      <c r="E274" s="17" t="str">
        <f>IF(A274="","",C274*$C$5/12)</f>
        <v/>
      </c>
      <c r="F274" s="17" t="str">
        <f>IF(A274="","",D274-E274)</f>
        <v/>
      </c>
      <c r="G274" s="17" t="str">
        <f>IF(A274="","",MAX(0,C274-F274))</f>
        <v/>
      </c>
    </row>
    <row r="275">
      <c r="A275" s="15" t="str">
        <f>IF(266&gt;$F$5,"",266)</f>
        <v/>
      </c>
      <c r="B275" s="16" t="str">
        <f>IF(A275="","",EDATE($C$7,265))</f>
        <v/>
      </c>
      <c r="C275" s="17" t="str">
        <f>IF(A275="","",G274)</f>
        <v/>
      </c>
      <c r="D275" s="17" t="str">
        <f>IF(A275="","",MIN($F$4,C275*(1+$C$5/12)))</f>
        <v/>
      </c>
      <c r="E275" s="17" t="str">
        <f>IF(A275="","",C275*$C$5/12)</f>
        <v/>
      </c>
      <c r="F275" s="17" t="str">
        <f>IF(A275="","",D275-E275)</f>
        <v/>
      </c>
      <c r="G275" s="17" t="str">
        <f>IF(A275="","",MAX(0,C275-F275))</f>
        <v/>
      </c>
    </row>
    <row r="276">
      <c r="A276" s="15" t="str">
        <f>IF(267&gt;$F$5,"",267)</f>
        <v/>
      </c>
      <c r="B276" s="16" t="str">
        <f>IF(A276="","",EDATE($C$7,266))</f>
        <v/>
      </c>
      <c r="C276" s="17" t="str">
        <f>IF(A276="","",G275)</f>
        <v/>
      </c>
      <c r="D276" s="17" t="str">
        <f>IF(A276="","",MIN($F$4,C276*(1+$C$5/12)))</f>
        <v/>
      </c>
      <c r="E276" s="17" t="str">
        <f>IF(A276="","",C276*$C$5/12)</f>
        <v/>
      </c>
      <c r="F276" s="17" t="str">
        <f>IF(A276="","",D276-E276)</f>
        <v/>
      </c>
      <c r="G276" s="17" t="str">
        <f>IF(A276="","",MAX(0,C276-F276))</f>
        <v/>
      </c>
    </row>
    <row r="277">
      <c r="A277" s="15" t="str">
        <f>IF(268&gt;$F$5,"",268)</f>
        <v/>
      </c>
      <c r="B277" s="16" t="str">
        <f>IF(A277="","",EDATE($C$7,267))</f>
        <v/>
      </c>
      <c r="C277" s="17" t="str">
        <f>IF(A277="","",G276)</f>
        <v/>
      </c>
      <c r="D277" s="17" t="str">
        <f>IF(A277="","",MIN($F$4,C277*(1+$C$5/12)))</f>
        <v/>
      </c>
      <c r="E277" s="17" t="str">
        <f>IF(A277="","",C277*$C$5/12)</f>
        <v/>
      </c>
      <c r="F277" s="17" t="str">
        <f>IF(A277="","",D277-E277)</f>
        <v/>
      </c>
      <c r="G277" s="17" t="str">
        <f>IF(A277="","",MAX(0,C277-F277))</f>
        <v/>
      </c>
    </row>
    <row r="278">
      <c r="A278" s="15" t="str">
        <f>IF(269&gt;$F$5,"",269)</f>
        <v/>
      </c>
      <c r="B278" s="16" t="str">
        <f>IF(A278="","",EDATE($C$7,268))</f>
        <v/>
      </c>
      <c r="C278" s="17" t="str">
        <f>IF(A278="","",G277)</f>
        <v/>
      </c>
      <c r="D278" s="17" t="str">
        <f>IF(A278="","",MIN($F$4,C278*(1+$C$5/12)))</f>
        <v/>
      </c>
      <c r="E278" s="17" t="str">
        <f>IF(A278="","",C278*$C$5/12)</f>
        <v/>
      </c>
      <c r="F278" s="17" t="str">
        <f>IF(A278="","",D278-E278)</f>
        <v/>
      </c>
      <c r="G278" s="17" t="str">
        <f>IF(A278="","",MAX(0,C278-F278))</f>
        <v/>
      </c>
    </row>
    <row r="279">
      <c r="A279" s="15" t="str">
        <f>IF(270&gt;$F$5,"",270)</f>
        <v/>
      </c>
      <c r="B279" s="16" t="str">
        <f>IF(A279="","",EDATE($C$7,269))</f>
        <v/>
      </c>
      <c r="C279" s="17" t="str">
        <f>IF(A279="","",G278)</f>
        <v/>
      </c>
      <c r="D279" s="17" t="str">
        <f>IF(A279="","",MIN($F$4,C279*(1+$C$5/12)))</f>
        <v/>
      </c>
      <c r="E279" s="17" t="str">
        <f>IF(A279="","",C279*$C$5/12)</f>
        <v/>
      </c>
      <c r="F279" s="17" t="str">
        <f>IF(A279="","",D279-E279)</f>
        <v/>
      </c>
      <c r="G279" s="17" t="str">
        <f>IF(A279="","",MAX(0,C279-F279))</f>
        <v/>
      </c>
    </row>
    <row r="280">
      <c r="A280" s="15" t="str">
        <f>IF(271&gt;$F$5,"",271)</f>
        <v/>
      </c>
      <c r="B280" s="16" t="str">
        <f>IF(A280="","",EDATE($C$7,270))</f>
        <v/>
      </c>
      <c r="C280" s="17" t="str">
        <f>IF(A280="","",G279)</f>
        <v/>
      </c>
      <c r="D280" s="17" t="str">
        <f>IF(A280="","",MIN($F$4,C280*(1+$C$5/12)))</f>
        <v/>
      </c>
      <c r="E280" s="17" t="str">
        <f>IF(A280="","",C280*$C$5/12)</f>
        <v/>
      </c>
      <c r="F280" s="17" t="str">
        <f>IF(A280="","",D280-E280)</f>
        <v/>
      </c>
      <c r="G280" s="17" t="str">
        <f>IF(A280="","",MAX(0,C280-F280))</f>
        <v/>
      </c>
    </row>
    <row r="281">
      <c r="A281" s="15" t="str">
        <f>IF(272&gt;$F$5,"",272)</f>
        <v/>
      </c>
      <c r="B281" s="16" t="str">
        <f>IF(A281="","",EDATE($C$7,271))</f>
        <v/>
      </c>
      <c r="C281" s="17" t="str">
        <f>IF(A281="","",G280)</f>
        <v/>
      </c>
      <c r="D281" s="17" t="str">
        <f>IF(A281="","",MIN($F$4,C281*(1+$C$5/12)))</f>
        <v/>
      </c>
      <c r="E281" s="17" t="str">
        <f>IF(A281="","",C281*$C$5/12)</f>
        <v/>
      </c>
      <c r="F281" s="17" t="str">
        <f>IF(A281="","",D281-E281)</f>
        <v/>
      </c>
      <c r="G281" s="17" t="str">
        <f>IF(A281="","",MAX(0,C281-F281))</f>
        <v/>
      </c>
    </row>
    <row r="282">
      <c r="A282" s="15" t="str">
        <f>IF(273&gt;$F$5,"",273)</f>
        <v/>
      </c>
      <c r="B282" s="16" t="str">
        <f>IF(A282="","",EDATE($C$7,272))</f>
        <v/>
      </c>
      <c r="C282" s="17" t="str">
        <f>IF(A282="","",G281)</f>
        <v/>
      </c>
      <c r="D282" s="17" t="str">
        <f>IF(A282="","",MIN($F$4,C282*(1+$C$5/12)))</f>
        <v/>
      </c>
      <c r="E282" s="17" t="str">
        <f>IF(A282="","",C282*$C$5/12)</f>
        <v/>
      </c>
      <c r="F282" s="17" t="str">
        <f>IF(A282="","",D282-E282)</f>
        <v/>
      </c>
      <c r="G282" s="17" t="str">
        <f>IF(A282="","",MAX(0,C282-F282))</f>
        <v/>
      </c>
    </row>
    <row r="283">
      <c r="A283" s="15" t="str">
        <f>IF(274&gt;$F$5,"",274)</f>
        <v/>
      </c>
      <c r="B283" s="16" t="str">
        <f>IF(A283="","",EDATE($C$7,273))</f>
        <v/>
      </c>
      <c r="C283" s="17" t="str">
        <f>IF(A283="","",G282)</f>
        <v/>
      </c>
      <c r="D283" s="17" t="str">
        <f>IF(A283="","",MIN($F$4,C283*(1+$C$5/12)))</f>
        <v/>
      </c>
      <c r="E283" s="17" t="str">
        <f>IF(A283="","",C283*$C$5/12)</f>
        <v/>
      </c>
      <c r="F283" s="17" t="str">
        <f>IF(A283="","",D283-E283)</f>
        <v/>
      </c>
      <c r="G283" s="17" t="str">
        <f>IF(A283="","",MAX(0,C283-F283))</f>
        <v/>
      </c>
    </row>
    <row r="284">
      <c r="A284" s="15" t="str">
        <f>IF(275&gt;$F$5,"",275)</f>
        <v/>
      </c>
      <c r="B284" s="16" t="str">
        <f>IF(A284="","",EDATE($C$7,274))</f>
        <v/>
      </c>
      <c r="C284" s="17" t="str">
        <f>IF(A284="","",G283)</f>
        <v/>
      </c>
      <c r="D284" s="17" t="str">
        <f>IF(A284="","",MIN($F$4,C284*(1+$C$5/12)))</f>
        <v/>
      </c>
      <c r="E284" s="17" t="str">
        <f>IF(A284="","",C284*$C$5/12)</f>
        <v/>
      </c>
      <c r="F284" s="17" t="str">
        <f>IF(A284="","",D284-E284)</f>
        <v/>
      </c>
      <c r="G284" s="17" t="str">
        <f>IF(A284="","",MAX(0,C284-F284))</f>
        <v/>
      </c>
    </row>
    <row r="285">
      <c r="A285" s="15" t="str">
        <f>IF(276&gt;$F$5,"",276)</f>
        <v/>
      </c>
      <c r="B285" s="16" t="str">
        <f>IF(A285="","",EDATE($C$7,275))</f>
        <v/>
      </c>
      <c r="C285" s="17" t="str">
        <f>IF(A285="","",G284)</f>
        <v/>
      </c>
      <c r="D285" s="17" t="str">
        <f>IF(A285="","",MIN($F$4,C285*(1+$C$5/12)))</f>
        <v/>
      </c>
      <c r="E285" s="17" t="str">
        <f>IF(A285="","",C285*$C$5/12)</f>
        <v/>
      </c>
      <c r="F285" s="17" t="str">
        <f>IF(A285="","",D285-E285)</f>
        <v/>
      </c>
      <c r="G285" s="17" t="str">
        <f>IF(A285="","",MAX(0,C285-F285))</f>
        <v/>
      </c>
    </row>
    <row r="286">
      <c r="A286" s="15" t="str">
        <f>IF(277&gt;$F$5,"",277)</f>
        <v/>
      </c>
      <c r="B286" s="16" t="str">
        <f>IF(A286="","",EDATE($C$7,276))</f>
        <v/>
      </c>
      <c r="C286" s="17" t="str">
        <f>IF(A286="","",G285)</f>
        <v/>
      </c>
      <c r="D286" s="17" t="str">
        <f>IF(A286="","",MIN($F$4,C286*(1+$C$5/12)))</f>
        <v/>
      </c>
      <c r="E286" s="17" t="str">
        <f>IF(A286="","",C286*$C$5/12)</f>
        <v/>
      </c>
      <c r="F286" s="17" t="str">
        <f>IF(A286="","",D286-E286)</f>
        <v/>
      </c>
      <c r="G286" s="17" t="str">
        <f>IF(A286="","",MAX(0,C286-F286))</f>
        <v/>
      </c>
    </row>
    <row r="287">
      <c r="A287" s="15" t="str">
        <f>IF(278&gt;$F$5,"",278)</f>
        <v/>
      </c>
      <c r="B287" s="16" t="str">
        <f>IF(A287="","",EDATE($C$7,277))</f>
        <v/>
      </c>
      <c r="C287" s="17" t="str">
        <f>IF(A287="","",G286)</f>
        <v/>
      </c>
      <c r="D287" s="17" t="str">
        <f>IF(A287="","",MIN($F$4,C287*(1+$C$5/12)))</f>
        <v/>
      </c>
      <c r="E287" s="17" t="str">
        <f>IF(A287="","",C287*$C$5/12)</f>
        <v/>
      </c>
      <c r="F287" s="17" t="str">
        <f>IF(A287="","",D287-E287)</f>
        <v/>
      </c>
      <c r="G287" s="17" t="str">
        <f>IF(A287="","",MAX(0,C287-F287))</f>
        <v/>
      </c>
    </row>
    <row r="288">
      <c r="A288" s="15" t="str">
        <f>IF(279&gt;$F$5,"",279)</f>
        <v/>
      </c>
      <c r="B288" s="16" t="str">
        <f>IF(A288="","",EDATE($C$7,278))</f>
        <v/>
      </c>
      <c r="C288" s="17" t="str">
        <f>IF(A288="","",G287)</f>
        <v/>
      </c>
      <c r="D288" s="17" t="str">
        <f>IF(A288="","",MIN($F$4,C288*(1+$C$5/12)))</f>
        <v/>
      </c>
      <c r="E288" s="17" t="str">
        <f>IF(A288="","",C288*$C$5/12)</f>
        <v/>
      </c>
      <c r="F288" s="17" t="str">
        <f>IF(A288="","",D288-E288)</f>
        <v/>
      </c>
      <c r="G288" s="17" t="str">
        <f>IF(A288="","",MAX(0,C288-F288))</f>
        <v/>
      </c>
    </row>
    <row r="289">
      <c r="A289" s="15" t="str">
        <f>IF(280&gt;$F$5,"",280)</f>
        <v/>
      </c>
      <c r="B289" s="16" t="str">
        <f>IF(A289="","",EDATE($C$7,279))</f>
        <v/>
      </c>
      <c r="C289" s="17" t="str">
        <f>IF(A289="","",G288)</f>
        <v/>
      </c>
      <c r="D289" s="17" t="str">
        <f>IF(A289="","",MIN($F$4,C289*(1+$C$5/12)))</f>
        <v/>
      </c>
      <c r="E289" s="17" t="str">
        <f>IF(A289="","",C289*$C$5/12)</f>
        <v/>
      </c>
      <c r="F289" s="17" t="str">
        <f>IF(A289="","",D289-E289)</f>
        <v/>
      </c>
      <c r="G289" s="17" t="str">
        <f>IF(A289="","",MAX(0,C289-F289))</f>
        <v/>
      </c>
    </row>
    <row r="290">
      <c r="A290" s="15" t="str">
        <f>IF(281&gt;$F$5,"",281)</f>
        <v/>
      </c>
      <c r="B290" s="16" t="str">
        <f>IF(A290="","",EDATE($C$7,280))</f>
        <v/>
      </c>
      <c r="C290" s="17" t="str">
        <f>IF(A290="","",G289)</f>
        <v/>
      </c>
      <c r="D290" s="17" t="str">
        <f>IF(A290="","",MIN($F$4,C290*(1+$C$5/12)))</f>
        <v/>
      </c>
      <c r="E290" s="17" t="str">
        <f>IF(A290="","",C290*$C$5/12)</f>
        <v/>
      </c>
      <c r="F290" s="17" t="str">
        <f>IF(A290="","",D290-E290)</f>
        <v/>
      </c>
      <c r="G290" s="17" t="str">
        <f>IF(A290="","",MAX(0,C290-F290))</f>
        <v/>
      </c>
    </row>
    <row r="291">
      <c r="A291" s="15" t="str">
        <f>IF(282&gt;$F$5,"",282)</f>
        <v/>
      </c>
      <c r="B291" s="16" t="str">
        <f>IF(A291="","",EDATE($C$7,281))</f>
        <v/>
      </c>
      <c r="C291" s="17" t="str">
        <f>IF(A291="","",G290)</f>
        <v/>
      </c>
      <c r="D291" s="17" t="str">
        <f>IF(A291="","",MIN($F$4,C291*(1+$C$5/12)))</f>
        <v/>
      </c>
      <c r="E291" s="17" t="str">
        <f>IF(A291="","",C291*$C$5/12)</f>
        <v/>
      </c>
      <c r="F291" s="17" t="str">
        <f>IF(A291="","",D291-E291)</f>
        <v/>
      </c>
      <c r="G291" s="17" t="str">
        <f>IF(A291="","",MAX(0,C291-F291))</f>
        <v/>
      </c>
    </row>
    <row r="292">
      <c r="A292" s="15" t="str">
        <f>IF(283&gt;$F$5,"",283)</f>
        <v/>
      </c>
      <c r="B292" s="16" t="str">
        <f>IF(A292="","",EDATE($C$7,282))</f>
        <v/>
      </c>
      <c r="C292" s="17" t="str">
        <f>IF(A292="","",G291)</f>
        <v/>
      </c>
      <c r="D292" s="17" t="str">
        <f>IF(A292="","",MIN($F$4,C292*(1+$C$5/12)))</f>
        <v/>
      </c>
      <c r="E292" s="17" t="str">
        <f>IF(A292="","",C292*$C$5/12)</f>
        <v/>
      </c>
      <c r="F292" s="17" t="str">
        <f>IF(A292="","",D292-E292)</f>
        <v/>
      </c>
      <c r="G292" s="17" t="str">
        <f>IF(A292="","",MAX(0,C292-F292))</f>
        <v/>
      </c>
    </row>
    <row r="293">
      <c r="A293" s="15" t="str">
        <f>IF(284&gt;$F$5,"",284)</f>
        <v/>
      </c>
      <c r="B293" s="16" t="str">
        <f>IF(A293="","",EDATE($C$7,283))</f>
        <v/>
      </c>
      <c r="C293" s="17" t="str">
        <f>IF(A293="","",G292)</f>
        <v/>
      </c>
      <c r="D293" s="17" t="str">
        <f>IF(A293="","",MIN($F$4,C293*(1+$C$5/12)))</f>
        <v/>
      </c>
      <c r="E293" s="17" t="str">
        <f>IF(A293="","",C293*$C$5/12)</f>
        <v/>
      </c>
      <c r="F293" s="17" t="str">
        <f>IF(A293="","",D293-E293)</f>
        <v/>
      </c>
      <c r="G293" s="17" t="str">
        <f>IF(A293="","",MAX(0,C293-F293))</f>
        <v/>
      </c>
    </row>
    <row r="294">
      <c r="A294" s="15" t="str">
        <f>IF(285&gt;$F$5,"",285)</f>
        <v/>
      </c>
      <c r="B294" s="16" t="str">
        <f>IF(A294="","",EDATE($C$7,284))</f>
        <v/>
      </c>
      <c r="C294" s="17" t="str">
        <f>IF(A294="","",G293)</f>
        <v/>
      </c>
      <c r="D294" s="17" t="str">
        <f>IF(A294="","",MIN($F$4,C294*(1+$C$5/12)))</f>
        <v/>
      </c>
      <c r="E294" s="17" t="str">
        <f>IF(A294="","",C294*$C$5/12)</f>
        <v/>
      </c>
      <c r="F294" s="17" t="str">
        <f>IF(A294="","",D294-E294)</f>
        <v/>
      </c>
      <c r="G294" s="17" t="str">
        <f>IF(A294="","",MAX(0,C294-F294))</f>
        <v/>
      </c>
    </row>
    <row r="295">
      <c r="A295" s="15" t="str">
        <f>IF(286&gt;$F$5,"",286)</f>
        <v/>
      </c>
      <c r="B295" s="16" t="str">
        <f>IF(A295="","",EDATE($C$7,285))</f>
        <v/>
      </c>
      <c r="C295" s="17" t="str">
        <f>IF(A295="","",G294)</f>
        <v/>
      </c>
      <c r="D295" s="17" t="str">
        <f>IF(A295="","",MIN($F$4,C295*(1+$C$5/12)))</f>
        <v/>
      </c>
      <c r="E295" s="17" t="str">
        <f>IF(A295="","",C295*$C$5/12)</f>
        <v/>
      </c>
      <c r="F295" s="17" t="str">
        <f>IF(A295="","",D295-E295)</f>
        <v/>
      </c>
      <c r="G295" s="17" t="str">
        <f>IF(A295="","",MAX(0,C295-F295))</f>
        <v/>
      </c>
    </row>
    <row r="296">
      <c r="A296" s="15" t="str">
        <f>IF(287&gt;$F$5,"",287)</f>
        <v/>
      </c>
      <c r="B296" s="16" t="str">
        <f>IF(A296="","",EDATE($C$7,286))</f>
        <v/>
      </c>
      <c r="C296" s="17" t="str">
        <f>IF(A296="","",G295)</f>
        <v/>
      </c>
      <c r="D296" s="17" t="str">
        <f>IF(A296="","",MIN($F$4,C296*(1+$C$5/12)))</f>
        <v/>
      </c>
      <c r="E296" s="17" t="str">
        <f>IF(A296="","",C296*$C$5/12)</f>
        <v/>
      </c>
      <c r="F296" s="17" t="str">
        <f>IF(A296="","",D296-E296)</f>
        <v/>
      </c>
      <c r="G296" s="17" t="str">
        <f>IF(A296="","",MAX(0,C296-F296))</f>
        <v/>
      </c>
    </row>
    <row r="297">
      <c r="A297" s="15" t="str">
        <f>IF(288&gt;$F$5,"",288)</f>
        <v/>
      </c>
      <c r="B297" s="16" t="str">
        <f>IF(A297="","",EDATE($C$7,287))</f>
        <v/>
      </c>
      <c r="C297" s="17" t="str">
        <f>IF(A297="","",G296)</f>
        <v/>
      </c>
      <c r="D297" s="17" t="str">
        <f>IF(A297="","",MIN($F$4,C297*(1+$C$5/12)))</f>
        <v/>
      </c>
      <c r="E297" s="17" t="str">
        <f>IF(A297="","",C297*$C$5/12)</f>
        <v/>
      </c>
      <c r="F297" s="17" t="str">
        <f>IF(A297="","",D297-E297)</f>
        <v/>
      </c>
      <c r="G297" s="17" t="str">
        <f>IF(A297="","",MAX(0,C297-F297))</f>
        <v/>
      </c>
    </row>
    <row r="298">
      <c r="A298" s="15" t="str">
        <f>IF(289&gt;$F$5,"",289)</f>
        <v/>
      </c>
      <c r="B298" s="16" t="str">
        <f>IF(A298="","",EDATE($C$7,288))</f>
        <v/>
      </c>
      <c r="C298" s="17" t="str">
        <f>IF(A298="","",G297)</f>
        <v/>
      </c>
      <c r="D298" s="17" t="str">
        <f>IF(A298="","",MIN($F$4,C298*(1+$C$5/12)))</f>
        <v/>
      </c>
      <c r="E298" s="17" t="str">
        <f>IF(A298="","",C298*$C$5/12)</f>
        <v/>
      </c>
      <c r="F298" s="17" t="str">
        <f>IF(A298="","",D298-E298)</f>
        <v/>
      </c>
      <c r="G298" s="17" t="str">
        <f>IF(A298="","",MAX(0,C298-F298))</f>
        <v/>
      </c>
    </row>
    <row r="299">
      <c r="A299" s="15" t="str">
        <f>IF(290&gt;$F$5,"",290)</f>
        <v/>
      </c>
      <c r="B299" s="16" t="str">
        <f>IF(A299="","",EDATE($C$7,289))</f>
        <v/>
      </c>
      <c r="C299" s="17" t="str">
        <f>IF(A299="","",G298)</f>
        <v/>
      </c>
      <c r="D299" s="17" t="str">
        <f>IF(A299="","",MIN($F$4,C299*(1+$C$5/12)))</f>
        <v/>
      </c>
      <c r="E299" s="17" t="str">
        <f>IF(A299="","",C299*$C$5/12)</f>
        <v/>
      </c>
      <c r="F299" s="17" t="str">
        <f>IF(A299="","",D299-E299)</f>
        <v/>
      </c>
      <c r="G299" s="17" t="str">
        <f>IF(A299="","",MAX(0,C299-F299))</f>
        <v/>
      </c>
    </row>
    <row r="300">
      <c r="A300" s="15" t="str">
        <f>IF(291&gt;$F$5,"",291)</f>
        <v/>
      </c>
      <c r="B300" s="16" t="str">
        <f>IF(A300="","",EDATE($C$7,290))</f>
        <v/>
      </c>
      <c r="C300" s="17" t="str">
        <f>IF(A300="","",G299)</f>
        <v/>
      </c>
      <c r="D300" s="17" t="str">
        <f>IF(A300="","",MIN($F$4,C300*(1+$C$5/12)))</f>
        <v/>
      </c>
      <c r="E300" s="17" t="str">
        <f>IF(A300="","",C300*$C$5/12)</f>
        <v/>
      </c>
      <c r="F300" s="17" t="str">
        <f>IF(A300="","",D300-E300)</f>
        <v/>
      </c>
      <c r="G300" s="17" t="str">
        <f>IF(A300="","",MAX(0,C300-F300))</f>
        <v/>
      </c>
    </row>
    <row r="301">
      <c r="A301" s="15" t="str">
        <f>IF(292&gt;$F$5,"",292)</f>
        <v/>
      </c>
      <c r="B301" s="16" t="str">
        <f>IF(A301="","",EDATE($C$7,291))</f>
        <v/>
      </c>
      <c r="C301" s="17" t="str">
        <f>IF(A301="","",G300)</f>
        <v/>
      </c>
      <c r="D301" s="17" t="str">
        <f>IF(A301="","",MIN($F$4,C301*(1+$C$5/12)))</f>
        <v/>
      </c>
      <c r="E301" s="17" t="str">
        <f>IF(A301="","",C301*$C$5/12)</f>
        <v/>
      </c>
      <c r="F301" s="17" t="str">
        <f>IF(A301="","",D301-E301)</f>
        <v/>
      </c>
      <c r="G301" s="17" t="str">
        <f>IF(A301="","",MAX(0,C301-F301))</f>
        <v/>
      </c>
    </row>
    <row r="302">
      <c r="A302" s="15" t="str">
        <f>IF(293&gt;$F$5,"",293)</f>
        <v/>
      </c>
      <c r="B302" s="16" t="str">
        <f>IF(A302="","",EDATE($C$7,292))</f>
        <v/>
      </c>
      <c r="C302" s="17" t="str">
        <f>IF(A302="","",G301)</f>
        <v/>
      </c>
      <c r="D302" s="17" t="str">
        <f>IF(A302="","",MIN($F$4,C302*(1+$C$5/12)))</f>
        <v/>
      </c>
      <c r="E302" s="17" t="str">
        <f>IF(A302="","",C302*$C$5/12)</f>
        <v/>
      </c>
      <c r="F302" s="17" t="str">
        <f>IF(A302="","",D302-E302)</f>
        <v/>
      </c>
      <c r="G302" s="17" t="str">
        <f>IF(A302="","",MAX(0,C302-F302))</f>
        <v/>
      </c>
    </row>
    <row r="303">
      <c r="A303" s="15" t="str">
        <f>IF(294&gt;$F$5,"",294)</f>
        <v/>
      </c>
      <c r="B303" s="16" t="str">
        <f>IF(A303="","",EDATE($C$7,293))</f>
        <v/>
      </c>
      <c r="C303" s="17" t="str">
        <f>IF(A303="","",G302)</f>
        <v/>
      </c>
      <c r="D303" s="17" t="str">
        <f>IF(A303="","",MIN($F$4,C303*(1+$C$5/12)))</f>
        <v/>
      </c>
      <c r="E303" s="17" t="str">
        <f>IF(A303="","",C303*$C$5/12)</f>
        <v/>
      </c>
      <c r="F303" s="17" t="str">
        <f>IF(A303="","",D303-E303)</f>
        <v/>
      </c>
      <c r="G303" s="17" t="str">
        <f>IF(A303="","",MAX(0,C303-F303))</f>
        <v/>
      </c>
    </row>
    <row r="304">
      <c r="A304" s="15" t="str">
        <f>IF(295&gt;$F$5,"",295)</f>
        <v/>
      </c>
      <c r="B304" s="16" t="str">
        <f>IF(A304="","",EDATE($C$7,294))</f>
        <v/>
      </c>
      <c r="C304" s="17" t="str">
        <f>IF(A304="","",G303)</f>
        <v/>
      </c>
      <c r="D304" s="17" t="str">
        <f>IF(A304="","",MIN($F$4,C304*(1+$C$5/12)))</f>
        <v/>
      </c>
      <c r="E304" s="17" t="str">
        <f>IF(A304="","",C304*$C$5/12)</f>
        <v/>
      </c>
      <c r="F304" s="17" t="str">
        <f>IF(A304="","",D304-E304)</f>
        <v/>
      </c>
      <c r="G304" s="17" t="str">
        <f>IF(A304="","",MAX(0,C304-F304))</f>
        <v/>
      </c>
    </row>
    <row r="305">
      <c r="A305" s="15" t="str">
        <f>IF(296&gt;$F$5,"",296)</f>
        <v/>
      </c>
      <c r="B305" s="16" t="str">
        <f>IF(A305="","",EDATE($C$7,295))</f>
        <v/>
      </c>
      <c r="C305" s="17" t="str">
        <f>IF(A305="","",G304)</f>
        <v/>
      </c>
      <c r="D305" s="17" t="str">
        <f>IF(A305="","",MIN($F$4,C305*(1+$C$5/12)))</f>
        <v/>
      </c>
      <c r="E305" s="17" t="str">
        <f>IF(A305="","",C305*$C$5/12)</f>
        <v/>
      </c>
      <c r="F305" s="17" t="str">
        <f>IF(A305="","",D305-E305)</f>
        <v/>
      </c>
      <c r="G305" s="17" t="str">
        <f>IF(A305="","",MAX(0,C305-F305))</f>
        <v/>
      </c>
    </row>
    <row r="306">
      <c r="A306" s="15" t="str">
        <f>IF(297&gt;$F$5,"",297)</f>
        <v/>
      </c>
      <c r="B306" s="16" t="str">
        <f>IF(A306="","",EDATE($C$7,296))</f>
        <v/>
      </c>
      <c r="C306" s="17" t="str">
        <f>IF(A306="","",G305)</f>
        <v/>
      </c>
      <c r="D306" s="17" t="str">
        <f>IF(A306="","",MIN($F$4,C306*(1+$C$5/12)))</f>
        <v/>
      </c>
      <c r="E306" s="17" t="str">
        <f>IF(A306="","",C306*$C$5/12)</f>
        <v/>
      </c>
      <c r="F306" s="17" t="str">
        <f>IF(A306="","",D306-E306)</f>
        <v/>
      </c>
      <c r="G306" s="17" t="str">
        <f>IF(A306="","",MAX(0,C306-F306))</f>
        <v/>
      </c>
    </row>
    <row r="307">
      <c r="A307" s="15" t="str">
        <f>IF(298&gt;$F$5,"",298)</f>
        <v/>
      </c>
      <c r="B307" s="16" t="str">
        <f>IF(A307="","",EDATE($C$7,297))</f>
        <v/>
      </c>
      <c r="C307" s="17" t="str">
        <f>IF(A307="","",G306)</f>
        <v/>
      </c>
      <c r="D307" s="17" t="str">
        <f>IF(A307="","",MIN($F$4,C307*(1+$C$5/12)))</f>
        <v/>
      </c>
      <c r="E307" s="17" t="str">
        <f>IF(A307="","",C307*$C$5/12)</f>
        <v/>
      </c>
      <c r="F307" s="17" t="str">
        <f>IF(A307="","",D307-E307)</f>
        <v/>
      </c>
      <c r="G307" s="17" t="str">
        <f>IF(A307="","",MAX(0,C307-F307))</f>
        <v/>
      </c>
    </row>
    <row r="308">
      <c r="A308" s="15" t="str">
        <f>IF(299&gt;$F$5,"",299)</f>
        <v/>
      </c>
      <c r="B308" s="16" t="str">
        <f>IF(A308="","",EDATE($C$7,298))</f>
        <v/>
      </c>
      <c r="C308" s="17" t="str">
        <f>IF(A308="","",G307)</f>
        <v/>
      </c>
      <c r="D308" s="17" t="str">
        <f>IF(A308="","",MIN($F$4,C308*(1+$C$5/12)))</f>
        <v/>
      </c>
      <c r="E308" s="17" t="str">
        <f>IF(A308="","",C308*$C$5/12)</f>
        <v/>
      </c>
      <c r="F308" s="17" t="str">
        <f>IF(A308="","",D308-E308)</f>
        <v/>
      </c>
      <c r="G308" s="17" t="str">
        <f>IF(A308="","",MAX(0,C308-F308))</f>
        <v/>
      </c>
    </row>
    <row r="309">
      <c r="A309" s="15" t="str">
        <f>IF(300&gt;$F$5,"",300)</f>
        <v/>
      </c>
      <c r="B309" s="16" t="str">
        <f>IF(A309="","",EDATE($C$7,299))</f>
        <v/>
      </c>
      <c r="C309" s="17" t="str">
        <f>IF(A309="","",G308)</f>
        <v/>
      </c>
      <c r="D309" s="17" t="str">
        <f>IF(A309="","",MIN($F$4,C309*(1+$C$5/12)))</f>
        <v/>
      </c>
      <c r="E309" s="17" t="str">
        <f>IF(A309="","",C309*$C$5/12)</f>
        <v/>
      </c>
      <c r="F309" s="17" t="str">
        <f>IF(A309="","",D309-E309)</f>
        <v/>
      </c>
      <c r="G309" s="17" t="str">
        <f>IF(A309="","",MAX(0,C309-F309))</f>
        <v/>
      </c>
    </row>
    <row r="310">
      <c r="A310" s="15" t="str">
        <f>IF(301&gt;$F$5,"",301)</f>
        <v/>
      </c>
      <c r="B310" s="16" t="str">
        <f>IF(A310="","",EDATE($C$7,300))</f>
        <v/>
      </c>
      <c r="C310" s="17" t="str">
        <f>IF(A310="","",G309)</f>
        <v/>
      </c>
      <c r="D310" s="17" t="str">
        <f>IF(A310="","",MIN($F$4,C310*(1+$C$5/12)))</f>
        <v/>
      </c>
      <c r="E310" s="17" t="str">
        <f>IF(A310="","",C310*$C$5/12)</f>
        <v/>
      </c>
      <c r="F310" s="17" t="str">
        <f>IF(A310="","",D310-E310)</f>
        <v/>
      </c>
      <c r="G310" s="17" t="str">
        <f>IF(A310="","",MAX(0,C310-F310))</f>
        <v/>
      </c>
    </row>
    <row r="311">
      <c r="A311" s="15" t="str">
        <f>IF(302&gt;$F$5,"",302)</f>
        <v/>
      </c>
      <c r="B311" s="16" t="str">
        <f>IF(A311="","",EDATE($C$7,301))</f>
        <v/>
      </c>
      <c r="C311" s="17" t="str">
        <f>IF(A311="","",G310)</f>
        <v/>
      </c>
      <c r="D311" s="17" t="str">
        <f>IF(A311="","",MIN($F$4,C311*(1+$C$5/12)))</f>
        <v/>
      </c>
      <c r="E311" s="17" t="str">
        <f>IF(A311="","",C311*$C$5/12)</f>
        <v/>
      </c>
      <c r="F311" s="17" t="str">
        <f>IF(A311="","",D311-E311)</f>
        <v/>
      </c>
      <c r="G311" s="17" t="str">
        <f>IF(A311="","",MAX(0,C311-F311))</f>
        <v/>
      </c>
    </row>
    <row r="312">
      <c r="A312" s="15" t="str">
        <f>IF(303&gt;$F$5,"",303)</f>
        <v/>
      </c>
      <c r="B312" s="16" t="str">
        <f>IF(A312="","",EDATE($C$7,302))</f>
        <v/>
      </c>
      <c r="C312" s="17" t="str">
        <f>IF(A312="","",G311)</f>
        <v/>
      </c>
      <c r="D312" s="17" t="str">
        <f>IF(A312="","",MIN($F$4,C312*(1+$C$5/12)))</f>
        <v/>
      </c>
      <c r="E312" s="17" t="str">
        <f>IF(A312="","",C312*$C$5/12)</f>
        <v/>
      </c>
      <c r="F312" s="17" t="str">
        <f>IF(A312="","",D312-E312)</f>
        <v/>
      </c>
      <c r="G312" s="17" t="str">
        <f>IF(A312="","",MAX(0,C312-F312))</f>
        <v/>
      </c>
    </row>
    <row r="313">
      <c r="A313" s="15" t="str">
        <f>IF(304&gt;$F$5,"",304)</f>
        <v/>
      </c>
      <c r="B313" s="16" t="str">
        <f>IF(A313="","",EDATE($C$7,303))</f>
        <v/>
      </c>
      <c r="C313" s="17" t="str">
        <f>IF(A313="","",G312)</f>
        <v/>
      </c>
      <c r="D313" s="17" t="str">
        <f>IF(A313="","",MIN($F$4,C313*(1+$C$5/12)))</f>
        <v/>
      </c>
      <c r="E313" s="17" t="str">
        <f>IF(A313="","",C313*$C$5/12)</f>
        <v/>
      </c>
      <c r="F313" s="17" t="str">
        <f>IF(A313="","",D313-E313)</f>
        <v/>
      </c>
      <c r="G313" s="17" t="str">
        <f>IF(A313="","",MAX(0,C313-F313))</f>
        <v/>
      </c>
    </row>
    <row r="314">
      <c r="A314" s="15" t="str">
        <f>IF(305&gt;$F$5,"",305)</f>
        <v/>
      </c>
      <c r="B314" s="16" t="str">
        <f>IF(A314="","",EDATE($C$7,304))</f>
        <v/>
      </c>
      <c r="C314" s="17" t="str">
        <f>IF(A314="","",G313)</f>
        <v/>
      </c>
      <c r="D314" s="17" t="str">
        <f>IF(A314="","",MIN($F$4,C314*(1+$C$5/12)))</f>
        <v/>
      </c>
      <c r="E314" s="17" t="str">
        <f>IF(A314="","",C314*$C$5/12)</f>
        <v/>
      </c>
      <c r="F314" s="17" t="str">
        <f>IF(A314="","",D314-E314)</f>
        <v/>
      </c>
      <c r="G314" s="17" t="str">
        <f>IF(A314="","",MAX(0,C314-F314))</f>
        <v/>
      </c>
    </row>
    <row r="315">
      <c r="A315" s="15" t="str">
        <f>IF(306&gt;$F$5,"",306)</f>
        <v/>
      </c>
      <c r="B315" s="16" t="str">
        <f>IF(A315="","",EDATE($C$7,305))</f>
        <v/>
      </c>
      <c r="C315" s="17" t="str">
        <f>IF(A315="","",G314)</f>
        <v/>
      </c>
      <c r="D315" s="17" t="str">
        <f>IF(A315="","",MIN($F$4,C315*(1+$C$5/12)))</f>
        <v/>
      </c>
      <c r="E315" s="17" t="str">
        <f>IF(A315="","",C315*$C$5/12)</f>
        <v/>
      </c>
      <c r="F315" s="17" t="str">
        <f>IF(A315="","",D315-E315)</f>
        <v/>
      </c>
      <c r="G315" s="17" t="str">
        <f>IF(A315="","",MAX(0,C315-F315))</f>
        <v/>
      </c>
    </row>
    <row r="316">
      <c r="A316" s="15" t="str">
        <f>IF(307&gt;$F$5,"",307)</f>
        <v/>
      </c>
      <c r="B316" s="16" t="str">
        <f>IF(A316="","",EDATE($C$7,306))</f>
        <v/>
      </c>
      <c r="C316" s="17" t="str">
        <f>IF(A316="","",G315)</f>
        <v/>
      </c>
      <c r="D316" s="17" t="str">
        <f>IF(A316="","",MIN($F$4,C316*(1+$C$5/12)))</f>
        <v/>
      </c>
      <c r="E316" s="17" t="str">
        <f>IF(A316="","",C316*$C$5/12)</f>
        <v/>
      </c>
      <c r="F316" s="17" t="str">
        <f>IF(A316="","",D316-E316)</f>
        <v/>
      </c>
      <c r="G316" s="17" t="str">
        <f>IF(A316="","",MAX(0,C316-F316))</f>
        <v/>
      </c>
    </row>
    <row r="317">
      <c r="A317" s="15" t="str">
        <f>IF(308&gt;$F$5,"",308)</f>
        <v/>
      </c>
      <c r="B317" s="16" t="str">
        <f>IF(A317="","",EDATE($C$7,307))</f>
        <v/>
      </c>
      <c r="C317" s="17" t="str">
        <f>IF(A317="","",G316)</f>
        <v/>
      </c>
      <c r="D317" s="17" t="str">
        <f>IF(A317="","",MIN($F$4,C317*(1+$C$5/12)))</f>
        <v/>
      </c>
      <c r="E317" s="17" t="str">
        <f>IF(A317="","",C317*$C$5/12)</f>
        <v/>
      </c>
      <c r="F317" s="17" t="str">
        <f>IF(A317="","",D317-E317)</f>
        <v/>
      </c>
      <c r="G317" s="17" t="str">
        <f>IF(A317="","",MAX(0,C317-F317))</f>
        <v/>
      </c>
    </row>
    <row r="318">
      <c r="A318" s="15" t="str">
        <f>IF(309&gt;$F$5,"",309)</f>
        <v/>
      </c>
      <c r="B318" s="16" t="str">
        <f>IF(A318="","",EDATE($C$7,308))</f>
        <v/>
      </c>
      <c r="C318" s="17" t="str">
        <f>IF(A318="","",G317)</f>
        <v/>
      </c>
      <c r="D318" s="17" t="str">
        <f>IF(A318="","",MIN($F$4,C318*(1+$C$5/12)))</f>
        <v/>
      </c>
      <c r="E318" s="17" t="str">
        <f>IF(A318="","",C318*$C$5/12)</f>
        <v/>
      </c>
      <c r="F318" s="17" t="str">
        <f>IF(A318="","",D318-E318)</f>
        <v/>
      </c>
      <c r="G318" s="17" t="str">
        <f>IF(A318="","",MAX(0,C318-F318))</f>
        <v/>
      </c>
    </row>
    <row r="319">
      <c r="A319" s="15" t="str">
        <f>IF(310&gt;$F$5,"",310)</f>
        <v/>
      </c>
      <c r="B319" s="16" t="str">
        <f>IF(A319="","",EDATE($C$7,309))</f>
        <v/>
      </c>
      <c r="C319" s="17" t="str">
        <f>IF(A319="","",G318)</f>
        <v/>
      </c>
      <c r="D319" s="17" t="str">
        <f>IF(A319="","",MIN($F$4,C319*(1+$C$5/12)))</f>
        <v/>
      </c>
      <c r="E319" s="17" t="str">
        <f>IF(A319="","",C319*$C$5/12)</f>
        <v/>
      </c>
      <c r="F319" s="17" t="str">
        <f>IF(A319="","",D319-E319)</f>
        <v/>
      </c>
      <c r="G319" s="17" t="str">
        <f>IF(A319="","",MAX(0,C319-F319))</f>
        <v/>
      </c>
    </row>
    <row r="320">
      <c r="A320" s="15" t="str">
        <f>IF(311&gt;$F$5,"",311)</f>
        <v/>
      </c>
      <c r="B320" s="16" t="str">
        <f>IF(A320="","",EDATE($C$7,310))</f>
        <v/>
      </c>
      <c r="C320" s="17" t="str">
        <f>IF(A320="","",G319)</f>
        <v/>
      </c>
      <c r="D320" s="17" t="str">
        <f>IF(A320="","",MIN($F$4,C320*(1+$C$5/12)))</f>
        <v/>
      </c>
      <c r="E320" s="17" t="str">
        <f>IF(A320="","",C320*$C$5/12)</f>
        <v/>
      </c>
      <c r="F320" s="17" t="str">
        <f>IF(A320="","",D320-E320)</f>
        <v/>
      </c>
      <c r="G320" s="17" t="str">
        <f>IF(A320="","",MAX(0,C320-F320))</f>
        <v/>
      </c>
    </row>
    <row r="321">
      <c r="A321" s="15" t="str">
        <f>IF(312&gt;$F$5,"",312)</f>
        <v/>
      </c>
      <c r="B321" s="16" t="str">
        <f>IF(A321="","",EDATE($C$7,311))</f>
        <v/>
      </c>
      <c r="C321" s="17" t="str">
        <f>IF(A321="","",G320)</f>
        <v/>
      </c>
      <c r="D321" s="17" t="str">
        <f>IF(A321="","",MIN($F$4,C321*(1+$C$5/12)))</f>
        <v/>
      </c>
      <c r="E321" s="17" t="str">
        <f>IF(A321="","",C321*$C$5/12)</f>
        <v/>
      </c>
      <c r="F321" s="17" t="str">
        <f>IF(A321="","",D321-E321)</f>
        <v/>
      </c>
      <c r="G321" s="17" t="str">
        <f>IF(A321="","",MAX(0,C321-F321))</f>
        <v/>
      </c>
    </row>
    <row r="322">
      <c r="A322" s="15" t="str">
        <f>IF(313&gt;$F$5,"",313)</f>
        <v/>
      </c>
      <c r="B322" s="16" t="str">
        <f>IF(A322="","",EDATE($C$7,312))</f>
        <v/>
      </c>
      <c r="C322" s="17" t="str">
        <f>IF(A322="","",G321)</f>
        <v/>
      </c>
      <c r="D322" s="17" t="str">
        <f>IF(A322="","",MIN($F$4,C322*(1+$C$5/12)))</f>
        <v/>
      </c>
      <c r="E322" s="17" t="str">
        <f>IF(A322="","",C322*$C$5/12)</f>
        <v/>
      </c>
      <c r="F322" s="17" t="str">
        <f>IF(A322="","",D322-E322)</f>
        <v/>
      </c>
      <c r="G322" s="17" t="str">
        <f>IF(A322="","",MAX(0,C322-F322))</f>
        <v/>
      </c>
    </row>
    <row r="323">
      <c r="A323" s="15" t="str">
        <f>IF(314&gt;$F$5,"",314)</f>
        <v/>
      </c>
      <c r="B323" s="16" t="str">
        <f>IF(A323="","",EDATE($C$7,313))</f>
        <v/>
      </c>
      <c r="C323" s="17" t="str">
        <f>IF(A323="","",G322)</f>
        <v/>
      </c>
      <c r="D323" s="17" t="str">
        <f>IF(A323="","",MIN($F$4,C323*(1+$C$5/12)))</f>
        <v/>
      </c>
      <c r="E323" s="17" t="str">
        <f>IF(A323="","",C323*$C$5/12)</f>
        <v/>
      </c>
      <c r="F323" s="17" t="str">
        <f>IF(A323="","",D323-E323)</f>
        <v/>
      </c>
      <c r="G323" s="17" t="str">
        <f>IF(A323="","",MAX(0,C323-F323))</f>
        <v/>
      </c>
    </row>
    <row r="324">
      <c r="A324" s="15" t="str">
        <f>IF(315&gt;$F$5,"",315)</f>
        <v/>
      </c>
      <c r="B324" s="16" t="str">
        <f>IF(A324="","",EDATE($C$7,314))</f>
        <v/>
      </c>
      <c r="C324" s="17" t="str">
        <f>IF(A324="","",G323)</f>
        <v/>
      </c>
      <c r="D324" s="17" t="str">
        <f>IF(A324="","",MIN($F$4,C324*(1+$C$5/12)))</f>
        <v/>
      </c>
      <c r="E324" s="17" t="str">
        <f>IF(A324="","",C324*$C$5/12)</f>
        <v/>
      </c>
      <c r="F324" s="17" t="str">
        <f>IF(A324="","",D324-E324)</f>
        <v/>
      </c>
      <c r="G324" s="17" t="str">
        <f>IF(A324="","",MAX(0,C324-F324))</f>
        <v/>
      </c>
    </row>
    <row r="325">
      <c r="A325" s="15" t="str">
        <f>IF(316&gt;$F$5,"",316)</f>
        <v/>
      </c>
      <c r="B325" s="16" t="str">
        <f>IF(A325="","",EDATE($C$7,315))</f>
        <v/>
      </c>
      <c r="C325" s="17" t="str">
        <f>IF(A325="","",G324)</f>
        <v/>
      </c>
      <c r="D325" s="17" t="str">
        <f>IF(A325="","",MIN($F$4,C325*(1+$C$5/12)))</f>
        <v/>
      </c>
      <c r="E325" s="17" t="str">
        <f>IF(A325="","",C325*$C$5/12)</f>
        <v/>
      </c>
      <c r="F325" s="17" t="str">
        <f>IF(A325="","",D325-E325)</f>
        <v/>
      </c>
      <c r="G325" s="17" t="str">
        <f>IF(A325="","",MAX(0,C325-F325))</f>
        <v/>
      </c>
    </row>
    <row r="326">
      <c r="A326" s="15" t="str">
        <f>IF(317&gt;$F$5,"",317)</f>
        <v/>
      </c>
      <c r="B326" s="16" t="str">
        <f>IF(A326="","",EDATE($C$7,316))</f>
        <v/>
      </c>
      <c r="C326" s="17" t="str">
        <f>IF(A326="","",G325)</f>
        <v/>
      </c>
      <c r="D326" s="17" t="str">
        <f>IF(A326="","",MIN($F$4,C326*(1+$C$5/12)))</f>
        <v/>
      </c>
      <c r="E326" s="17" t="str">
        <f>IF(A326="","",C326*$C$5/12)</f>
        <v/>
      </c>
      <c r="F326" s="17" t="str">
        <f>IF(A326="","",D326-E326)</f>
        <v/>
      </c>
      <c r="G326" s="17" t="str">
        <f>IF(A326="","",MAX(0,C326-F326))</f>
        <v/>
      </c>
    </row>
    <row r="327">
      <c r="A327" s="15" t="str">
        <f>IF(318&gt;$F$5,"",318)</f>
        <v/>
      </c>
      <c r="B327" s="16" t="str">
        <f>IF(A327="","",EDATE($C$7,317))</f>
        <v/>
      </c>
      <c r="C327" s="17" t="str">
        <f>IF(A327="","",G326)</f>
        <v/>
      </c>
      <c r="D327" s="17" t="str">
        <f>IF(A327="","",MIN($F$4,C327*(1+$C$5/12)))</f>
        <v/>
      </c>
      <c r="E327" s="17" t="str">
        <f>IF(A327="","",C327*$C$5/12)</f>
        <v/>
      </c>
      <c r="F327" s="17" t="str">
        <f>IF(A327="","",D327-E327)</f>
        <v/>
      </c>
      <c r="G327" s="17" t="str">
        <f>IF(A327="","",MAX(0,C327-F327))</f>
        <v/>
      </c>
    </row>
    <row r="328">
      <c r="A328" s="15" t="str">
        <f>IF(319&gt;$F$5,"",319)</f>
        <v/>
      </c>
      <c r="B328" s="16" t="str">
        <f>IF(A328="","",EDATE($C$7,318))</f>
        <v/>
      </c>
      <c r="C328" s="17" t="str">
        <f>IF(A328="","",G327)</f>
        <v/>
      </c>
      <c r="D328" s="17" t="str">
        <f>IF(A328="","",MIN($F$4,C328*(1+$C$5/12)))</f>
        <v/>
      </c>
      <c r="E328" s="17" t="str">
        <f>IF(A328="","",C328*$C$5/12)</f>
        <v/>
      </c>
      <c r="F328" s="17" t="str">
        <f>IF(A328="","",D328-E328)</f>
        <v/>
      </c>
      <c r="G328" s="17" t="str">
        <f>IF(A328="","",MAX(0,C328-F328))</f>
        <v/>
      </c>
    </row>
    <row r="329">
      <c r="A329" s="15" t="str">
        <f>IF(320&gt;$F$5,"",320)</f>
        <v/>
      </c>
      <c r="B329" s="16" t="str">
        <f>IF(A329="","",EDATE($C$7,319))</f>
        <v/>
      </c>
      <c r="C329" s="17" t="str">
        <f>IF(A329="","",G328)</f>
        <v/>
      </c>
      <c r="D329" s="17" t="str">
        <f>IF(A329="","",MIN($F$4,C329*(1+$C$5/12)))</f>
        <v/>
      </c>
      <c r="E329" s="17" t="str">
        <f>IF(A329="","",C329*$C$5/12)</f>
        <v/>
      </c>
      <c r="F329" s="17" t="str">
        <f>IF(A329="","",D329-E329)</f>
        <v/>
      </c>
      <c r="G329" s="17" t="str">
        <f>IF(A329="","",MAX(0,C329-F329))</f>
        <v/>
      </c>
    </row>
    <row r="330">
      <c r="A330" s="15" t="str">
        <f>IF(321&gt;$F$5,"",321)</f>
        <v/>
      </c>
      <c r="B330" s="16" t="str">
        <f>IF(A330="","",EDATE($C$7,320))</f>
        <v/>
      </c>
      <c r="C330" s="17" t="str">
        <f>IF(A330="","",G329)</f>
        <v/>
      </c>
      <c r="D330" s="17" t="str">
        <f>IF(A330="","",MIN($F$4,C330*(1+$C$5/12)))</f>
        <v/>
      </c>
      <c r="E330" s="17" t="str">
        <f>IF(A330="","",C330*$C$5/12)</f>
        <v/>
      </c>
      <c r="F330" s="17" t="str">
        <f>IF(A330="","",D330-E330)</f>
        <v/>
      </c>
      <c r="G330" s="17" t="str">
        <f>IF(A330="","",MAX(0,C330-F330))</f>
        <v/>
      </c>
    </row>
    <row r="331">
      <c r="A331" s="15" t="str">
        <f>IF(322&gt;$F$5,"",322)</f>
        <v/>
      </c>
      <c r="B331" s="16" t="str">
        <f>IF(A331="","",EDATE($C$7,321))</f>
        <v/>
      </c>
      <c r="C331" s="17" t="str">
        <f>IF(A331="","",G330)</f>
        <v/>
      </c>
      <c r="D331" s="17" t="str">
        <f>IF(A331="","",MIN($F$4,C331*(1+$C$5/12)))</f>
        <v/>
      </c>
      <c r="E331" s="17" t="str">
        <f>IF(A331="","",C331*$C$5/12)</f>
        <v/>
      </c>
      <c r="F331" s="17" t="str">
        <f>IF(A331="","",D331-E331)</f>
        <v/>
      </c>
      <c r="G331" s="17" t="str">
        <f>IF(A331="","",MAX(0,C331-F331))</f>
        <v/>
      </c>
    </row>
    <row r="332">
      <c r="A332" s="15" t="str">
        <f>IF(323&gt;$F$5,"",323)</f>
        <v/>
      </c>
      <c r="B332" s="16" t="str">
        <f>IF(A332="","",EDATE($C$7,322))</f>
        <v/>
      </c>
      <c r="C332" s="17" t="str">
        <f>IF(A332="","",G331)</f>
        <v/>
      </c>
      <c r="D332" s="17" t="str">
        <f>IF(A332="","",MIN($F$4,C332*(1+$C$5/12)))</f>
        <v/>
      </c>
      <c r="E332" s="17" t="str">
        <f>IF(A332="","",C332*$C$5/12)</f>
        <v/>
      </c>
      <c r="F332" s="17" t="str">
        <f>IF(A332="","",D332-E332)</f>
        <v/>
      </c>
      <c r="G332" s="17" t="str">
        <f>IF(A332="","",MAX(0,C332-F332))</f>
        <v/>
      </c>
    </row>
    <row r="333">
      <c r="A333" s="15" t="str">
        <f>IF(324&gt;$F$5,"",324)</f>
        <v/>
      </c>
      <c r="B333" s="16" t="str">
        <f>IF(A333="","",EDATE($C$7,323))</f>
        <v/>
      </c>
      <c r="C333" s="17" t="str">
        <f>IF(A333="","",G332)</f>
        <v/>
      </c>
      <c r="D333" s="17" t="str">
        <f>IF(A333="","",MIN($F$4,C333*(1+$C$5/12)))</f>
        <v/>
      </c>
      <c r="E333" s="17" t="str">
        <f>IF(A333="","",C333*$C$5/12)</f>
        <v/>
      </c>
      <c r="F333" s="17" t="str">
        <f>IF(A333="","",D333-E333)</f>
        <v/>
      </c>
      <c r="G333" s="17" t="str">
        <f>IF(A333="","",MAX(0,C333-F333))</f>
        <v/>
      </c>
    </row>
    <row r="334">
      <c r="A334" s="15" t="str">
        <f>IF(325&gt;$F$5,"",325)</f>
        <v/>
      </c>
      <c r="B334" s="16" t="str">
        <f>IF(A334="","",EDATE($C$7,324))</f>
        <v/>
      </c>
      <c r="C334" s="17" t="str">
        <f>IF(A334="","",G333)</f>
        <v/>
      </c>
      <c r="D334" s="17" t="str">
        <f>IF(A334="","",MIN($F$4,C334*(1+$C$5/12)))</f>
        <v/>
      </c>
      <c r="E334" s="17" t="str">
        <f>IF(A334="","",C334*$C$5/12)</f>
        <v/>
      </c>
      <c r="F334" s="17" t="str">
        <f>IF(A334="","",D334-E334)</f>
        <v/>
      </c>
      <c r="G334" s="17" t="str">
        <f>IF(A334="","",MAX(0,C334-F334))</f>
        <v/>
      </c>
    </row>
    <row r="335">
      <c r="A335" s="15" t="str">
        <f>IF(326&gt;$F$5,"",326)</f>
        <v/>
      </c>
      <c r="B335" s="16" t="str">
        <f>IF(A335="","",EDATE($C$7,325))</f>
        <v/>
      </c>
      <c r="C335" s="17" t="str">
        <f>IF(A335="","",G334)</f>
        <v/>
      </c>
      <c r="D335" s="17" t="str">
        <f>IF(A335="","",MIN($F$4,C335*(1+$C$5/12)))</f>
        <v/>
      </c>
      <c r="E335" s="17" t="str">
        <f>IF(A335="","",C335*$C$5/12)</f>
        <v/>
      </c>
      <c r="F335" s="17" t="str">
        <f>IF(A335="","",D335-E335)</f>
        <v/>
      </c>
      <c r="G335" s="17" t="str">
        <f>IF(A335="","",MAX(0,C335-F335))</f>
        <v/>
      </c>
    </row>
    <row r="336">
      <c r="A336" s="15" t="str">
        <f>IF(327&gt;$F$5,"",327)</f>
        <v/>
      </c>
      <c r="B336" s="16" t="str">
        <f>IF(A336="","",EDATE($C$7,326))</f>
        <v/>
      </c>
      <c r="C336" s="17" t="str">
        <f>IF(A336="","",G335)</f>
        <v/>
      </c>
      <c r="D336" s="17" t="str">
        <f>IF(A336="","",MIN($F$4,C336*(1+$C$5/12)))</f>
        <v/>
      </c>
      <c r="E336" s="17" t="str">
        <f>IF(A336="","",C336*$C$5/12)</f>
        <v/>
      </c>
      <c r="F336" s="17" t="str">
        <f>IF(A336="","",D336-E336)</f>
        <v/>
      </c>
      <c r="G336" s="17" t="str">
        <f>IF(A336="","",MAX(0,C336-F336))</f>
        <v/>
      </c>
    </row>
    <row r="337">
      <c r="A337" s="15" t="str">
        <f>IF(328&gt;$F$5,"",328)</f>
        <v/>
      </c>
      <c r="B337" s="16" t="str">
        <f>IF(A337="","",EDATE($C$7,327))</f>
        <v/>
      </c>
      <c r="C337" s="17" t="str">
        <f>IF(A337="","",G336)</f>
        <v/>
      </c>
      <c r="D337" s="17" t="str">
        <f>IF(A337="","",MIN($F$4,C337*(1+$C$5/12)))</f>
        <v/>
      </c>
      <c r="E337" s="17" t="str">
        <f>IF(A337="","",C337*$C$5/12)</f>
        <v/>
      </c>
      <c r="F337" s="17" t="str">
        <f>IF(A337="","",D337-E337)</f>
        <v/>
      </c>
      <c r="G337" s="17" t="str">
        <f>IF(A337="","",MAX(0,C337-F337))</f>
        <v/>
      </c>
    </row>
    <row r="338">
      <c r="A338" s="15" t="str">
        <f>IF(329&gt;$F$5,"",329)</f>
        <v/>
      </c>
      <c r="B338" s="16" t="str">
        <f>IF(A338="","",EDATE($C$7,328))</f>
        <v/>
      </c>
      <c r="C338" s="17" t="str">
        <f>IF(A338="","",G337)</f>
        <v/>
      </c>
      <c r="D338" s="17" t="str">
        <f>IF(A338="","",MIN($F$4,C338*(1+$C$5/12)))</f>
        <v/>
      </c>
      <c r="E338" s="17" t="str">
        <f>IF(A338="","",C338*$C$5/12)</f>
        <v/>
      </c>
      <c r="F338" s="17" t="str">
        <f>IF(A338="","",D338-E338)</f>
        <v/>
      </c>
      <c r="G338" s="17" t="str">
        <f>IF(A338="","",MAX(0,C338-F338))</f>
        <v/>
      </c>
    </row>
    <row r="339">
      <c r="A339" s="15" t="str">
        <f>IF(330&gt;$F$5,"",330)</f>
        <v/>
      </c>
      <c r="B339" s="16" t="str">
        <f>IF(A339="","",EDATE($C$7,329))</f>
        <v/>
      </c>
      <c r="C339" s="17" t="str">
        <f>IF(A339="","",G338)</f>
        <v/>
      </c>
      <c r="D339" s="17" t="str">
        <f>IF(A339="","",MIN($F$4,C339*(1+$C$5/12)))</f>
        <v/>
      </c>
      <c r="E339" s="17" t="str">
        <f>IF(A339="","",C339*$C$5/12)</f>
        <v/>
      </c>
      <c r="F339" s="17" t="str">
        <f>IF(A339="","",D339-E339)</f>
        <v/>
      </c>
      <c r="G339" s="17" t="str">
        <f>IF(A339="","",MAX(0,C339-F339))</f>
        <v/>
      </c>
    </row>
    <row r="340">
      <c r="A340" s="15" t="str">
        <f>IF(331&gt;$F$5,"",331)</f>
        <v/>
      </c>
      <c r="B340" s="16" t="str">
        <f>IF(A340="","",EDATE($C$7,330))</f>
        <v/>
      </c>
      <c r="C340" s="17" t="str">
        <f>IF(A340="","",G339)</f>
        <v/>
      </c>
      <c r="D340" s="17" t="str">
        <f>IF(A340="","",MIN($F$4,C340*(1+$C$5/12)))</f>
        <v/>
      </c>
      <c r="E340" s="17" t="str">
        <f>IF(A340="","",C340*$C$5/12)</f>
        <v/>
      </c>
      <c r="F340" s="17" t="str">
        <f>IF(A340="","",D340-E340)</f>
        <v/>
      </c>
      <c r="G340" s="17" t="str">
        <f>IF(A340="","",MAX(0,C340-F340))</f>
        <v/>
      </c>
    </row>
    <row r="341">
      <c r="A341" s="15" t="str">
        <f>IF(332&gt;$F$5,"",332)</f>
        <v/>
      </c>
      <c r="B341" s="16" t="str">
        <f>IF(A341="","",EDATE($C$7,331))</f>
        <v/>
      </c>
      <c r="C341" s="17" t="str">
        <f>IF(A341="","",G340)</f>
        <v/>
      </c>
      <c r="D341" s="17" t="str">
        <f>IF(A341="","",MIN($F$4,C341*(1+$C$5/12)))</f>
        <v/>
      </c>
      <c r="E341" s="17" t="str">
        <f>IF(A341="","",C341*$C$5/12)</f>
        <v/>
      </c>
      <c r="F341" s="17" t="str">
        <f>IF(A341="","",D341-E341)</f>
        <v/>
      </c>
      <c r="G341" s="17" t="str">
        <f>IF(A341="","",MAX(0,C341-F341))</f>
        <v/>
      </c>
    </row>
    <row r="342">
      <c r="A342" s="15" t="str">
        <f>IF(333&gt;$F$5,"",333)</f>
        <v/>
      </c>
      <c r="B342" s="16" t="str">
        <f>IF(A342="","",EDATE($C$7,332))</f>
        <v/>
      </c>
      <c r="C342" s="17" t="str">
        <f>IF(A342="","",G341)</f>
        <v/>
      </c>
      <c r="D342" s="17" t="str">
        <f>IF(A342="","",MIN($F$4,C342*(1+$C$5/12)))</f>
        <v/>
      </c>
      <c r="E342" s="17" t="str">
        <f>IF(A342="","",C342*$C$5/12)</f>
        <v/>
      </c>
      <c r="F342" s="17" t="str">
        <f>IF(A342="","",D342-E342)</f>
        <v/>
      </c>
      <c r="G342" s="17" t="str">
        <f>IF(A342="","",MAX(0,C342-F342))</f>
        <v/>
      </c>
    </row>
    <row r="343">
      <c r="A343" s="15" t="str">
        <f>IF(334&gt;$F$5,"",334)</f>
        <v/>
      </c>
      <c r="B343" s="16" t="str">
        <f>IF(A343="","",EDATE($C$7,333))</f>
        <v/>
      </c>
      <c r="C343" s="17" t="str">
        <f>IF(A343="","",G342)</f>
        <v/>
      </c>
      <c r="D343" s="17" t="str">
        <f>IF(A343="","",MIN($F$4,C343*(1+$C$5/12)))</f>
        <v/>
      </c>
      <c r="E343" s="17" t="str">
        <f>IF(A343="","",C343*$C$5/12)</f>
        <v/>
      </c>
      <c r="F343" s="17" t="str">
        <f>IF(A343="","",D343-E343)</f>
        <v/>
      </c>
      <c r="G343" s="17" t="str">
        <f>IF(A343="","",MAX(0,C343-F343))</f>
        <v/>
      </c>
    </row>
    <row r="344">
      <c r="A344" s="15" t="str">
        <f>IF(335&gt;$F$5,"",335)</f>
        <v/>
      </c>
      <c r="B344" s="16" t="str">
        <f>IF(A344="","",EDATE($C$7,334))</f>
        <v/>
      </c>
      <c r="C344" s="17" t="str">
        <f>IF(A344="","",G343)</f>
        <v/>
      </c>
      <c r="D344" s="17" t="str">
        <f>IF(A344="","",MIN($F$4,C344*(1+$C$5/12)))</f>
        <v/>
      </c>
      <c r="E344" s="17" t="str">
        <f>IF(A344="","",C344*$C$5/12)</f>
        <v/>
      </c>
      <c r="F344" s="17" t="str">
        <f>IF(A344="","",D344-E344)</f>
        <v/>
      </c>
      <c r="G344" s="17" t="str">
        <f>IF(A344="","",MAX(0,C344-F344))</f>
        <v/>
      </c>
    </row>
    <row r="345">
      <c r="A345" s="15" t="str">
        <f>IF(336&gt;$F$5,"",336)</f>
        <v/>
      </c>
      <c r="B345" s="16" t="str">
        <f>IF(A345="","",EDATE($C$7,335))</f>
        <v/>
      </c>
      <c r="C345" s="17" t="str">
        <f>IF(A345="","",G344)</f>
        <v/>
      </c>
      <c r="D345" s="17" t="str">
        <f>IF(A345="","",MIN($F$4,C345*(1+$C$5/12)))</f>
        <v/>
      </c>
      <c r="E345" s="17" t="str">
        <f>IF(A345="","",C345*$C$5/12)</f>
        <v/>
      </c>
      <c r="F345" s="17" t="str">
        <f>IF(A345="","",D345-E345)</f>
        <v/>
      </c>
      <c r="G345" s="17" t="str">
        <f>IF(A345="","",MAX(0,C345-F345))</f>
        <v/>
      </c>
    </row>
    <row r="346">
      <c r="A346" s="15" t="str">
        <f>IF(337&gt;$F$5,"",337)</f>
        <v/>
      </c>
      <c r="B346" s="16" t="str">
        <f>IF(A346="","",EDATE($C$7,336))</f>
        <v/>
      </c>
      <c r="C346" s="17" t="str">
        <f>IF(A346="","",G345)</f>
        <v/>
      </c>
      <c r="D346" s="17" t="str">
        <f>IF(A346="","",MIN($F$4,C346*(1+$C$5/12)))</f>
        <v/>
      </c>
      <c r="E346" s="17" t="str">
        <f>IF(A346="","",C346*$C$5/12)</f>
        <v/>
      </c>
      <c r="F346" s="17" t="str">
        <f>IF(A346="","",D346-E346)</f>
        <v/>
      </c>
      <c r="G346" s="17" t="str">
        <f>IF(A346="","",MAX(0,C346-F346))</f>
        <v/>
      </c>
    </row>
    <row r="347">
      <c r="A347" s="15" t="str">
        <f>IF(338&gt;$F$5,"",338)</f>
        <v/>
      </c>
      <c r="B347" s="16" t="str">
        <f>IF(A347="","",EDATE($C$7,337))</f>
        <v/>
      </c>
      <c r="C347" s="17" t="str">
        <f>IF(A347="","",G346)</f>
        <v/>
      </c>
      <c r="D347" s="17" t="str">
        <f>IF(A347="","",MIN($F$4,C347*(1+$C$5/12)))</f>
        <v/>
      </c>
      <c r="E347" s="17" t="str">
        <f>IF(A347="","",C347*$C$5/12)</f>
        <v/>
      </c>
      <c r="F347" s="17" t="str">
        <f>IF(A347="","",D347-E347)</f>
        <v/>
      </c>
      <c r="G347" s="17" t="str">
        <f>IF(A347="","",MAX(0,C347-F347))</f>
        <v/>
      </c>
    </row>
    <row r="348">
      <c r="A348" s="15" t="str">
        <f>IF(339&gt;$F$5,"",339)</f>
        <v/>
      </c>
      <c r="B348" s="16" t="str">
        <f>IF(A348="","",EDATE($C$7,338))</f>
        <v/>
      </c>
      <c r="C348" s="17" t="str">
        <f>IF(A348="","",G347)</f>
        <v/>
      </c>
      <c r="D348" s="17" t="str">
        <f>IF(A348="","",MIN($F$4,C348*(1+$C$5/12)))</f>
        <v/>
      </c>
      <c r="E348" s="17" t="str">
        <f>IF(A348="","",C348*$C$5/12)</f>
        <v/>
      </c>
      <c r="F348" s="17" t="str">
        <f>IF(A348="","",D348-E348)</f>
        <v/>
      </c>
      <c r="G348" s="17" t="str">
        <f>IF(A348="","",MAX(0,C348-F348))</f>
        <v/>
      </c>
    </row>
    <row r="349">
      <c r="A349" s="15" t="str">
        <f>IF(340&gt;$F$5,"",340)</f>
        <v/>
      </c>
      <c r="B349" s="16" t="str">
        <f>IF(A349="","",EDATE($C$7,339))</f>
        <v/>
      </c>
      <c r="C349" s="17" t="str">
        <f>IF(A349="","",G348)</f>
        <v/>
      </c>
      <c r="D349" s="17" t="str">
        <f>IF(A349="","",MIN($F$4,C349*(1+$C$5/12)))</f>
        <v/>
      </c>
      <c r="E349" s="17" t="str">
        <f>IF(A349="","",C349*$C$5/12)</f>
        <v/>
      </c>
      <c r="F349" s="17" t="str">
        <f>IF(A349="","",D349-E349)</f>
        <v/>
      </c>
      <c r="G349" s="17" t="str">
        <f>IF(A349="","",MAX(0,C349-F349))</f>
        <v/>
      </c>
    </row>
    <row r="350">
      <c r="A350" s="15" t="str">
        <f>IF(341&gt;$F$5,"",341)</f>
        <v/>
      </c>
      <c r="B350" s="16" t="str">
        <f>IF(A350="","",EDATE($C$7,340))</f>
        <v/>
      </c>
      <c r="C350" s="17" t="str">
        <f>IF(A350="","",G349)</f>
        <v/>
      </c>
      <c r="D350" s="17" t="str">
        <f>IF(A350="","",MIN($F$4,C350*(1+$C$5/12)))</f>
        <v/>
      </c>
      <c r="E350" s="17" t="str">
        <f>IF(A350="","",C350*$C$5/12)</f>
        <v/>
      </c>
      <c r="F350" s="17" t="str">
        <f>IF(A350="","",D350-E350)</f>
        <v/>
      </c>
      <c r="G350" s="17" t="str">
        <f>IF(A350="","",MAX(0,C350-F350))</f>
        <v/>
      </c>
    </row>
    <row r="351">
      <c r="A351" s="15" t="str">
        <f>IF(342&gt;$F$5,"",342)</f>
        <v/>
      </c>
      <c r="B351" s="16" t="str">
        <f>IF(A351="","",EDATE($C$7,341))</f>
        <v/>
      </c>
      <c r="C351" s="17" t="str">
        <f>IF(A351="","",G350)</f>
        <v/>
      </c>
      <c r="D351" s="17" t="str">
        <f>IF(A351="","",MIN($F$4,C351*(1+$C$5/12)))</f>
        <v/>
      </c>
      <c r="E351" s="17" t="str">
        <f>IF(A351="","",C351*$C$5/12)</f>
        <v/>
      </c>
      <c r="F351" s="17" t="str">
        <f>IF(A351="","",D351-E351)</f>
        <v/>
      </c>
      <c r="G351" s="17" t="str">
        <f>IF(A351="","",MAX(0,C351-F351))</f>
        <v/>
      </c>
    </row>
    <row r="352">
      <c r="A352" s="15" t="str">
        <f>IF(343&gt;$F$5,"",343)</f>
        <v/>
      </c>
      <c r="B352" s="16" t="str">
        <f>IF(A352="","",EDATE($C$7,342))</f>
        <v/>
      </c>
      <c r="C352" s="17" t="str">
        <f>IF(A352="","",G351)</f>
        <v/>
      </c>
      <c r="D352" s="17" t="str">
        <f>IF(A352="","",MIN($F$4,C352*(1+$C$5/12)))</f>
        <v/>
      </c>
      <c r="E352" s="17" t="str">
        <f>IF(A352="","",C352*$C$5/12)</f>
        <v/>
      </c>
      <c r="F352" s="17" t="str">
        <f>IF(A352="","",D352-E352)</f>
        <v/>
      </c>
      <c r="G352" s="17" t="str">
        <f>IF(A352="","",MAX(0,C352-F352))</f>
        <v/>
      </c>
    </row>
    <row r="353">
      <c r="A353" s="15" t="str">
        <f>IF(344&gt;$F$5,"",344)</f>
        <v/>
      </c>
      <c r="B353" s="16" t="str">
        <f>IF(A353="","",EDATE($C$7,343))</f>
        <v/>
      </c>
      <c r="C353" s="17" t="str">
        <f>IF(A353="","",G352)</f>
        <v/>
      </c>
      <c r="D353" s="17" t="str">
        <f>IF(A353="","",MIN($F$4,C353*(1+$C$5/12)))</f>
        <v/>
      </c>
      <c r="E353" s="17" t="str">
        <f>IF(A353="","",C353*$C$5/12)</f>
        <v/>
      </c>
      <c r="F353" s="17" t="str">
        <f>IF(A353="","",D353-E353)</f>
        <v/>
      </c>
      <c r="G353" s="17" t="str">
        <f>IF(A353="","",MAX(0,C353-F353))</f>
        <v/>
      </c>
    </row>
    <row r="354">
      <c r="A354" s="15" t="str">
        <f>IF(345&gt;$F$5,"",345)</f>
        <v/>
      </c>
      <c r="B354" s="16" t="str">
        <f>IF(A354="","",EDATE($C$7,344))</f>
        <v/>
      </c>
      <c r="C354" s="17" t="str">
        <f>IF(A354="","",G353)</f>
        <v/>
      </c>
      <c r="D354" s="17" t="str">
        <f>IF(A354="","",MIN($F$4,C354*(1+$C$5/12)))</f>
        <v/>
      </c>
      <c r="E354" s="17" t="str">
        <f>IF(A354="","",C354*$C$5/12)</f>
        <v/>
      </c>
      <c r="F354" s="17" t="str">
        <f>IF(A354="","",D354-E354)</f>
        <v/>
      </c>
      <c r="G354" s="17" t="str">
        <f>IF(A354="","",MAX(0,C354-F354))</f>
        <v/>
      </c>
    </row>
    <row r="355">
      <c r="A355" s="15" t="str">
        <f>IF(346&gt;$F$5,"",346)</f>
        <v/>
      </c>
      <c r="B355" s="16" t="str">
        <f>IF(A355="","",EDATE($C$7,345))</f>
        <v/>
      </c>
      <c r="C355" s="17" t="str">
        <f>IF(A355="","",G354)</f>
        <v/>
      </c>
      <c r="D355" s="17" t="str">
        <f>IF(A355="","",MIN($F$4,C355*(1+$C$5/12)))</f>
        <v/>
      </c>
      <c r="E355" s="17" t="str">
        <f>IF(A355="","",C355*$C$5/12)</f>
        <v/>
      </c>
      <c r="F355" s="17" t="str">
        <f>IF(A355="","",D355-E355)</f>
        <v/>
      </c>
      <c r="G355" s="17" t="str">
        <f>IF(A355="","",MAX(0,C355-F355))</f>
        <v/>
      </c>
    </row>
    <row r="356">
      <c r="A356" s="15" t="str">
        <f>IF(347&gt;$F$5,"",347)</f>
        <v/>
      </c>
      <c r="B356" s="16" t="str">
        <f>IF(A356="","",EDATE($C$7,346))</f>
        <v/>
      </c>
      <c r="C356" s="17" t="str">
        <f>IF(A356="","",G355)</f>
        <v/>
      </c>
      <c r="D356" s="17" t="str">
        <f>IF(A356="","",MIN($F$4,C356*(1+$C$5/12)))</f>
        <v/>
      </c>
      <c r="E356" s="17" t="str">
        <f>IF(A356="","",C356*$C$5/12)</f>
        <v/>
      </c>
      <c r="F356" s="17" t="str">
        <f>IF(A356="","",D356-E356)</f>
        <v/>
      </c>
      <c r="G356" s="17" t="str">
        <f>IF(A356="","",MAX(0,C356-F356))</f>
        <v/>
      </c>
    </row>
    <row r="357">
      <c r="A357" s="15" t="str">
        <f>IF(348&gt;$F$5,"",348)</f>
        <v/>
      </c>
      <c r="B357" s="16" t="str">
        <f>IF(A357="","",EDATE($C$7,347))</f>
        <v/>
      </c>
      <c r="C357" s="17" t="str">
        <f>IF(A357="","",G356)</f>
        <v/>
      </c>
      <c r="D357" s="17" t="str">
        <f>IF(A357="","",MIN($F$4,C357*(1+$C$5/12)))</f>
        <v/>
      </c>
      <c r="E357" s="17" t="str">
        <f>IF(A357="","",C357*$C$5/12)</f>
        <v/>
      </c>
      <c r="F357" s="17" t="str">
        <f>IF(A357="","",D357-E357)</f>
        <v/>
      </c>
      <c r="G357" s="17" t="str">
        <f>IF(A357="","",MAX(0,C357-F357))</f>
        <v/>
      </c>
    </row>
    <row r="358">
      <c r="A358" s="15" t="str">
        <f>IF(349&gt;$F$5,"",349)</f>
        <v/>
      </c>
      <c r="B358" s="16" t="str">
        <f>IF(A358="","",EDATE($C$7,348))</f>
        <v/>
      </c>
      <c r="C358" s="17" t="str">
        <f>IF(A358="","",G357)</f>
        <v/>
      </c>
      <c r="D358" s="17" t="str">
        <f>IF(A358="","",MIN($F$4,C358*(1+$C$5/12)))</f>
        <v/>
      </c>
      <c r="E358" s="17" t="str">
        <f>IF(A358="","",C358*$C$5/12)</f>
        <v/>
      </c>
      <c r="F358" s="17" t="str">
        <f>IF(A358="","",D358-E358)</f>
        <v/>
      </c>
      <c r="G358" s="17" t="str">
        <f>IF(A358="","",MAX(0,C358-F358))</f>
        <v/>
      </c>
    </row>
    <row r="359">
      <c r="A359" s="15" t="str">
        <f>IF(350&gt;$F$5,"",350)</f>
        <v/>
      </c>
      <c r="B359" s="16" t="str">
        <f>IF(A359="","",EDATE($C$7,349))</f>
        <v/>
      </c>
      <c r="C359" s="17" t="str">
        <f>IF(A359="","",G358)</f>
        <v/>
      </c>
      <c r="D359" s="17" t="str">
        <f>IF(A359="","",MIN($F$4,C359*(1+$C$5/12)))</f>
        <v/>
      </c>
      <c r="E359" s="17" t="str">
        <f>IF(A359="","",C359*$C$5/12)</f>
        <v/>
      </c>
      <c r="F359" s="17" t="str">
        <f>IF(A359="","",D359-E359)</f>
        <v/>
      </c>
      <c r="G359" s="17" t="str">
        <f>IF(A359="","",MAX(0,C359-F359))</f>
        <v/>
      </c>
    </row>
    <row r="360">
      <c r="A360" s="15" t="str">
        <f>IF(351&gt;$F$5,"",351)</f>
        <v/>
      </c>
      <c r="B360" s="16" t="str">
        <f>IF(A360="","",EDATE($C$7,350))</f>
        <v/>
      </c>
      <c r="C360" s="17" t="str">
        <f>IF(A360="","",G359)</f>
        <v/>
      </c>
      <c r="D360" s="17" t="str">
        <f>IF(A360="","",MIN($F$4,C360*(1+$C$5/12)))</f>
        <v/>
      </c>
      <c r="E360" s="17" t="str">
        <f>IF(A360="","",C360*$C$5/12)</f>
        <v/>
      </c>
      <c r="F360" s="17" t="str">
        <f>IF(A360="","",D360-E360)</f>
        <v/>
      </c>
      <c r="G360" s="17" t="str">
        <f>IF(A360="","",MAX(0,C360-F360))</f>
        <v/>
      </c>
    </row>
    <row r="361">
      <c r="A361" s="15" t="str">
        <f>IF(352&gt;$F$5,"",352)</f>
        <v/>
      </c>
      <c r="B361" s="16" t="str">
        <f>IF(A361="","",EDATE($C$7,351))</f>
        <v/>
      </c>
      <c r="C361" s="17" t="str">
        <f>IF(A361="","",G360)</f>
        <v/>
      </c>
      <c r="D361" s="17" t="str">
        <f>IF(A361="","",MIN($F$4,C361*(1+$C$5/12)))</f>
        <v/>
      </c>
      <c r="E361" s="17" t="str">
        <f>IF(A361="","",C361*$C$5/12)</f>
        <v/>
      </c>
      <c r="F361" s="17" t="str">
        <f>IF(A361="","",D361-E361)</f>
        <v/>
      </c>
      <c r="G361" s="17" t="str">
        <f>IF(A361="","",MAX(0,C361-F361))</f>
        <v/>
      </c>
    </row>
    <row r="362">
      <c r="A362" s="15" t="str">
        <f>IF(353&gt;$F$5,"",353)</f>
        <v/>
      </c>
      <c r="B362" s="16" t="str">
        <f>IF(A362="","",EDATE($C$7,352))</f>
        <v/>
      </c>
      <c r="C362" s="17" t="str">
        <f>IF(A362="","",G361)</f>
        <v/>
      </c>
      <c r="D362" s="17" t="str">
        <f>IF(A362="","",MIN($F$4,C362*(1+$C$5/12)))</f>
        <v/>
      </c>
      <c r="E362" s="17" t="str">
        <f>IF(A362="","",C362*$C$5/12)</f>
        <v/>
      </c>
      <c r="F362" s="17" t="str">
        <f>IF(A362="","",D362-E362)</f>
        <v/>
      </c>
      <c r="G362" s="17" t="str">
        <f>IF(A362="","",MAX(0,C362-F362))</f>
        <v/>
      </c>
    </row>
    <row r="363">
      <c r="A363" s="15" t="str">
        <f>IF(354&gt;$F$5,"",354)</f>
        <v/>
      </c>
      <c r="B363" s="16" t="str">
        <f>IF(A363="","",EDATE($C$7,353))</f>
        <v/>
      </c>
      <c r="C363" s="17" t="str">
        <f>IF(A363="","",G362)</f>
        <v/>
      </c>
      <c r="D363" s="17" t="str">
        <f>IF(A363="","",MIN($F$4,C363*(1+$C$5/12)))</f>
        <v/>
      </c>
      <c r="E363" s="17" t="str">
        <f>IF(A363="","",C363*$C$5/12)</f>
        <v/>
      </c>
      <c r="F363" s="17" t="str">
        <f>IF(A363="","",D363-E363)</f>
        <v/>
      </c>
      <c r="G363" s="17" t="str">
        <f>IF(A363="","",MAX(0,C363-F363))</f>
        <v/>
      </c>
    </row>
    <row r="364">
      <c r="A364" s="15" t="str">
        <f>IF(355&gt;$F$5,"",355)</f>
        <v/>
      </c>
      <c r="B364" s="16" t="str">
        <f>IF(A364="","",EDATE($C$7,354))</f>
        <v/>
      </c>
      <c r="C364" s="17" t="str">
        <f>IF(A364="","",G363)</f>
        <v/>
      </c>
      <c r="D364" s="17" t="str">
        <f>IF(A364="","",MIN($F$4,C364*(1+$C$5/12)))</f>
        <v/>
      </c>
      <c r="E364" s="17" t="str">
        <f>IF(A364="","",C364*$C$5/12)</f>
        <v/>
      </c>
      <c r="F364" s="17" t="str">
        <f>IF(A364="","",D364-E364)</f>
        <v/>
      </c>
      <c r="G364" s="17" t="str">
        <f>IF(A364="","",MAX(0,C364-F364))</f>
        <v/>
      </c>
    </row>
    <row r="365">
      <c r="A365" s="15" t="str">
        <f>IF(356&gt;$F$5,"",356)</f>
        <v/>
      </c>
      <c r="B365" s="16" t="str">
        <f>IF(A365="","",EDATE($C$7,355))</f>
        <v/>
      </c>
      <c r="C365" s="17" t="str">
        <f>IF(A365="","",G364)</f>
        <v/>
      </c>
      <c r="D365" s="17" t="str">
        <f>IF(A365="","",MIN($F$4,C365*(1+$C$5/12)))</f>
        <v/>
      </c>
      <c r="E365" s="17" t="str">
        <f>IF(A365="","",C365*$C$5/12)</f>
        <v/>
      </c>
      <c r="F365" s="17" t="str">
        <f>IF(A365="","",D365-E365)</f>
        <v/>
      </c>
      <c r="G365" s="17" t="str">
        <f>IF(A365="","",MAX(0,C365-F365))</f>
        <v/>
      </c>
    </row>
    <row r="366">
      <c r="A366" s="15" t="str">
        <f>IF(357&gt;$F$5,"",357)</f>
        <v/>
      </c>
      <c r="B366" s="16" t="str">
        <f>IF(A366="","",EDATE($C$7,356))</f>
        <v/>
      </c>
      <c r="C366" s="17" t="str">
        <f>IF(A366="","",G365)</f>
        <v/>
      </c>
      <c r="D366" s="17" t="str">
        <f>IF(A366="","",MIN($F$4,C366*(1+$C$5/12)))</f>
        <v/>
      </c>
      <c r="E366" s="17" t="str">
        <f>IF(A366="","",C366*$C$5/12)</f>
        <v/>
      </c>
      <c r="F366" s="17" t="str">
        <f>IF(A366="","",D366-E366)</f>
        <v/>
      </c>
      <c r="G366" s="17" t="str">
        <f>IF(A366="","",MAX(0,C366-F366))</f>
        <v/>
      </c>
    </row>
    <row r="367">
      <c r="A367" s="15" t="str">
        <f>IF(358&gt;$F$5,"",358)</f>
        <v/>
      </c>
      <c r="B367" s="16" t="str">
        <f>IF(A367="","",EDATE($C$7,357))</f>
        <v/>
      </c>
      <c r="C367" s="17" t="str">
        <f>IF(A367="","",G366)</f>
        <v/>
      </c>
      <c r="D367" s="17" t="str">
        <f>IF(A367="","",MIN($F$4,C367*(1+$C$5/12)))</f>
        <v/>
      </c>
      <c r="E367" s="17" t="str">
        <f>IF(A367="","",C367*$C$5/12)</f>
        <v/>
      </c>
      <c r="F367" s="17" t="str">
        <f>IF(A367="","",D367-E367)</f>
        <v/>
      </c>
      <c r="G367" s="17" t="str">
        <f>IF(A367="","",MAX(0,C367-F367))</f>
        <v/>
      </c>
    </row>
    <row r="368">
      <c r="A368" s="15" t="str">
        <f>IF(359&gt;$F$5,"",359)</f>
        <v/>
      </c>
      <c r="B368" s="16" t="str">
        <f>IF(A368="","",EDATE($C$7,358))</f>
        <v/>
      </c>
      <c r="C368" s="17" t="str">
        <f>IF(A368="","",G367)</f>
        <v/>
      </c>
      <c r="D368" s="17" t="str">
        <f>IF(A368="","",MIN($F$4,C368*(1+$C$5/12)))</f>
        <v/>
      </c>
      <c r="E368" s="17" t="str">
        <f>IF(A368="","",C368*$C$5/12)</f>
        <v/>
      </c>
      <c r="F368" s="17" t="str">
        <f>IF(A368="","",D368-E368)</f>
        <v/>
      </c>
      <c r="G368" s="17" t="str">
        <f>IF(A368="","",MAX(0,C368-F368))</f>
        <v/>
      </c>
    </row>
    <row r="369">
      <c r="A369" s="15" t="str">
        <f>IF(360&gt;$F$5,"",360)</f>
        <v/>
      </c>
      <c r="B369" s="16" t="str">
        <f>IF(A369="","",EDATE($C$7,359))</f>
        <v/>
      </c>
      <c r="C369" s="17" t="str">
        <f>IF(A369="","",G368)</f>
        <v/>
      </c>
      <c r="D369" s="17" t="str">
        <f>IF(A369="","",MIN($F$4,C369*(1+$C$5/12)))</f>
        <v/>
      </c>
      <c r="E369" s="17" t="str">
        <f>IF(A369="","",C369*$C$5/12)</f>
        <v/>
      </c>
      <c r="F369" s="17" t="str">
        <f>IF(A369="","",D369-E369)</f>
        <v/>
      </c>
      <c r="G369" s="17" t="str">
        <f>IF(A369="","",MAX(0,C369-F369))</f>
        <v/>
      </c>
    </row>
    <row r="371" ht="28" customHeight="1">
      <c r="A371" s="18" t="inlineStr">
        <is>
          <t>Schedule up to 30 years. Real bank payments may differ (indexation, variable rates, fees).</t>
        </is>
      </c>
    </row>
  </sheetData>
  <mergeCells count="7">
    <mergeCell ref="A4:B4"/>
    <mergeCell ref="A1:G1"/>
    <mergeCell ref="A7:B7"/>
    <mergeCell ref="A5:B5"/>
    <mergeCell ref="A371:G371"/>
    <mergeCell ref="A2:G2"/>
    <mergeCell ref="A6:B6"/>
  </mergeCells>
  <dataValidations count="1">
    <dataValidation sqref="C4:C6" showDropDown="0" showInputMessage="0" showErrorMessage="0" allowBlank="1" error="Enter a number" type="decimal" errorStyle="warning" operator="greaterThanOrEqual">
      <formula1>0</formula1>
    </dataValidation>
  </dataValidations>
  <printOptions horizontalCentered="1"/>
  <pageMargins left="0.4" right="0.4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2026-10-13T06:02:41Z</dcterms:created>
  <dcterms:modified xmlns:dcterms="http://purl.org/dc/terms/" xmlns:xsi="http://www.w3.org/2001/XMLSchema-instance" xsi:type="dcterms:W3CDTF">2026-10-13T06:02:42Z</dcterms:modified>
</cp:coreProperties>
</file>