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go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yyyy-mm-dd"/>
    <numFmt numFmtId="166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b val="1"/>
      <color rgb="00222222"/>
      <sz val="12"/>
    </font>
    <font>
      <name val="Arial"/>
      <b val="1"/>
      <color rgb="00FFFFFF"/>
      <sz val="11"/>
    </font>
    <font>
      <name val="Arial"/>
      <color rgb="000000CC"/>
      <sz val="11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E8F1E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readingOrder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 readingOrder="1"/>
    </xf>
    <xf numFmtId="0" fontId="3" fillId="3" borderId="1" applyAlignment="1" pivotButton="0" quotePrefix="0" xfId="0">
      <alignment horizontal="left" vertical="center" readingOrder="1"/>
    </xf>
    <xf numFmtId="164" fontId="4" fillId="3" borderId="1" applyAlignment="1" pivotButton="0" quotePrefix="0" xfId="0">
      <alignment vertical="center" readingOrder="1"/>
    </xf>
    <xf numFmtId="9" fontId="4" fillId="3" borderId="1" applyAlignment="1" pivotButton="0" quotePrefix="0" xfId="0">
      <alignment vertical="center" readingOrder="1"/>
    </xf>
    <xf numFmtId="0" fontId="5" fillId="2" borderId="1" applyAlignment="1" pivotButton="0" quotePrefix="0" xfId="0">
      <alignment horizontal="center" vertical="center" wrapText="1" readingOrder="1"/>
    </xf>
    <xf numFmtId="0" fontId="6" fillId="4" borderId="1" applyAlignment="1" pivotButton="0" quotePrefix="0" xfId="0">
      <alignment horizontal="left" vertical="center" readingOrder="1"/>
    </xf>
    <xf numFmtId="164" fontId="6" fillId="4" borderId="1" applyAlignment="1" pivotButton="0" quotePrefix="0" xfId="0">
      <alignment vertical="center" readingOrder="1"/>
    </xf>
    <xf numFmtId="166" fontId="6" fillId="4" borderId="1" applyAlignment="1" pivotButton="0" quotePrefix="0" xfId="0">
      <alignment horizontal="left" vertical="center" readingOrder="1"/>
    </xf>
    <xf numFmtId="164" fontId="7" fillId="0" borderId="1" applyAlignment="1" pivotButton="0" quotePrefix="0" xfId="0">
      <alignment vertical="center" readingOrder="1"/>
    </xf>
    <xf numFmtId="1" fontId="7" fillId="0" borderId="1" applyAlignment="1" pivotButton="0" quotePrefix="0" xfId="0">
      <alignment horizontal="center" vertical="center" readingOrder="1"/>
    </xf>
    <xf numFmtId="9" fontId="7" fillId="0" borderId="1" applyAlignment="1" pivotButton="0" quotePrefix="0" xfId="0">
      <alignment horizontal="center" vertical="center" readingOrder="1"/>
    </xf>
    <xf numFmtId="0" fontId="7" fillId="0" borderId="1" applyAlignment="1" pivotButton="0" quotePrefix="0" xfId="0">
      <alignment horizontal="center" vertical="center" readingOrder="1"/>
    </xf>
    <xf numFmtId="164" fontId="6" fillId="4" borderId="1" applyAlignment="1" pivotButton="0" quotePrefix="0" xfId="0">
      <alignment horizontal="left" vertical="center" readingOrder="1"/>
    </xf>
  </cellXfs>
  <cellStyles count="1">
    <cellStyle name="Normal" xfId="0" builtinId="0" hidden="0"/>
  </cellStyles>
  <dxfs count="1">
    <dxf>
      <font>
        <b val="1"/>
        <color rgb="001E6B3A"/>
      </font>
      <fill>
        <patternFill patternType="solid">
          <fgColor rgb="00DCF2E3"/>
          <bgColor rgb="00DCF2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showGridLines="0" rightToLeft="0" zoomScale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4" customWidth="1" min="3" max="3"/>
    <col width="15" customWidth="1" min="4" max="4"/>
    <col width="15" customWidth="1" min="5" max="5"/>
    <col width="12" customWidth="1" min="6" max="6"/>
    <col width="15" customWidth="1" min="7" max="7"/>
    <col width="14" customWidth="1" min="8" max="8"/>
    <col width="13" customWidth="1" min="9" max="9"/>
  </cols>
  <sheetData>
    <row r="1" ht="34" customHeight="1">
      <c r="A1" s="1" t="inlineStr">
        <is>
          <t>Savings goals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For each goal (car, holiday, emergency fund...): how much, by when and how much is saved. The sheet works out how much to put aside each month to make it on time.</t>
        </is>
      </c>
    </row>
    <row r="4">
      <c r="A4" s="4" t="inlineStr">
        <is>
          <t>All goals</t>
        </is>
      </c>
      <c r="B4" s="5">
        <f>SUM($B$8:$B$37)</f>
        <v>117000</v>
      </c>
      <c r="D4" s="4" t="inlineStr">
        <is>
          <t>Monthly to set aside (all goals)</t>
        </is>
      </c>
      <c r="E4" s="5">
        <f>SUM($G$8:$G$37)</f>
        <v>5125</v>
      </c>
    </row>
    <row r="5">
      <c r="A5" s="4" t="inlineStr">
        <is>
          <t>Saved so far</t>
        </is>
      </c>
      <c r="B5" s="5">
        <f>SUM($D$8:$D$37)</f>
        <v>40000</v>
      </c>
      <c r="D5" s="4" t="inlineStr">
        <is>
          <t>Overall progress</t>
        </is>
      </c>
      <c r="E5" s="6">
        <f>IFERROR(B5/B4,0)</f>
        <v>0.341880341880342</v>
      </c>
    </row>
    <row r="7" ht="32" customHeight="1">
      <c r="A7" s="7" t="inlineStr">
        <is>
          <t>Goal</t>
        </is>
      </c>
      <c r="B7" s="7" t="inlineStr">
        <is>
          <t>Target</t>
        </is>
      </c>
      <c r="C7" s="7" t="inlineStr">
        <is>
          <t>Target date</t>
        </is>
      </c>
      <c r="D7" s="7" t="inlineStr">
        <is>
          <t>Saved</t>
        </is>
      </c>
      <c r="E7" s="7" t="inlineStr">
        <is>
          <t>Remaining</t>
        </is>
      </c>
      <c r="F7" s="7" t="inlineStr">
        <is>
          <t>Months left</t>
        </is>
      </c>
      <c r="G7" s="7" t="inlineStr">
        <is>
          <t>Per month</t>
        </is>
      </c>
      <c r="H7" s="7" t="inlineStr">
        <is>
          <t>Progress</t>
        </is>
      </c>
      <c r="I7" s="7" t="inlineStr">
        <is>
          <t>Status</t>
        </is>
      </c>
    </row>
    <row r="8">
      <c r="A8" s="8" t="inlineStr">
        <is>
          <t>Emergency fund (3 months)</t>
        </is>
      </c>
      <c r="B8" s="9" t="n">
        <v>36000</v>
      </c>
      <c r="C8" s="10" t="n">
        <v>46673</v>
      </c>
      <c r="D8" s="9" t="n">
        <v>12000</v>
      </c>
      <c r="E8" s="11">
        <f>IF(B8="","",MAX(0,B8-N(D8)))</f>
        <v>24000</v>
      </c>
      <c r="F8" s="12">
        <f>IF(OR(C8="",B8=""),"",MAX(1,(YEAR(C8)-YEAR(TODAY()))*12+MONTH(C8)-MONTH(TODAY())))</f>
        <v>12</v>
      </c>
      <c r="G8" s="11">
        <f>IF(OR(E8="",F8=""),"",ROUNDUP(E8/F8,0))</f>
        <v>2000</v>
      </c>
      <c r="H8" s="13">
        <f>IF(OR(B8="",B8=0),"",MIN(1,N(D8)/B8))</f>
        <v>0.333333333333333</v>
      </c>
      <c r="I8" s="14" t="str">
        <f>IF(B8="","",IF(N(D8)&gt;=B8,"Reached!","On the way"))</f>
        <v>On the way</v>
      </c>
    </row>
    <row r="9">
      <c r="A9" s="8" t="inlineStr">
        <is>
          <t>Family holiday</t>
        </is>
      </c>
      <c r="B9" s="9" t="n">
        <v>15000</v>
      </c>
      <c r="C9" s="10" t="n">
        <v>46548</v>
      </c>
      <c r="D9" s="9" t="n">
        <v>4000</v>
      </c>
      <c r="E9" s="11">
        <f>IF(B9="","",MAX(0,B9-N(D9)))</f>
        <v>11000</v>
      </c>
      <c r="F9" s="12">
        <f>IF(OR(C9="",B9=""),"",MAX(1,(YEAR(C9)-YEAR(TODAY()))*12+MONTH(C9)-MONTH(TODAY())))</f>
        <v>8</v>
      </c>
      <c r="G9" s="11">
        <f>IF(OR(E9="",F9=""),"",ROUNDUP(E9/F9,0))</f>
        <v>1375</v>
      </c>
      <c r="H9" s="13">
        <f>IF(OR(B9="",B9=0),"",MIN(1,N(D9)/B9))</f>
        <v>0.266666666666667</v>
      </c>
      <c r="I9" s="14" t="str">
        <f>IF(B9="","",IF(N(D9)&gt;=B9,"Reached!","On the way"))</f>
        <v>On the way</v>
      </c>
    </row>
    <row r="10">
      <c r="A10" s="8" t="inlineStr">
        <is>
          <t>Car</t>
        </is>
      </c>
      <c r="B10" s="9" t="n">
        <v>60000</v>
      </c>
      <c r="C10" s="10" t="n">
        <v>47038</v>
      </c>
      <c r="D10" s="9" t="n">
        <v>18000</v>
      </c>
      <c r="E10" s="11">
        <f>IF(B10="","",MAX(0,B10-N(D10)))</f>
        <v>42000</v>
      </c>
      <c r="F10" s="12">
        <f>IF(OR(C10="",B10=""),"",MAX(1,(YEAR(C10)-YEAR(TODAY()))*12+MONTH(C10)-MONTH(TODAY())))</f>
        <v>24</v>
      </c>
      <c r="G10" s="11">
        <f>IF(OR(E10="",F10=""),"",ROUNDUP(E10/F10,0))</f>
        <v>1750</v>
      </c>
      <c r="H10" s="13">
        <f>IF(OR(B10="",B10=0),"",MIN(1,N(D10)/B10))</f>
        <v>0.3</v>
      </c>
      <c r="I10" s="14" t="str">
        <f>IF(B10="","",IF(N(D10)&gt;=B10,"Reached!","On the way"))</f>
        <v>On the way</v>
      </c>
    </row>
    <row r="11">
      <c r="A11" s="8" t="inlineStr">
        <is>
          <t>New laptop</t>
        </is>
      </c>
      <c r="B11" s="9" t="n">
        <v>6000</v>
      </c>
      <c r="C11" s="10" t="n">
        <v>46458</v>
      </c>
      <c r="D11" s="9" t="n">
        <v>6000</v>
      </c>
      <c r="E11" s="11">
        <f>IF(B11="","",MAX(0,B11-N(D11)))</f>
        <v>0</v>
      </c>
      <c r="F11" s="12">
        <f>IF(OR(C11="",B11=""),"",MAX(1,(YEAR(C11)-YEAR(TODAY()))*12+MONTH(C11)-MONTH(TODAY())))</f>
        <v>5</v>
      </c>
      <c r="G11" s="11">
        <f>IF(OR(E11="",F11=""),"",ROUNDUP(E11/F11,0))</f>
        <v>0</v>
      </c>
      <c r="H11" s="13">
        <f>IF(OR(B11="",B11=0),"",MIN(1,N(D11)/B11))</f>
        <v>1</v>
      </c>
      <c r="I11" s="14" t="str">
        <f>IF(B11="","",IF(N(D11)&gt;=B11,"Reached!","On the way"))</f>
        <v>Reached!</v>
      </c>
    </row>
    <row r="12">
      <c r="A12" s="8" t="n"/>
      <c r="B12" s="15" t="n"/>
      <c r="C12" s="10" t="n"/>
      <c r="D12" s="15" t="n"/>
      <c r="E12" s="11" t="str">
        <f>IF(B12="","",MAX(0,B12-N(D12)))</f>
        <v/>
      </c>
      <c r="F12" s="12" t="str">
        <f>IF(OR(C12="",B12=""),"",MAX(1,(YEAR(C12)-YEAR(TODAY()))*12+MONTH(C12)-MONTH(TODAY())))</f>
        <v/>
      </c>
      <c r="G12" s="11" t="str">
        <f>IF(OR(E12="",F12=""),"",ROUNDUP(E12/F12,0))</f>
        <v/>
      </c>
      <c r="H12" s="13" t="str">
        <f>IF(OR(B12="",B12=0),"",MIN(1,N(D12)/B12))</f>
        <v/>
      </c>
      <c r="I12" s="14" t="str">
        <f>IF(B12="","",IF(N(D12)&gt;=B12,"Reached!","On the way"))</f>
        <v/>
      </c>
    </row>
    <row r="13">
      <c r="A13" s="8" t="n"/>
      <c r="B13" s="15" t="n"/>
      <c r="C13" s="10" t="n"/>
      <c r="D13" s="15" t="n"/>
      <c r="E13" s="11" t="str">
        <f>IF(B13="","",MAX(0,B13-N(D13)))</f>
        <v/>
      </c>
      <c r="F13" s="12" t="str">
        <f>IF(OR(C13="",B13=""),"",MAX(1,(YEAR(C13)-YEAR(TODAY()))*12+MONTH(C13)-MONTH(TODAY())))</f>
        <v/>
      </c>
      <c r="G13" s="11" t="str">
        <f>IF(OR(E13="",F13=""),"",ROUNDUP(E13/F13,0))</f>
        <v/>
      </c>
      <c r="H13" s="13" t="str">
        <f>IF(OR(B13="",B13=0),"",MIN(1,N(D13)/B13))</f>
        <v/>
      </c>
      <c r="I13" s="14" t="str">
        <f>IF(B13="","",IF(N(D13)&gt;=B13,"Reached!","On the way"))</f>
        <v/>
      </c>
    </row>
    <row r="14">
      <c r="A14" s="8" t="n"/>
      <c r="B14" s="15" t="n"/>
      <c r="C14" s="10" t="n"/>
      <c r="D14" s="15" t="n"/>
      <c r="E14" s="11" t="str">
        <f>IF(B14="","",MAX(0,B14-N(D14)))</f>
        <v/>
      </c>
      <c r="F14" s="12" t="str">
        <f>IF(OR(C14="",B14=""),"",MAX(1,(YEAR(C14)-YEAR(TODAY()))*12+MONTH(C14)-MONTH(TODAY())))</f>
        <v/>
      </c>
      <c r="G14" s="11" t="str">
        <f>IF(OR(E14="",F14=""),"",ROUNDUP(E14/F14,0))</f>
        <v/>
      </c>
      <c r="H14" s="13" t="str">
        <f>IF(OR(B14="",B14=0),"",MIN(1,N(D14)/B14))</f>
        <v/>
      </c>
      <c r="I14" s="14" t="str">
        <f>IF(B14="","",IF(N(D14)&gt;=B14,"Reached!","On the way"))</f>
        <v/>
      </c>
    </row>
    <row r="15">
      <c r="A15" s="8" t="n"/>
      <c r="B15" s="15" t="n"/>
      <c r="C15" s="10" t="n"/>
      <c r="D15" s="15" t="n"/>
      <c r="E15" s="11" t="str">
        <f>IF(B15="","",MAX(0,B15-N(D15)))</f>
        <v/>
      </c>
      <c r="F15" s="12" t="str">
        <f>IF(OR(C15="",B15=""),"",MAX(1,(YEAR(C15)-YEAR(TODAY()))*12+MONTH(C15)-MONTH(TODAY())))</f>
        <v/>
      </c>
      <c r="G15" s="11" t="str">
        <f>IF(OR(E15="",F15=""),"",ROUNDUP(E15/F15,0))</f>
        <v/>
      </c>
      <c r="H15" s="13" t="str">
        <f>IF(OR(B15="",B15=0),"",MIN(1,N(D15)/B15))</f>
        <v/>
      </c>
      <c r="I15" s="14" t="str">
        <f>IF(B15="","",IF(N(D15)&gt;=B15,"Reached!","On the way"))</f>
        <v/>
      </c>
    </row>
    <row r="16">
      <c r="A16" s="8" t="n"/>
      <c r="B16" s="15" t="n"/>
      <c r="C16" s="10" t="n"/>
      <c r="D16" s="15" t="n"/>
      <c r="E16" s="11" t="str">
        <f>IF(B16="","",MAX(0,B16-N(D16)))</f>
        <v/>
      </c>
      <c r="F16" s="12" t="str">
        <f>IF(OR(C16="",B16=""),"",MAX(1,(YEAR(C16)-YEAR(TODAY()))*12+MONTH(C16)-MONTH(TODAY())))</f>
        <v/>
      </c>
      <c r="G16" s="11" t="str">
        <f>IF(OR(E16="",F16=""),"",ROUNDUP(E16/F16,0))</f>
        <v/>
      </c>
      <c r="H16" s="13" t="str">
        <f>IF(OR(B16="",B16=0),"",MIN(1,N(D16)/B16))</f>
        <v/>
      </c>
      <c r="I16" s="14" t="str">
        <f>IF(B16="","",IF(N(D16)&gt;=B16,"Reached!","On the way"))</f>
        <v/>
      </c>
    </row>
    <row r="17">
      <c r="A17" s="8" t="n"/>
      <c r="B17" s="15" t="n"/>
      <c r="C17" s="10" t="n"/>
      <c r="D17" s="15" t="n"/>
      <c r="E17" s="11" t="str">
        <f>IF(B17="","",MAX(0,B17-N(D17)))</f>
        <v/>
      </c>
      <c r="F17" s="12" t="str">
        <f>IF(OR(C17="",B17=""),"",MAX(1,(YEAR(C17)-YEAR(TODAY()))*12+MONTH(C17)-MONTH(TODAY())))</f>
        <v/>
      </c>
      <c r="G17" s="11" t="str">
        <f>IF(OR(E17="",F17=""),"",ROUNDUP(E17/F17,0))</f>
        <v/>
      </c>
      <c r="H17" s="13" t="str">
        <f>IF(OR(B17="",B17=0),"",MIN(1,N(D17)/B17))</f>
        <v/>
      </c>
      <c r="I17" s="14" t="str">
        <f>IF(B17="","",IF(N(D17)&gt;=B17,"Reached!","On the way"))</f>
        <v/>
      </c>
    </row>
    <row r="18">
      <c r="A18" s="8" t="n"/>
      <c r="B18" s="15" t="n"/>
      <c r="C18" s="10" t="n"/>
      <c r="D18" s="15" t="n"/>
      <c r="E18" s="11" t="str">
        <f>IF(B18="","",MAX(0,B18-N(D18)))</f>
        <v/>
      </c>
      <c r="F18" s="12" t="str">
        <f>IF(OR(C18="",B18=""),"",MAX(1,(YEAR(C18)-YEAR(TODAY()))*12+MONTH(C18)-MONTH(TODAY())))</f>
        <v/>
      </c>
      <c r="G18" s="11" t="str">
        <f>IF(OR(E18="",F18=""),"",ROUNDUP(E18/F18,0))</f>
        <v/>
      </c>
      <c r="H18" s="13" t="str">
        <f>IF(OR(B18="",B18=0),"",MIN(1,N(D18)/B18))</f>
        <v/>
      </c>
      <c r="I18" s="14" t="str">
        <f>IF(B18="","",IF(N(D18)&gt;=B18,"Reached!","On the way"))</f>
        <v/>
      </c>
    </row>
    <row r="19">
      <c r="A19" s="8" t="n"/>
      <c r="B19" s="15" t="n"/>
      <c r="C19" s="10" t="n"/>
      <c r="D19" s="15" t="n"/>
      <c r="E19" s="11" t="str">
        <f>IF(B19="","",MAX(0,B19-N(D19)))</f>
        <v/>
      </c>
      <c r="F19" s="12" t="str">
        <f>IF(OR(C19="",B19=""),"",MAX(1,(YEAR(C19)-YEAR(TODAY()))*12+MONTH(C19)-MONTH(TODAY())))</f>
        <v/>
      </c>
      <c r="G19" s="11" t="str">
        <f>IF(OR(E19="",F19=""),"",ROUNDUP(E19/F19,0))</f>
        <v/>
      </c>
      <c r="H19" s="13" t="str">
        <f>IF(OR(B19="",B19=0),"",MIN(1,N(D19)/B19))</f>
        <v/>
      </c>
      <c r="I19" s="14" t="str">
        <f>IF(B19="","",IF(N(D19)&gt;=B19,"Reached!","On the way"))</f>
        <v/>
      </c>
    </row>
    <row r="20">
      <c r="A20" s="8" t="n"/>
      <c r="B20" s="15" t="n"/>
      <c r="C20" s="10" t="n"/>
      <c r="D20" s="15" t="n"/>
      <c r="E20" s="11" t="str">
        <f>IF(B20="","",MAX(0,B20-N(D20)))</f>
        <v/>
      </c>
      <c r="F20" s="12" t="str">
        <f>IF(OR(C20="",B20=""),"",MAX(1,(YEAR(C20)-YEAR(TODAY()))*12+MONTH(C20)-MONTH(TODAY())))</f>
        <v/>
      </c>
      <c r="G20" s="11" t="str">
        <f>IF(OR(E20="",F20=""),"",ROUNDUP(E20/F20,0))</f>
        <v/>
      </c>
      <c r="H20" s="13" t="str">
        <f>IF(OR(B20="",B20=0),"",MIN(1,N(D20)/B20))</f>
        <v/>
      </c>
      <c r="I20" s="14" t="str">
        <f>IF(B20="","",IF(N(D20)&gt;=B20,"Reached!","On the way"))</f>
        <v/>
      </c>
    </row>
    <row r="21">
      <c r="A21" s="8" t="n"/>
      <c r="B21" s="15" t="n"/>
      <c r="C21" s="10" t="n"/>
      <c r="D21" s="15" t="n"/>
      <c r="E21" s="11" t="str">
        <f>IF(B21="","",MAX(0,B21-N(D21)))</f>
        <v/>
      </c>
      <c r="F21" s="12" t="str">
        <f>IF(OR(C21="",B21=""),"",MAX(1,(YEAR(C21)-YEAR(TODAY()))*12+MONTH(C21)-MONTH(TODAY())))</f>
        <v/>
      </c>
      <c r="G21" s="11" t="str">
        <f>IF(OR(E21="",F21=""),"",ROUNDUP(E21/F21,0))</f>
        <v/>
      </c>
      <c r="H21" s="13" t="str">
        <f>IF(OR(B21="",B21=0),"",MIN(1,N(D21)/B21))</f>
        <v/>
      </c>
      <c r="I21" s="14" t="str">
        <f>IF(B21="","",IF(N(D21)&gt;=B21,"Reached!","On the way"))</f>
        <v/>
      </c>
    </row>
    <row r="22">
      <c r="A22" s="8" t="n"/>
      <c r="B22" s="15" t="n"/>
      <c r="C22" s="10" t="n"/>
      <c r="D22" s="15" t="n"/>
      <c r="E22" s="11" t="str">
        <f>IF(B22="","",MAX(0,B22-N(D22)))</f>
        <v/>
      </c>
      <c r="F22" s="12" t="str">
        <f>IF(OR(C22="",B22=""),"",MAX(1,(YEAR(C22)-YEAR(TODAY()))*12+MONTH(C22)-MONTH(TODAY())))</f>
        <v/>
      </c>
      <c r="G22" s="11" t="str">
        <f>IF(OR(E22="",F22=""),"",ROUNDUP(E22/F22,0))</f>
        <v/>
      </c>
      <c r="H22" s="13" t="str">
        <f>IF(OR(B22="",B22=0),"",MIN(1,N(D22)/B22))</f>
        <v/>
      </c>
      <c r="I22" s="14" t="str">
        <f>IF(B22="","",IF(N(D22)&gt;=B22,"Reached!","On the way"))</f>
        <v/>
      </c>
    </row>
    <row r="23">
      <c r="A23" s="8" t="n"/>
      <c r="B23" s="15" t="n"/>
      <c r="C23" s="10" t="n"/>
      <c r="D23" s="15" t="n"/>
      <c r="E23" s="11" t="str">
        <f>IF(B23="","",MAX(0,B23-N(D23)))</f>
        <v/>
      </c>
      <c r="F23" s="12" t="str">
        <f>IF(OR(C23="",B23=""),"",MAX(1,(YEAR(C23)-YEAR(TODAY()))*12+MONTH(C23)-MONTH(TODAY())))</f>
        <v/>
      </c>
      <c r="G23" s="11" t="str">
        <f>IF(OR(E23="",F23=""),"",ROUNDUP(E23/F23,0))</f>
        <v/>
      </c>
      <c r="H23" s="13" t="str">
        <f>IF(OR(B23="",B23=0),"",MIN(1,N(D23)/B23))</f>
        <v/>
      </c>
      <c r="I23" s="14" t="str">
        <f>IF(B23="","",IF(N(D23)&gt;=B23,"Reached!","On the way"))</f>
        <v/>
      </c>
    </row>
    <row r="24">
      <c r="A24" s="8" t="n"/>
      <c r="B24" s="15" t="n"/>
      <c r="C24" s="10" t="n"/>
      <c r="D24" s="15" t="n"/>
      <c r="E24" s="11" t="str">
        <f>IF(B24="","",MAX(0,B24-N(D24)))</f>
        <v/>
      </c>
      <c r="F24" s="12" t="str">
        <f>IF(OR(C24="",B24=""),"",MAX(1,(YEAR(C24)-YEAR(TODAY()))*12+MONTH(C24)-MONTH(TODAY())))</f>
        <v/>
      </c>
      <c r="G24" s="11" t="str">
        <f>IF(OR(E24="",F24=""),"",ROUNDUP(E24/F24,0))</f>
        <v/>
      </c>
      <c r="H24" s="13" t="str">
        <f>IF(OR(B24="",B24=0),"",MIN(1,N(D24)/B24))</f>
        <v/>
      </c>
      <c r="I24" s="14" t="str">
        <f>IF(B24="","",IF(N(D24)&gt;=B24,"Reached!","On the way"))</f>
        <v/>
      </c>
    </row>
    <row r="25">
      <c r="A25" s="8" t="n"/>
      <c r="B25" s="15" t="n"/>
      <c r="C25" s="10" t="n"/>
      <c r="D25" s="15" t="n"/>
      <c r="E25" s="11" t="str">
        <f>IF(B25="","",MAX(0,B25-N(D25)))</f>
        <v/>
      </c>
      <c r="F25" s="12" t="str">
        <f>IF(OR(C25="",B25=""),"",MAX(1,(YEAR(C25)-YEAR(TODAY()))*12+MONTH(C25)-MONTH(TODAY())))</f>
        <v/>
      </c>
      <c r="G25" s="11" t="str">
        <f>IF(OR(E25="",F25=""),"",ROUNDUP(E25/F25,0))</f>
        <v/>
      </c>
      <c r="H25" s="13" t="str">
        <f>IF(OR(B25="",B25=0),"",MIN(1,N(D25)/B25))</f>
        <v/>
      </c>
      <c r="I25" s="14" t="str">
        <f>IF(B25="","",IF(N(D25)&gt;=B25,"Reached!","On the way"))</f>
        <v/>
      </c>
    </row>
    <row r="26">
      <c r="A26" s="8" t="n"/>
      <c r="B26" s="15" t="n"/>
      <c r="C26" s="10" t="n"/>
      <c r="D26" s="15" t="n"/>
      <c r="E26" s="11" t="str">
        <f>IF(B26="","",MAX(0,B26-N(D26)))</f>
        <v/>
      </c>
      <c r="F26" s="12" t="str">
        <f>IF(OR(C26="",B26=""),"",MAX(1,(YEAR(C26)-YEAR(TODAY()))*12+MONTH(C26)-MONTH(TODAY())))</f>
        <v/>
      </c>
      <c r="G26" s="11" t="str">
        <f>IF(OR(E26="",F26=""),"",ROUNDUP(E26/F26,0))</f>
        <v/>
      </c>
      <c r="H26" s="13" t="str">
        <f>IF(OR(B26="",B26=0),"",MIN(1,N(D26)/B26))</f>
        <v/>
      </c>
      <c r="I26" s="14" t="str">
        <f>IF(B26="","",IF(N(D26)&gt;=B26,"Reached!","On the way"))</f>
        <v/>
      </c>
    </row>
    <row r="27">
      <c r="A27" s="8" t="n"/>
      <c r="B27" s="15" t="n"/>
      <c r="C27" s="10" t="n"/>
      <c r="D27" s="15" t="n"/>
      <c r="E27" s="11" t="str">
        <f>IF(B27="","",MAX(0,B27-N(D27)))</f>
        <v/>
      </c>
      <c r="F27" s="12" t="str">
        <f>IF(OR(C27="",B27=""),"",MAX(1,(YEAR(C27)-YEAR(TODAY()))*12+MONTH(C27)-MONTH(TODAY())))</f>
        <v/>
      </c>
      <c r="G27" s="11" t="str">
        <f>IF(OR(E27="",F27=""),"",ROUNDUP(E27/F27,0))</f>
        <v/>
      </c>
      <c r="H27" s="13" t="str">
        <f>IF(OR(B27="",B27=0),"",MIN(1,N(D27)/B27))</f>
        <v/>
      </c>
      <c r="I27" s="14" t="str">
        <f>IF(B27="","",IF(N(D27)&gt;=B27,"Reached!","On the way"))</f>
        <v/>
      </c>
    </row>
    <row r="28">
      <c r="A28" s="8" t="n"/>
      <c r="B28" s="15" t="n"/>
      <c r="C28" s="10" t="n"/>
      <c r="D28" s="15" t="n"/>
      <c r="E28" s="11" t="str">
        <f>IF(B28="","",MAX(0,B28-N(D28)))</f>
        <v/>
      </c>
      <c r="F28" s="12" t="str">
        <f>IF(OR(C28="",B28=""),"",MAX(1,(YEAR(C28)-YEAR(TODAY()))*12+MONTH(C28)-MONTH(TODAY())))</f>
        <v/>
      </c>
      <c r="G28" s="11" t="str">
        <f>IF(OR(E28="",F28=""),"",ROUNDUP(E28/F28,0))</f>
        <v/>
      </c>
      <c r="H28" s="13" t="str">
        <f>IF(OR(B28="",B28=0),"",MIN(1,N(D28)/B28))</f>
        <v/>
      </c>
      <c r="I28" s="14" t="str">
        <f>IF(B28="","",IF(N(D28)&gt;=B28,"Reached!","On the way"))</f>
        <v/>
      </c>
    </row>
    <row r="29">
      <c r="A29" s="8" t="n"/>
      <c r="B29" s="15" t="n"/>
      <c r="C29" s="10" t="n"/>
      <c r="D29" s="15" t="n"/>
      <c r="E29" s="11" t="str">
        <f>IF(B29="","",MAX(0,B29-N(D29)))</f>
        <v/>
      </c>
      <c r="F29" s="12" t="str">
        <f>IF(OR(C29="",B29=""),"",MAX(1,(YEAR(C29)-YEAR(TODAY()))*12+MONTH(C29)-MONTH(TODAY())))</f>
        <v/>
      </c>
      <c r="G29" s="11" t="str">
        <f>IF(OR(E29="",F29=""),"",ROUNDUP(E29/F29,0))</f>
        <v/>
      </c>
      <c r="H29" s="13" t="str">
        <f>IF(OR(B29="",B29=0),"",MIN(1,N(D29)/B29))</f>
        <v/>
      </c>
      <c r="I29" s="14" t="str">
        <f>IF(B29="","",IF(N(D29)&gt;=B29,"Reached!","On the way"))</f>
        <v/>
      </c>
    </row>
    <row r="30">
      <c r="A30" s="8" t="n"/>
      <c r="B30" s="15" t="n"/>
      <c r="C30" s="10" t="n"/>
      <c r="D30" s="15" t="n"/>
      <c r="E30" s="11" t="str">
        <f>IF(B30="","",MAX(0,B30-N(D30)))</f>
        <v/>
      </c>
      <c r="F30" s="12" t="str">
        <f>IF(OR(C30="",B30=""),"",MAX(1,(YEAR(C30)-YEAR(TODAY()))*12+MONTH(C30)-MONTH(TODAY())))</f>
        <v/>
      </c>
      <c r="G30" s="11" t="str">
        <f>IF(OR(E30="",F30=""),"",ROUNDUP(E30/F30,0))</f>
        <v/>
      </c>
      <c r="H30" s="13" t="str">
        <f>IF(OR(B30="",B30=0),"",MIN(1,N(D30)/B30))</f>
        <v/>
      </c>
      <c r="I30" s="14" t="str">
        <f>IF(B30="","",IF(N(D30)&gt;=B30,"Reached!","On the way"))</f>
        <v/>
      </c>
    </row>
    <row r="31">
      <c r="A31" s="8" t="n"/>
      <c r="B31" s="15" t="n"/>
      <c r="C31" s="10" t="n"/>
      <c r="D31" s="15" t="n"/>
      <c r="E31" s="11" t="str">
        <f>IF(B31="","",MAX(0,B31-N(D31)))</f>
        <v/>
      </c>
      <c r="F31" s="12" t="str">
        <f>IF(OR(C31="",B31=""),"",MAX(1,(YEAR(C31)-YEAR(TODAY()))*12+MONTH(C31)-MONTH(TODAY())))</f>
        <v/>
      </c>
      <c r="G31" s="11" t="str">
        <f>IF(OR(E31="",F31=""),"",ROUNDUP(E31/F31,0))</f>
        <v/>
      </c>
      <c r="H31" s="13" t="str">
        <f>IF(OR(B31="",B31=0),"",MIN(1,N(D31)/B31))</f>
        <v/>
      </c>
      <c r="I31" s="14" t="str">
        <f>IF(B31="","",IF(N(D31)&gt;=B31,"Reached!","On the way"))</f>
        <v/>
      </c>
    </row>
    <row r="32">
      <c r="A32" s="8" t="n"/>
      <c r="B32" s="15" t="n"/>
      <c r="C32" s="10" t="n"/>
      <c r="D32" s="15" t="n"/>
      <c r="E32" s="11" t="str">
        <f>IF(B32="","",MAX(0,B32-N(D32)))</f>
        <v/>
      </c>
      <c r="F32" s="12" t="str">
        <f>IF(OR(C32="",B32=""),"",MAX(1,(YEAR(C32)-YEAR(TODAY()))*12+MONTH(C32)-MONTH(TODAY())))</f>
        <v/>
      </c>
      <c r="G32" s="11" t="str">
        <f>IF(OR(E32="",F32=""),"",ROUNDUP(E32/F32,0))</f>
        <v/>
      </c>
      <c r="H32" s="13" t="str">
        <f>IF(OR(B32="",B32=0),"",MIN(1,N(D32)/B32))</f>
        <v/>
      </c>
      <c r="I32" s="14" t="str">
        <f>IF(B32="","",IF(N(D32)&gt;=B32,"Reached!","On the way"))</f>
        <v/>
      </c>
    </row>
    <row r="33">
      <c r="A33" s="8" t="n"/>
      <c r="B33" s="15" t="n"/>
      <c r="C33" s="10" t="n"/>
      <c r="D33" s="15" t="n"/>
      <c r="E33" s="11" t="str">
        <f>IF(B33="","",MAX(0,B33-N(D33)))</f>
        <v/>
      </c>
      <c r="F33" s="12" t="str">
        <f>IF(OR(C33="",B33=""),"",MAX(1,(YEAR(C33)-YEAR(TODAY()))*12+MONTH(C33)-MONTH(TODAY())))</f>
        <v/>
      </c>
      <c r="G33" s="11" t="str">
        <f>IF(OR(E33="",F33=""),"",ROUNDUP(E33/F33,0))</f>
        <v/>
      </c>
      <c r="H33" s="13" t="str">
        <f>IF(OR(B33="",B33=0),"",MIN(1,N(D33)/B33))</f>
        <v/>
      </c>
      <c r="I33" s="14" t="str">
        <f>IF(B33="","",IF(N(D33)&gt;=B33,"Reached!","On the way"))</f>
        <v/>
      </c>
    </row>
    <row r="34">
      <c r="A34" s="8" t="n"/>
      <c r="B34" s="15" t="n"/>
      <c r="C34" s="10" t="n"/>
      <c r="D34" s="15" t="n"/>
      <c r="E34" s="11" t="str">
        <f>IF(B34="","",MAX(0,B34-N(D34)))</f>
        <v/>
      </c>
      <c r="F34" s="12" t="str">
        <f>IF(OR(C34="",B34=""),"",MAX(1,(YEAR(C34)-YEAR(TODAY()))*12+MONTH(C34)-MONTH(TODAY())))</f>
        <v/>
      </c>
      <c r="G34" s="11" t="str">
        <f>IF(OR(E34="",F34=""),"",ROUNDUP(E34/F34,0))</f>
        <v/>
      </c>
      <c r="H34" s="13" t="str">
        <f>IF(OR(B34="",B34=0),"",MIN(1,N(D34)/B34))</f>
        <v/>
      </c>
      <c r="I34" s="14" t="str">
        <f>IF(B34="","",IF(N(D34)&gt;=B34,"Reached!","On the way"))</f>
        <v/>
      </c>
    </row>
    <row r="35">
      <c r="A35" s="8" t="n"/>
      <c r="B35" s="15" t="n"/>
      <c r="C35" s="10" t="n"/>
      <c r="D35" s="15" t="n"/>
      <c r="E35" s="11" t="str">
        <f>IF(B35="","",MAX(0,B35-N(D35)))</f>
        <v/>
      </c>
      <c r="F35" s="12" t="str">
        <f>IF(OR(C35="",B35=""),"",MAX(1,(YEAR(C35)-YEAR(TODAY()))*12+MONTH(C35)-MONTH(TODAY())))</f>
        <v/>
      </c>
      <c r="G35" s="11" t="str">
        <f>IF(OR(E35="",F35=""),"",ROUNDUP(E35/F35,0))</f>
        <v/>
      </c>
      <c r="H35" s="13" t="str">
        <f>IF(OR(B35="",B35=0),"",MIN(1,N(D35)/B35))</f>
        <v/>
      </c>
      <c r="I35" s="14" t="str">
        <f>IF(B35="","",IF(N(D35)&gt;=B35,"Reached!","On the way"))</f>
        <v/>
      </c>
    </row>
    <row r="36">
      <c r="A36" s="8" t="n"/>
      <c r="B36" s="15" t="n"/>
      <c r="C36" s="10" t="n"/>
      <c r="D36" s="15" t="n"/>
      <c r="E36" s="11" t="str">
        <f>IF(B36="","",MAX(0,B36-N(D36)))</f>
        <v/>
      </c>
      <c r="F36" s="12" t="str">
        <f>IF(OR(C36="",B36=""),"",MAX(1,(YEAR(C36)-YEAR(TODAY()))*12+MONTH(C36)-MONTH(TODAY())))</f>
        <v/>
      </c>
      <c r="G36" s="11" t="str">
        <f>IF(OR(E36="",F36=""),"",ROUNDUP(E36/F36,0))</f>
        <v/>
      </c>
      <c r="H36" s="13" t="str">
        <f>IF(OR(B36="",B36=0),"",MIN(1,N(D36)/B36))</f>
        <v/>
      </c>
      <c r="I36" s="14" t="str">
        <f>IF(B36="","",IF(N(D36)&gt;=B36,"Reached!","On the way"))</f>
        <v/>
      </c>
    </row>
    <row r="37">
      <c r="A37" s="8" t="n"/>
      <c r="B37" s="15" t="n"/>
      <c r="C37" s="10" t="n"/>
      <c r="D37" s="15" t="n"/>
      <c r="E37" s="11" t="str">
        <f>IF(B37="","",MAX(0,B37-N(D37)))</f>
        <v/>
      </c>
      <c r="F37" s="12" t="str">
        <f>IF(OR(C37="",B37=""),"",MAX(1,(YEAR(C37)-YEAR(TODAY()))*12+MONTH(C37)-MONTH(TODAY())))</f>
        <v/>
      </c>
      <c r="G37" s="11" t="str">
        <f>IF(OR(E37="",F37=""),"",ROUNDUP(E37/F37,0))</f>
        <v/>
      </c>
      <c r="H37" s="13" t="str">
        <f>IF(OR(B37="",B37=0),"",MIN(1,N(D37)/B37))</f>
        <v/>
      </c>
      <c r="I37" s="14" t="str">
        <f>IF(B37="","",IF(N(D37)&gt;=B37,"Reached!","On the way"))</f>
        <v/>
      </c>
    </row>
  </sheetData>
  <mergeCells count="3">
    <mergeCell ref="A1:I1"/>
    <mergeCell ref="D4"/>
    <mergeCell ref="A2:I2"/>
  </mergeCells>
  <conditionalFormatting sqref="H8:H37">
    <cfRule type="dataBar" priority="1">
      <dataBar>
        <cfvo type="num" val="0"/>
        <cfvo type="num" val="1"/>
        <color rgb="005B9B87"/>
      </dataBar>
    </cfRule>
  </conditionalFormatting>
  <conditionalFormatting sqref="I8:I37">
    <cfRule type="expression" priority="2" dxfId="0">
      <formula>I8="Reached!"</formula>
    </cfRule>
  </conditionalFormatting>
  <dataValidations count="2">
    <dataValidation sqref="B8:B37" showDropDown="0" showInputMessage="0" showErrorMessage="0" allowBlank="1" error="Enter a number" type="decimal" errorStyle="warning" operator="greaterThanOrEqual">
      <formula1>0</formula1>
    </dataValidation>
    <dataValidation sqref="D8:D37" showDropDown="0" showInputMessage="0" showErrorMessage="0" allowBlank="1" error="Enter a number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2026-10-13T06:02:38Z</dcterms:created>
  <dcterms:modified xmlns:dcterms="http://purl.org/dc/terms/" xmlns:xsi="http://www.w3.org/2001/XMLSchema-instance" xsi:type="dcterms:W3CDTF">2026-10-13T06:02:38Z</dcterms:modified>
</cp:coreProperties>
</file>