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uction budget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Lists" sheetId="3" state="visible" r:id="rId3"/>
  </sheets>
  <definedNames>
    <definedName name="BuildCats">'Lists'!$A$5:$A$39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dd/mm/yyyy"/>
    <numFmt numFmtId="166" formatCode="yyyy-mm-dd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5" fillId="0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0" fontId="5" fillId="4" borderId="1" applyAlignment="1" pivotButton="0" quotePrefix="0" xfId="0">
      <alignment horizontal="left" vertical="center" readingOrder="1"/>
    </xf>
    <xf numFmtId="164" fontId="6" fillId="4" borderId="1" applyAlignment="1" pivotButton="0" quotePrefix="0" xfId="0">
      <alignment vertical="center" readingOrder="1"/>
    </xf>
    <xf numFmtId="3" fontId="4" fillId="3" borderId="1" applyAlignment="1" pivotButton="0" quotePrefix="0" xfId="0">
      <alignment vertical="center" readingOrder="1"/>
    </xf>
    <xf numFmtId="9" fontId="6" fillId="4" borderId="1" applyAlignment="1" pivotButton="0" quotePrefix="0" xfId="0">
      <alignment vertical="center" readingOrder="1"/>
    </xf>
    <xf numFmtId="9" fontId="4" fillId="3" borderId="1" applyAlignment="1" pivotButton="0" quotePrefix="0" xfId="0">
      <alignment vertical="center" readingOrder="1"/>
    </xf>
    <xf numFmtId="0" fontId="3" fillId="2" borderId="1" applyAlignment="1" pivotButton="0" quotePrefix="0" xfId="0">
      <alignment horizontal="center" vertical="center" wrapText="1" readingOrder="1"/>
    </xf>
    <xf numFmtId="164" fontId="4" fillId="3" borderId="1" applyAlignment="1" pivotButton="0" quotePrefix="0" xfId="0">
      <alignment vertical="center" readingOrder="1"/>
    </xf>
    <xf numFmtId="164" fontId="7" fillId="0" borderId="1" applyAlignment="1" pivotButton="0" quotePrefix="0" xfId="0">
      <alignment vertical="center" readingOrder="1"/>
    </xf>
    <xf numFmtId="167" fontId="7" fillId="0" borderId="1" applyAlignment="1" pivotButton="0" quotePrefix="0" xfId="0">
      <alignment horizontal="center" vertical="center" readingOrder="1"/>
    </xf>
    <xf numFmtId="165" fontId="4" fillId="3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4" fillId="3" borderId="1" applyAlignment="1" pivotButton="0" quotePrefix="0" xfId="0">
      <alignment horizontal="left" vertical="center" readingOrder="1"/>
    </xf>
    <xf numFmtId="0" fontId="7" fillId="0" borderId="1" applyAlignment="1" pivotButton="0" quotePrefix="0" xfId="0">
      <alignment horizontal="left" vertical="center" readingOrder="1"/>
    </xf>
    <xf numFmtId="164" fontId="5" fillId="4" borderId="1" applyAlignment="1" pivotButton="0" quotePrefix="0" xfId="0">
      <alignment vertical="center" readingOrder="1"/>
    </xf>
  </cellXfs>
  <cellStyles count="1">
    <cellStyle name="Normal" xfId="0" builtinId="0" hidden="0"/>
  </cellStyles>
  <dxfs count="4">
    <dxf>
      <font>
        <b val="1"/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color rgb="008A5A00"/>
      </font>
      <fill>
        <patternFill patternType="solid">
          <fgColor rgb="00FFF1D6"/>
          <bgColor rgb="00FFF1D6"/>
        </patternFill>
      </fill>
    </dxf>
    <dxf>
      <font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9"/>
  <sheetViews>
    <sheetView showGridLines="0" rightToLeft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1" customWidth="1" min="9" max="9"/>
    <col width="14" customWidth="1" min="10" max="10"/>
    <col width="13" customWidth="1" min="11" max="11"/>
    <col width="24" customWidth="1" min="12" max="12"/>
    <col hidden="1" width="13" customWidth="1" min="13" max="13"/>
  </cols>
  <sheetData>
    <row r="1" ht="34" customHeight="1">
      <c r="A1" s="1" t="inlineStr">
        <is>
          <t>Building construction budget — plan vs actual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30" customHeight="1">
      <c r="A2" s="3" t="inlineStr">
        <is>
          <t>One row per line item: planned budget, signed contract and what was paid. See overruns per item, what's left to pay, cost per m² and per unit, and how much contingency is left.</t>
        </is>
      </c>
    </row>
    <row r="4">
      <c r="A4" s="4" t="inlineStr">
        <is>
          <t>Project</t>
        </is>
      </c>
      <c r="B4" s="5" t="inlineStr">
        <is>
          <t>Residential building, 12 Vine St</t>
        </is>
      </c>
      <c r="D4" s="6" t="inlineStr">
        <is>
          <t>Original plan (total)</t>
        </is>
      </c>
      <c r="E4" s="7">
        <f>SUM($D$10:$D$209)</f>
        <v>19560000</v>
      </c>
      <c r="G4" s="6" t="inlineStr">
        <is>
          <t>Paid so far</t>
        </is>
      </c>
      <c r="H4" s="7">
        <f>SUM($F$10:$F$209)</f>
        <v>13260000</v>
      </c>
      <c r="J4" s="6" t="inlineStr">
        <is>
          <t>Contingency left</t>
        </is>
      </c>
      <c r="K4" s="7">
        <f>E5-E6</f>
        <v>1079200</v>
      </c>
    </row>
    <row r="5">
      <c r="A5" s="4" t="inlineStr">
        <is>
          <t>Housing units</t>
        </is>
      </c>
      <c r="B5" s="8" t="n">
        <v>24</v>
      </c>
      <c r="D5" s="6" t="inlineStr">
        <is>
          <t>Incl. contingency</t>
        </is>
      </c>
      <c r="E5" s="7">
        <f>E4*(1+B7)</f>
        <v>20929200</v>
      </c>
      <c r="G5" s="6" t="inlineStr">
        <is>
          <t>Left to pay</t>
        </is>
      </c>
      <c r="H5" s="7">
        <f>E6-H4</f>
        <v>6590000</v>
      </c>
      <c r="J5" s="6" t="inlineStr">
        <is>
          <t>Paid vs forecast</t>
        </is>
      </c>
      <c r="K5" s="9">
        <f>IFERROR(H4/E6,0)</f>
        <v>0.668010075566751</v>
      </c>
    </row>
    <row r="6">
      <c r="A6" s="4" t="inlineStr">
        <is>
          <t>Total built area (m²)</t>
        </is>
      </c>
      <c r="B6" s="8" t="n">
        <v>3200</v>
      </c>
      <c r="D6" s="6" t="inlineStr">
        <is>
          <t>Actual cost forecast</t>
        </is>
      </c>
      <c r="E6" s="7">
        <f>SUM($E$10:$E$209)+SUMIF($E$10:$E$209,"",$D$10:$D$209)</f>
        <v>19850000</v>
      </c>
      <c r="G6" s="6" t="inlineStr">
        <is>
          <t>Cost per m²</t>
        </is>
      </c>
      <c r="H6" s="7">
        <f>IFERROR(E6/B6,0)</f>
        <v>6203.125</v>
      </c>
    </row>
    <row r="7">
      <c r="A7" s="4" t="inlineStr">
        <is>
          <t>Contingency reserve</t>
        </is>
      </c>
      <c r="B7" s="10" t="n">
        <v>0.07000000000000001</v>
      </c>
      <c r="D7" s="6" t="inlineStr">
        <is>
          <t>Left vs plan</t>
        </is>
      </c>
      <c r="E7" s="7">
        <f>E4-E6</f>
        <v>-290000</v>
      </c>
      <c r="G7" s="6" t="inlineStr">
        <is>
          <t>Cost per unit</t>
        </is>
      </c>
      <c r="H7" s="7">
        <f>IFERROR(E6/B5,0)</f>
        <v>827083.333333333</v>
      </c>
    </row>
    <row r="9" ht="32" customHeight="1">
      <c r="A9" s="11" t="inlineStr">
        <is>
          <t>Category</t>
        </is>
      </c>
      <c r="B9" s="11" t="inlineStr">
        <is>
          <t>Item</t>
        </is>
      </c>
      <c r="C9" s="11" t="inlineStr">
        <is>
          <t>Supplier / contractor</t>
        </is>
      </c>
      <c r="D9" s="11" t="inlineStr">
        <is>
          <t>Original plan</t>
        </is>
      </c>
      <c r="E9" s="11" t="inlineStr">
        <is>
          <t>Actual agreed price</t>
        </is>
      </c>
      <c r="F9" s="11" t="inlineStr">
        <is>
          <t>Paid</t>
        </is>
      </c>
      <c r="G9" s="11" t="inlineStr">
        <is>
          <t>Left to pay</t>
        </is>
      </c>
      <c r="H9" s="11" t="inlineStr">
        <is>
          <t>Variance</t>
        </is>
      </c>
      <c r="I9" s="11" t="inlineStr">
        <is>
          <t>Variance %</t>
        </is>
      </c>
      <c r="J9" s="11" t="inlineStr">
        <is>
          <t>Next payment</t>
        </is>
      </c>
      <c r="K9" s="11" t="inlineStr">
        <is>
          <t>Status</t>
        </is>
      </c>
      <c r="L9" s="11" t="inlineStr">
        <is>
          <t>Notes</t>
        </is>
      </c>
    </row>
    <row r="10">
      <c r="A10" s="5" t="inlineStr">
        <is>
          <t>Land &amp; taxes</t>
        </is>
      </c>
      <c r="B10" s="5" t="inlineStr">
        <is>
          <t>Land purchase</t>
        </is>
      </c>
      <c r="C10" s="5" t="inlineStr">
        <is>
          <t>Land owners</t>
        </is>
      </c>
      <c r="D10" s="12" t="n">
        <v>9500000</v>
      </c>
      <c r="E10" s="12" t="n">
        <v>9500000</v>
      </c>
      <c r="F10" s="12" t="n">
        <v>9500000</v>
      </c>
      <c r="G10" s="13">
        <f>IF(AND(D10="",E10=""),"",IF(E10="",D10,E10)-N(F10))</f>
        <v>0</v>
      </c>
      <c r="H10" s="13">
        <f>IF(OR(D10="",E10=""),"",E10-D10)</f>
        <v>0</v>
      </c>
      <c r="I10" s="14">
        <f>IF(H10="","",IFERROR(H10/D10,0))</f>
        <v>0</v>
      </c>
      <c r="J10" s="15" t="n"/>
      <c r="K10" s="16" t="str">
        <f>IF(AND(D10="",E10=""),"",IF(N(G10)&lt;=0,"Fully paid",IF(N(H10)&gt;0,"Over budget","On budget")))</f>
        <v>Fully paid</v>
      </c>
      <c r="L10" s="5" t="n"/>
      <c r="M10" s="13">
        <f>IF(AND(D10="",E10=""),"",IF(E10="",D10,E10))</f>
        <v>9500000</v>
      </c>
    </row>
    <row r="11">
      <c r="A11" s="5" t="inlineStr">
        <is>
          <t>Design &amp; permits</t>
        </is>
      </c>
      <c r="B11" s="5" t="inlineStr">
        <is>
          <t>Architect</t>
        </is>
      </c>
      <c r="C11" s="5" t="inlineStr">
        <is>
          <t>Architects office</t>
        </is>
      </c>
      <c r="D11" s="12" t="n">
        <v>420000</v>
      </c>
      <c r="E11" s="12" t="n">
        <v>450000</v>
      </c>
      <c r="F11" s="12" t="n">
        <v>300000</v>
      </c>
      <c r="G11" s="13">
        <f>IF(AND(D11="",E11=""),"",IF(E11="",D11,E11)-N(F11))</f>
        <v>150000</v>
      </c>
      <c r="H11" s="13">
        <f>IF(OR(D11="",E11=""),"",E11-D11)</f>
        <v>30000</v>
      </c>
      <c r="I11" s="14">
        <f>IF(H11="","",IFERROR(H11/D11,0))</f>
        <v>0.0714285714285714</v>
      </c>
      <c r="J11" s="15" t="n">
        <v>46323</v>
      </c>
      <c r="K11" s="16" t="str">
        <f>IF(AND(D11="",E11=""),"",IF(N(G11)&lt;=0,"Fully paid",IF(N(H11)&gt;0,"Over budget","On budget")))</f>
        <v>Over budget</v>
      </c>
      <c r="L11" s="5" t="n"/>
      <c r="M11" s="13">
        <f>IF(AND(D11="",E11=""),"",IF(E11="",D11,E11))</f>
        <v>450000</v>
      </c>
    </row>
    <row r="12">
      <c r="A12" s="5" t="inlineStr">
        <is>
          <t>Fees &amp; levies</t>
        </is>
      </c>
      <c r="B12" s="5" t="inlineStr">
        <is>
          <t>Betterment levy &amp; permit fees</t>
        </is>
      </c>
      <c r="C12" s="5" t="inlineStr">
        <is>
          <t>Local committee</t>
        </is>
      </c>
      <c r="D12" s="12" t="n">
        <v>1300000</v>
      </c>
      <c r="E12" s="12" t="n">
        <v>1240000</v>
      </c>
      <c r="F12" s="12" t="n">
        <v>1240000</v>
      </c>
      <c r="G12" s="13">
        <f>IF(AND(D12="",E12=""),"",IF(E12="",D12,E12)-N(F12))</f>
        <v>0</v>
      </c>
      <c r="H12" s="13">
        <f>IF(OR(D12="",E12=""),"",E12-D12)</f>
        <v>-60000</v>
      </c>
      <c r="I12" s="14">
        <f>IF(H12="","",IFERROR(H12/D12,0))</f>
        <v>-0.0461538461538462</v>
      </c>
      <c r="J12" s="15" t="n"/>
      <c r="K12" s="16" t="str">
        <f>IF(AND(D12="",E12=""),"",IF(N(G12)&lt;=0,"Fully paid",IF(N(H12)&gt;0,"Over budget","On budget")))</f>
        <v>Fully paid</v>
      </c>
      <c r="L12" s="5" t="n"/>
      <c r="M12" s="13">
        <f>IF(AND(D12="",E12=""),"",IF(E12="",D12,E12))</f>
        <v>1240000</v>
      </c>
    </row>
    <row r="13">
      <c r="A13" s="5" t="inlineStr">
        <is>
          <t>Structure</t>
        </is>
      </c>
      <c r="B13" s="5" t="inlineStr">
        <is>
          <t>Frame floors 1-8</t>
        </is>
      </c>
      <c r="C13" s="5" t="inlineStr">
        <is>
          <t>Frame contractor</t>
        </is>
      </c>
      <c r="D13" s="12" t="n">
        <v>6800000</v>
      </c>
      <c r="E13" s="12" t="n">
        <v>7150000</v>
      </c>
      <c r="F13" s="12" t="n">
        <v>2100000</v>
      </c>
      <c r="G13" s="13">
        <f>IF(AND(D13="",E13=""),"",IF(E13="",D13,E13)-N(F13))</f>
        <v>5050000</v>
      </c>
      <c r="H13" s="13">
        <f>IF(OR(D13="",E13=""),"",E13-D13)</f>
        <v>350000</v>
      </c>
      <c r="I13" s="14">
        <f>IF(H13="","",IFERROR(H13/D13,0))</f>
        <v>0.0514705882352941</v>
      </c>
      <c r="J13" s="15" t="n">
        <v>46314</v>
      </c>
      <c r="K13" s="16" t="str">
        <f>IF(AND(D13="",E13=""),"",IF(N(G13)&lt;=0,"Fully paid",IF(N(H13)&gt;0,"Over budget","On budget")))</f>
        <v>Over budget</v>
      </c>
      <c r="L13" s="5" t="n"/>
      <c r="M13" s="13">
        <f>IF(AND(D13="",E13=""),"",IF(E13="",D13,E13))</f>
        <v>7150000</v>
      </c>
    </row>
    <row r="14">
      <c r="A14" s="5" t="inlineStr">
        <is>
          <t>Plumbing</t>
        </is>
      </c>
      <c r="B14" s="5" t="inlineStr">
        <is>
          <t>Plumbing</t>
        </is>
      </c>
      <c r="C14" s="5" t="inlineStr">
        <is>
          <t>Plumbing contractor</t>
        </is>
      </c>
      <c r="D14" s="12" t="n">
        <v>900000</v>
      </c>
      <c r="E14" s="17" t="n"/>
      <c r="F14" s="12" t="n">
        <v>0</v>
      </c>
      <c r="G14" s="13">
        <f>IF(AND(D14="",E14=""),"",IF(E14="",D14,E14)-N(F14))</f>
        <v>900000</v>
      </c>
      <c r="H14" s="13" t="str">
        <f>IF(OR(D14="",E14=""),"",E14-D14)</f>
        <v/>
      </c>
      <c r="I14" s="14" t="str">
        <f>IF(H14="","",IFERROR(H14/D14,0))</f>
        <v/>
      </c>
      <c r="J14" s="15" t="n">
        <v>46399</v>
      </c>
      <c r="K14" s="16" t="str">
        <f>IF(AND(D14="",E14=""),"",IF(N(G14)&lt;=0,"Fully paid",IF(N(H14)&gt;0,"Over budget","On budget")))</f>
        <v>On budget</v>
      </c>
      <c r="L14" s="5" t="n"/>
      <c r="M14" s="13">
        <f>IF(AND(D14="",E14=""),"",IF(E14="",D14,E14))</f>
        <v>900000</v>
      </c>
    </row>
    <row r="15">
      <c r="A15" s="5" t="inlineStr">
        <is>
          <t>Lifts</t>
        </is>
      </c>
      <c r="B15" s="5" t="inlineStr">
        <is>
          <t>2 lifts</t>
        </is>
      </c>
      <c r="C15" s="5" t="inlineStr">
        <is>
          <t>Lift company</t>
        </is>
      </c>
      <c r="D15" s="12" t="n">
        <v>640000</v>
      </c>
      <c r="E15" s="12" t="n">
        <v>610000</v>
      </c>
      <c r="F15" s="12" t="n">
        <v>120000</v>
      </c>
      <c r="G15" s="13">
        <f>IF(AND(D15="",E15=""),"",IF(E15="",D15,E15)-N(F15))</f>
        <v>490000</v>
      </c>
      <c r="H15" s="13">
        <f>IF(OR(D15="",E15=""),"",E15-D15)</f>
        <v>-30000</v>
      </c>
      <c r="I15" s="14">
        <f>IF(H15="","",IFERROR(H15/D15,0))</f>
        <v>-0.046875</v>
      </c>
      <c r="J15" s="15" t="n">
        <v>46369</v>
      </c>
      <c r="K15" s="16" t="str">
        <f>IF(AND(D15="",E15=""),"",IF(N(G15)&lt;=0,"Fully paid",IF(N(H15)&gt;0,"Over budget","On budget")))</f>
        <v>On budget</v>
      </c>
      <c r="L15" s="5" t="n"/>
      <c r="M15" s="13">
        <f>IF(AND(D15="",E15=""),"",IF(E15="",D15,E15))</f>
        <v>610000</v>
      </c>
    </row>
    <row r="16">
      <c r="A16" s="5" t="n"/>
      <c r="B16" s="5" t="n"/>
      <c r="C16" s="5" t="n"/>
      <c r="D16" s="17" t="n"/>
      <c r="E16" s="17" t="n"/>
      <c r="F16" s="17" t="n"/>
      <c r="G16" s="13" t="str">
        <f>IF(AND(D16="",E16=""),"",IF(E16="",D16,E16)-N(F16))</f>
        <v/>
      </c>
      <c r="H16" s="13" t="str">
        <f>IF(OR(D16="",E16=""),"",E16-D16)</f>
        <v/>
      </c>
      <c r="I16" s="14" t="str">
        <f>IF(H16="","",IFERROR(H16/D16,0))</f>
        <v/>
      </c>
      <c r="J16" s="15" t="n"/>
      <c r="K16" s="16" t="str">
        <f>IF(AND(D16="",E16=""),"",IF(N(G16)&lt;=0,"Fully paid",IF(N(H16)&gt;0,"Over budget","On budget")))</f>
        <v/>
      </c>
      <c r="L16" s="5" t="n"/>
      <c r="M16" s="13" t="str">
        <f>IF(AND(D16="",E16=""),"",IF(E16="",D16,E16))</f>
        <v/>
      </c>
    </row>
    <row r="17">
      <c r="A17" s="5" t="n"/>
      <c r="B17" s="5" t="n"/>
      <c r="C17" s="5" t="n"/>
      <c r="D17" s="17" t="n"/>
      <c r="E17" s="17" t="n"/>
      <c r="F17" s="17" t="n"/>
      <c r="G17" s="13" t="str">
        <f>IF(AND(D17="",E17=""),"",IF(E17="",D17,E17)-N(F17))</f>
        <v/>
      </c>
      <c r="H17" s="13" t="str">
        <f>IF(OR(D17="",E17=""),"",E17-D17)</f>
        <v/>
      </c>
      <c r="I17" s="14" t="str">
        <f>IF(H17="","",IFERROR(H17/D17,0))</f>
        <v/>
      </c>
      <c r="J17" s="15" t="n"/>
      <c r="K17" s="16" t="str">
        <f>IF(AND(D17="",E17=""),"",IF(N(G17)&lt;=0,"Fully paid",IF(N(H17)&gt;0,"Over budget","On budget")))</f>
        <v/>
      </c>
      <c r="L17" s="5" t="n"/>
      <c r="M17" s="13" t="str">
        <f>IF(AND(D17="",E17=""),"",IF(E17="",D17,E17))</f>
        <v/>
      </c>
    </row>
    <row r="18">
      <c r="A18" s="5" t="n"/>
      <c r="B18" s="5" t="n"/>
      <c r="C18" s="5" t="n"/>
      <c r="D18" s="17" t="n"/>
      <c r="E18" s="17" t="n"/>
      <c r="F18" s="17" t="n"/>
      <c r="G18" s="13" t="str">
        <f>IF(AND(D18="",E18=""),"",IF(E18="",D18,E18)-N(F18))</f>
        <v/>
      </c>
      <c r="H18" s="13" t="str">
        <f>IF(OR(D18="",E18=""),"",E18-D18)</f>
        <v/>
      </c>
      <c r="I18" s="14" t="str">
        <f>IF(H18="","",IFERROR(H18/D18,0))</f>
        <v/>
      </c>
      <c r="J18" s="15" t="n"/>
      <c r="K18" s="16" t="str">
        <f>IF(AND(D18="",E18=""),"",IF(N(G18)&lt;=0,"Fully paid",IF(N(H18)&gt;0,"Over budget","On budget")))</f>
        <v/>
      </c>
      <c r="L18" s="5" t="n"/>
      <c r="M18" s="13" t="str">
        <f>IF(AND(D18="",E18=""),"",IF(E18="",D18,E18))</f>
        <v/>
      </c>
    </row>
    <row r="19">
      <c r="A19" s="5" t="n"/>
      <c r="B19" s="5" t="n"/>
      <c r="C19" s="5" t="n"/>
      <c r="D19" s="17" t="n"/>
      <c r="E19" s="17" t="n"/>
      <c r="F19" s="17" t="n"/>
      <c r="G19" s="13" t="str">
        <f>IF(AND(D19="",E19=""),"",IF(E19="",D19,E19)-N(F19))</f>
        <v/>
      </c>
      <c r="H19" s="13" t="str">
        <f>IF(OR(D19="",E19=""),"",E19-D19)</f>
        <v/>
      </c>
      <c r="I19" s="14" t="str">
        <f>IF(H19="","",IFERROR(H19/D19,0))</f>
        <v/>
      </c>
      <c r="J19" s="15" t="n"/>
      <c r="K19" s="16" t="str">
        <f>IF(AND(D19="",E19=""),"",IF(N(G19)&lt;=0,"Fully paid",IF(N(H19)&gt;0,"Over budget","On budget")))</f>
        <v/>
      </c>
      <c r="L19" s="5" t="n"/>
      <c r="M19" s="13" t="str">
        <f>IF(AND(D19="",E19=""),"",IF(E19="",D19,E19))</f>
        <v/>
      </c>
    </row>
    <row r="20">
      <c r="A20" s="5" t="n"/>
      <c r="B20" s="5" t="n"/>
      <c r="C20" s="5" t="n"/>
      <c r="D20" s="17" t="n"/>
      <c r="E20" s="17" t="n"/>
      <c r="F20" s="17" t="n"/>
      <c r="G20" s="13" t="str">
        <f>IF(AND(D20="",E20=""),"",IF(E20="",D20,E20)-N(F20))</f>
        <v/>
      </c>
      <c r="H20" s="13" t="str">
        <f>IF(OR(D20="",E20=""),"",E20-D20)</f>
        <v/>
      </c>
      <c r="I20" s="14" t="str">
        <f>IF(H20="","",IFERROR(H20/D20,0))</f>
        <v/>
      </c>
      <c r="J20" s="15" t="n"/>
      <c r="K20" s="16" t="str">
        <f>IF(AND(D20="",E20=""),"",IF(N(G20)&lt;=0,"Fully paid",IF(N(H20)&gt;0,"Over budget","On budget")))</f>
        <v/>
      </c>
      <c r="L20" s="5" t="n"/>
      <c r="M20" s="13" t="str">
        <f>IF(AND(D20="",E20=""),"",IF(E20="",D20,E20))</f>
        <v/>
      </c>
    </row>
    <row r="21">
      <c r="A21" s="5" t="n"/>
      <c r="B21" s="5" t="n"/>
      <c r="C21" s="5" t="n"/>
      <c r="D21" s="17" t="n"/>
      <c r="E21" s="17" t="n"/>
      <c r="F21" s="17" t="n"/>
      <c r="G21" s="13" t="str">
        <f>IF(AND(D21="",E21=""),"",IF(E21="",D21,E21)-N(F21))</f>
        <v/>
      </c>
      <c r="H21" s="13" t="str">
        <f>IF(OR(D21="",E21=""),"",E21-D21)</f>
        <v/>
      </c>
      <c r="I21" s="14" t="str">
        <f>IF(H21="","",IFERROR(H21/D21,0))</f>
        <v/>
      </c>
      <c r="J21" s="15" t="n"/>
      <c r="K21" s="16" t="str">
        <f>IF(AND(D21="",E21=""),"",IF(N(G21)&lt;=0,"Fully paid",IF(N(H21)&gt;0,"Over budget","On budget")))</f>
        <v/>
      </c>
      <c r="L21" s="5" t="n"/>
      <c r="M21" s="13" t="str">
        <f>IF(AND(D21="",E21=""),"",IF(E21="",D21,E21))</f>
        <v/>
      </c>
    </row>
    <row r="22">
      <c r="A22" s="5" t="n"/>
      <c r="B22" s="5" t="n"/>
      <c r="C22" s="5" t="n"/>
      <c r="D22" s="17" t="n"/>
      <c r="E22" s="17" t="n"/>
      <c r="F22" s="17" t="n"/>
      <c r="G22" s="13" t="str">
        <f>IF(AND(D22="",E22=""),"",IF(E22="",D22,E22)-N(F22))</f>
        <v/>
      </c>
      <c r="H22" s="13" t="str">
        <f>IF(OR(D22="",E22=""),"",E22-D22)</f>
        <v/>
      </c>
      <c r="I22" s="14" t="str">
        <f>IF(H22="","",IFERROR(H22/D22,0))</f>
        <v/>
      </c>
      <c r="J22" s="15" t="n"/>
      <c r="K22" s="16" t="str">
        <f>IF(AND(D22="",E22=""),"",IF(N(G22)&lt;=0,"Fully paid",IF(N(H22)&gt;0,"Over budget","On budget")))</f>
        <v/>
      </c>
      <c r="L22" s="5" t="n"/>
      <c r="M22" s="13" t="str">
        <f>IF(AND(D22="",E22=""),"",IF(E22="",D22,E22))</f>
        <v/>
      </c>
    </row>
    <row r="23">
      <c r="A23" s="5" t="n"/>
      <c r="B23" s="5" t="n"/>
      <c r="C23" s="5" t="n"/>
      <c r="D23" s="17" t="n"/>
      <c r="E23" s="17" t="n"/>
      <c r="F23" s="17" t="n"/>
      <c r="G23" s="13" t="str">
        <f>IF(AND(D23="",E23=""),"",IF(E23="",D23,E23)-N(F23))</f>
        <v/>
      </c>
      <c r="H23" s="13" t="str">
        <f>IF(OR(D23="",E23=""),"",E23-D23)</f>
        <v/>
      </c>
      <c r="I23" s="14" t="str">
        <f>IF(H23="","",IFERROR(H23/D23,0))</f>
        <v/>
      </c>
      <c r="J23" s="15" t="n"/>
      <c r="K23" s="16" t="str">
        <f>IF(AND(D23="",E23=""),"",IF(N(G23)&lt;=0,"Fully paid",IF(N(H23)&gt;0,"Over budget","On budget")))</f>
        <v/>
      </c>
      <c r="L23" s="5" t="n"/>
      <c r="M23" s="13" t="str">
        <f>IF(AND(D23="",E23=""),"",IF(E23="",D23,E23))</f>
        <v/>
      </c>
    </row>
    <row r="24">
      <c r="A24" s="5" t="n"/>
      <c r="B24" s="5" t="n"/>
      <c r="C24" s="5" t="n"/>
      <c r="D24" s="17" t="n"/>
      <c r="E24" s="17" t="n"/>
      <c r="F24" s="17" t="n"/>
      <c r="G24" s="13" t="str">
        <f>IF(AND(D24="",E24=""),"",IF(E24="",D24,E24)-N(F24))</f>
        <v/>
      </c>
      <c r="H24" s="13" t="str">
        <f>IF(OR(D24="",E24=""),"",E24-D24)</f>
        <v/>
      </c>
      <c r="I24" s="14" t="str">
        <f>IF(H24="","",IFERROR(H24/D24,0))</f>
        <v/>
      </c>
      <c r="J24" s="15" t="n"/>
      <c r="K24" s="16" t="str">
        <f>IF(AND(D24="",E24=""),"",IF(N(G24)&lt;=0,"Fully paid",IF(N(H24)&gt;0,"Over budget","On budget")))</f>
        <v/>
      </c>
      <c r="L24" s="5" t="n"/>
      <c r="M24" s="13" t="str">
        <f>IF(AND(D24="",E24=""),"",IF(E24="",D24,E24))</f>
        <v/>
      </c>
    </row>
    <row r="25">
      <c r="A25" s="5" t="n"/>
      <c r="B25" s="5" t="n"/>
      <c r="C25" s="5" t="n"/>
      <c r="D25" s="17" t="n"/>
      <c r="E25" s="17" t="n"/>
      <c r="F25" s="17" t="n"/>
      <c r="G25" s="13" t="str">
        <f>IF(AND(D25="",E25=""),"",IF(E25="",D25,E25)-N(F25))</f>
        <v/>
      </c>
      <c r="H25" s="13" t="str">
        <f>IF(OR(D25="",E25=""),"",E25-D25)</f>
        <v/>
      </c>
      <c r="I25" s="14" t="str">
        <f>IF(H25="","",IFERROR(H25/D25,0))</f>
        <v/>
      </c>
      <c r="J25" s="15" t="n"/>
      <c r="K25" s="16" t="str">
        <f>IF(AND(D25="",E25=""),"",IF(N(G25)&lt;=0,"Fully paid",IF(N(H25)&gt;0,"Over budget","On budget")))</f>
        <v/>
      </c>
      <c r="L25" s="5" t="n"/>
      <c r="M25" s="13" t="str">
        <f>IF(AND(D25="",E25=""),"",IF(E25="",D25,E25))</f>
        <v/>
      </c>
    </row>
    <row r="26">
      <c r="A26" s="5" t="n"/>
      <c r="B26" s="5" t="n"/>
      <c r="C26" s="5" t="n"/>
      <c r="D26" s="17" t="n"/>
      <c r="E26" s="17" t="n"/>
      <c r="F26" s="17" t="n"/>
      <c r="G26" s="13" t="str">
        <f>IF(AND(D26="",E26=""),"",IF(E26="",D26,E26)-N(F26))</f>
        <v/>
      </c>
      <c r="H26" s="13" t="str">
        <f>IF(OR(D26="",E26=""),"",E26-D26)</f>
        <v/>
      </c>
      <c r="I26" s="14" t="str">
        <f>IF(H26="","",IFERROR(H26/D26,0))</f>
        <v/>
      </c>
      <c r="J26" s="15" t="n"/>
      <c r="K26" s="16" t="str">
        <f>IF(AND(D26="",E26=""),"",IF(N(G26)&lt;=0,"Fully paid",IF(N(H26)&gt;0,"Over budget","On budget")))</f>
        <v/>
      </c>
      <c r="L26" s="5" t="n"/>
      <c r="M26" s="13" t="str">
        <f>IF(AND(D26="",E26=""),"",IF(E26="",D26,E26))</f>
        <v/>
      </c>
    </row>
    <row r="27">
      <c r="A27" s="5" t="n"/>
      <c r="B27" s="5" t="n"/>
      <c r="C27" s="5" t="n"/>
      <c r="D27" s="17" t="n"/>
      <c r="E27" s="17" t="n"/>
      <c r="F27" s="17" t="n"/>
      <c r="G27" s="13" t="str">
        <f>IF(AND(D27="",E27=""),"",IF(E27="",D27,E27)-N(F27))</f>
        <v/>
      </c>
      <c r="H27" s="13" t="str">
        <f>IF(OR(D27="",E27=""),"",E27-D27)</f>
        <v/>
      </c>
      <c r="I27" s="14" t="str">
        <f>IF(H27="","",IFERROR(H27/D27,0))</f>
        <v/>
      </c>
      <c r="J27" s="15" t="n"/>
      <c r="K27" s="16" t="str">
        <f>IF(AND(D27="",E27=""),"",IF(N(G27)&lt;=0,"Fully paid",IF(N(H27)&gt;0,"Over budget","On budget")))</f>
        <v/>
      </c>
      <c r="L27" s="5" t="n"/>
      <c r="M27" s="13" t="str">
        <f>IF(AND(D27="",E27=""),"",IF(E27="",D27,E27))</f>
        <v/>
      </c>
    </row>
    <row r="28">
      <c r="A28" s="5" t="n"/>
      <c r="B28" s="5" t="n"/>
      <c r="C28" s="5" t="n"/>
      <c r="D28" s="17" t="n"/>
      <c r="E28" s="17" t="n"/>
      <c r="F28" s="17" t="n"/>
      <c r="G28" s="13" t="str">
        <f>IF(AND(D28="",E28=""),"",IF(E28="",D28,E28)-N(F28))</f>
        <v/>
      </c>
      <c r="H28" s="13" t="str">
        <f>IF(OR(D28="",E28=""),"",E28-D28)</f>
        <v/>
      </c>
      <c r="I28" s="14" t="str">
        <f>IF(H28="","",IFERROR(H28/D28,0))</f>
        <v/>
      </c>
      <c r="J28" s="15" t="n"/>
      <c r="K28" s="16" t="str">
        <f>IF(AND(D28="",E28=""),"",IF(N(G28)&lt;=0,"Fully paid",IF(N(H28)&gt;0,"Over budget","On budget")))</f>
        <v/>
      </c>
      <c r="L28" s="5" t="n"/>
      <c r="M28" s="13" t="str">
        <f>IF(AND(D28="",E28=""),"",IF(E28="",D28,E28))</f>
        <v/>
      </c>
    </row>
    <row r="29">
      <c r="A29" s="5" t="n"/>
      <c r="B29" s="5" t="n"/>
      <c r="C29" s="5" t="n"/>
      <c r="D29" s="17" t="n"/>
      <c r="E29" s="17" t="n"/>
      <c r="F29" s="17" t="n"/>
      <c r="G29" s="13" t="str">
        <f>IF(AND(D29="",E29=""),"",IF(E29="",D29,E29)-N(F29))</f>
        <v/>
      </c>
      <c r="H29" s="13" t="str">
        <f>IF(OR(D29="",E29=""),"",E29-D29)</f>
        <v/>
      </c>
      <c r="I29" s="14" t="str">
        <f>IF(H29="","",IFERROR(H29/D29,0))</f>
        <v/>
      </c>
      <c r="J29" s="15" t="n"/>
      <c r="K29" s="16" t="str">
        <f>IF(AND(D29="",E29=""),"",IF(N(G29)&lt;=0,"Fully paid",IF(N(H29)&gt;0,"Over budget","On budget")))</f>
        <v/>
      </c>
      <c r="L29" s="5" t="n"/>
      <c r="M29" s="13" t="str">
        <f>IF(AND(D29="",E29=""),"",IF(E29="",D29,E29))</f>
        <v/>
      </c>
    </row>
    <row r="30">
      <c r="A30" s="5" t="n"/>
      <c r="B30" s="5" t="n"/>
      <c r="C30" s="5" t="n"/>
      <c r="D30" s="17" t="n"/>
      <c r="E30" s="17" t="n"/>
      <c r="F30" s="17" t="n"/>
      <c r="G30" s="13" t="str">
        <f>IF(AND(D30="",E30=""),"",IF(E30="",D30,E30)-N(F30))</f>
        <v/>
      </c>
      <c r="H30" s="13" t="str">
        <f>IF(OR(D30="",E30=""),"",E30-D30)</f>
        <v/>
      </c>
      <c r="I30" s="14" t="str">
        <f>IF(H30="","",IFERROR(H30/D30,0))</f>
        <v/>
      </c>
      <c r="J30" s="15" t="n"/>
      <c r="K30" s="16" t="str">
        <f>IF(AND(D30="",E30=""),"",IF(N(G30)&lt;=0,"Fully paid",IF(N(H30)&gt;0,"Over budget","On budget")))</f>
        <v/>
      </c>
      <c r="L30" s="5" t="n"/>
      <c r="M30" s="13" t="str">
        <f>IF(AND(D30="",E30=""),"",IF(E30="",D30,E30))</f>
        <v/>
      </c>
    </row>
    <row r="31">
      <c r="A31" s="5" t="n"/>
      <c r="B31" s="5" t="n"/>
      <c r="C31" s="5" t="n"/>
      <c r="D31" s="17" t="n"/>
      <c r="E31" s="17" t="n"/>
      <c r="F31" s="17" t="n"/>
      <c r="G31" s="13" t="str">
        <f>IF(AND(D31="",E31=""),"",IF(E31="",D31,E31)-N(F31))</f>
        <v/>
      </c>
      <c r="H31" s="13" t="str">
        <f>IF(OR(D31="",E31=""),"",E31-D31)</f>
        <v/>
      </c>
      <c r="I31" s="14" t="str">
        <f>IF(H31="","",IFERROR(H31/D31,0))</f>
        <v/>
      </c>
      <c r="J31" s="15" t="n"/>
      <c r="K31" s="16" t="str">
        <f>IF(AND(D31="",E31=""),"",IF(N(G31)&lt;=0,"Fully paid",IF(N(H31)&gt;0,"Over budget","On budget")))</f>
        <v/>
      </c>
      <c r="L31" s="5" t="n"/>
      <c r="M31" s="13" t="str">
        <f>IF(AND(D31="",E31=""),"",IF(E31="",D31,E31))</f>
        <v/>
      </c>
    </row>
    <row r="32">
      <c r="A32" s="5" t="n"/>
      <c r="B32" s="5" t="n"/>
      <c r="C32" s="5" t="n"/>
      <c r="D32" s="17" t="n"/>
      <c r="E32" s="17" t="n"/>
      <c r="F32" s="17" t="n"/>
      <c r="G32" s="13" t="str">
        <f>IF(AND(D32="",E32=""),"",IF(E32="",D32,E32)-N(F32))</f>
        <v/>
      </c>
      <c r="H32" s="13" t="str">
        <f>IF(OR(D32="",E32=""),"",E32-D32)</f>
        <v/>
      </c>
      <c r="I32" s="14" t="str">
        <f>IF(H32="","",IFERROR(H32/D32,0))</f>
        <v/>
      </c>
      <c r="J32" s="15" t="n"/>
      <c r="K32" s="16" t="str">
        <f>IF(AND(D32="",E32=""),"",IF(N(G32)&lt;=0,"Fully paid",IF(N(H32)&gt;0,"Over budget","On budget")))</f>
        <v/>
      </c>
      <c r="L32" s="5" t="n"/>
      <c r="M32" s="13" t="str">
        <f>IF(AND(D32="",E32=""),"",IF(E32="",D32,E32))</f>
        <v/>
      </c>
    </row>
    <row r="33">
      <c r="A33" s="5" t="n"/>
      <c r="B33" s="5" t="n"/>
      <c r="C33" s="5" t="n"/>
      <c r="D33" s="17" t="n"/>
      <c r="E33" s="17" t="n"/>
      <c r="F33" s="17" t="n"/>
      <c r="G33" s="13" t="str">
        <f>IF(AND(D33="",E33=""),"",IF(E33="",D33,E33)-N(F33))</f>
        <v/>
      </c>
      <c r="H33" s="13" t="str">
        <f>IF(OR(D33="",E33=""),"",E33-D33)</f>
        <v/>
      </c>
      <c r="I33" s="14" t="str">
        <f>IF(H33="","",IFERROR(H33/D33,0))</f>
        <v/>
      </c>
      <c r="J33" s="15" t="n"/>
      <c r="K33" s="16" t="str">
        <f>IF(AND(D33="",E33=""),"",IF(N(G33)&lt;=0,"Fully paid",IF(N(H33)&gt;0,"Over budget","On budget")))</f>
        <v/>
      </c>
      <c r="L33" s="5" t="n"/>
      <c r="M33" s="13" t="str">
        <f>IF(AND(D33="",E33=""),"",IF(E33="",D33,E33))</f>
        <v/>
      </c>
    </row>
    <row r="34">
      <c r="A34" s="5" t="n"/>
      <c r="B34" s="5" t="n"/>
      <c r="C34" s="5" t="n"/>
      <c r="D34" s="17" t="n"/>
      <c r="E34" s="17" t="n"/>
      <c r="F34" s="17" t="n"/>
      <c r="G34" s="13" t="str">
        <f>IF(AND(D34="",E34=""),"",IF(E34="",D34,E34)-N(F34))</f>
        <v/>
      </c>
      <c r="H34" s="13" t="str">
        <f>IF(OR(D34="",E34=""),"",E34-D34)</f>
        <v/>
      </c>
      <c r="I34" s="14" t="str">
        <f>IF(H34="","",IFERROR(H34/D34,0))</f>
        <v/>
      </c>
      <c r="J34" s="15" t="n"/>
      <c r="K34" s="16" t="str">
        <f>IF(AND(D34="",E34=""),"",IF(N(G34)&lt;=0,"Fully paid",IF(N(H34)&gt;0,"Over budget","On budget")))</f>
        <v/>
      </c>
      <c r="L34" s="5" t="n"/>
      <c r="M34" s="13" t="str">
        <f>IF(AND(D34="",E34=""),"",IF(E34="",D34,E34))</f>
        <v/>
      </c>
    </row>
    <row r="35">
      <c r="A35" s="5" t="n"/>
      <c r="B35" s="5" t="n"/>
      <c r="C35" s="5" t="n"/>
      <c r="D35" s="17" t="n"/>
      <c r="E35" s="17" t="n"/>
      <c r="F35" s="17" t="n"/>
      <c r="G35" s="13" t="str">
        <f>IF(AND(D35="",E35=""),"",IF(E35="",D35,E35)-N(F35))</f>
        <v/>
      </c>
      <c r="H35" s="13" t="str">
        <f>IF(OR(D35="",E35=""),"",E35-D35)</f>
        <v/>
      </c>
      <c r="I35" s="14" t="str">
        <f>IF(H35="","",IFERROR(H35/D35,0))</f>
        <v/>
      </c>
      <c r="J35" s="15" t="n"/>
      <c r="K35" s="16" t="str">
        <f>IF(AND(D35="",E35=""),"",IF(N(G35)&lt;=0,"Fully paid",IF(N(H35)&gt;0,"Over budget","On budget")))</f>
        <v/>
      </c>
      <c r="L35" s="5" t="n"/>
      <c r="M35" s="13" t="str">
        <f>IF(AND(D35="",E35=""),"",IF(E35="",D35,E35))</f>
        <v/>
      </c>
    </row>
    <row r="36">
      <c r="A36" s="5" t="n"/>
      <c r="B36" s="5" t="n"/>
      <c r="C36" s="5" t="n"/>
      <c r="D36" s="17" t="n"/>
      <c r="E36" s="17" t="n"/>
      <c r="F36" s="17" t="n"/>
      <c r="G36" s="13" t="str">
        <f>IF(AND(D36="",E36=""),"",IF(E36="",D36,E36)-N(F36))</f>
        <v/>
      </c>
      <c r="H36" s="13" t="str">
        <f>IF(OR(D36="",E36=""),"",E36-D36)</f>
        <v/>
      </c>
      <c r="I36" s="14" t="str">
        <f>IF(H36="","",IFERROR(H36/D36,0))</f>
        <v/>
      </c>
      <c r="J36" s="15" t="n"/>
      <c r="K36" s="16" t="str">
        <f>IF(AND(D36="",E36=""),"",IF(N(G36)&lt;=0,"Fully paid",IF(N(H36)&gt;0,"Over budget","On budget")))</f>
        <v/>
      </c>
      <c r="L36" s="5" t="n"/>
      <c r="M36" s="13" t="str">
        <f>IF(AND(D36="",E36=""),"",IF(E36="",D36,E36))</f>
        <v/>
      </c>
    </row>
    <row r="37">
      <c r="A37" s="5" t="n"/>
      <c r="B37" s="5" t="n"/>
      <c r="C37" s="5" t="n"/>
      <c r="D37" s="17" t="n"/>
      <c r="E37" s="17" t="n"/>
      <c r="F37" s="17" t="n"/>
      <c r="G37" s="13" t="str">
        <f>IF(AND(D37="",E37=""),"",IF(E37="",D37,E37)-N(F37))</f>
        <v/>
      </c>
      <c r="H37" s="13" t="str">
        <f>IF(OR(D37="",E37=""),"",E37-D37)</f>
        <v/>
      </c>
      <c r="I37" s="14" t="str">
        <f>IF(H37="","",IFERROR(H37/D37,0))</f>
        <v/>
      </c>
      <c r="J37" s="15" t="n"/>
      <c r="K37" s="16" t="str">
        <f>IF(AND(D37="",E37=""),"",IF(N(G37)&lt;=0,"Fully paid",IF(N(H37)&gt;0,"Over budget","On budget")))</f>
        <v/>
      </c>
      <c r="L37" s="5" t="n"/>
      <c r="M37" s="13" t="str">
        <f>IF(AND(D37="",E37=""),"",IF(E37="",D37,E37))</f>
        <v/>
      </c>
    </row>
    <row r="38">
      <c r="A38" s="5" t="n"/>
      <c r="B38" s="5" t="n"/>
      <c r="C38" s="5" t="n"/>
      <c r="D38" s="17" t="n"/>
      <c r="E38" s="17" t="n"/>
      <c r="F38" s="17" t="n"/>
      <c r="G38" s="13" t="str">
        <f>IF(AND(D38="",E38=""),"",IF(E38="",D38,E38)-N(F38))</f>
        <v/>
      </c>
      <c r="H38" s="13" t="str">
        <f>IF(OR(D38="",E38=""),"",E38-D38)</f>
        <v/>
      </c>
      <c r="I38" s="14" t="str">
        <f>IF(H38="","",IFERROR(H38/D38,0))</f>
        <v/>
      </c>
      <c r="J38" s="15" t="n"/>
      <c r="K38" s="16" t="str">
        <f>IF(AND(D38="",E38=""),"",IF(N(G38)&lt;=0,"Fully paid",IF(N(H38)&gt;0,"Over budget","On budget")))</f>
        <v/>
      </c>
      <c r="L38" s="5" t="n"/>
      <c r="M38" s="13" t="str">
        <f>IF(AND(D38="",E38=""),"",IF(E38="",D38,E38))</f>
        <v/>
      </c>
    </row>
    <row r="39">
      <c r="A39" s="5" t="n"/>
      <c r="B39" s="5" t="n"/>
      <c r="C39" s="5" t="n"/>
      <c r="D39" s="17" t="n"/>
      <c r="E39" s="17" t="n"/>
      <c r="F39" s="17" t="n"/>
      <c r="G39" s="13" t="str">
        <f>IF(AND(D39="",E39=""),"",IF(E39="",D39,E39)-N(F39))</f>
        <v/>
      </c>
      <c r="H39" s="13" t="str">
        <f>IF(OR(D39="",E39=""),"",E39-D39)</f>
        <v/>
      </c>
      <c r="I39" s="14" t="str">
        <f>IF(H39="","",IFERROR(H39/D39,0))</f>
        <v/>
      </c>
      <c r="J39" s="15" t="n"/>
      <c r="K39" s="16" t="str">
        <f>IF(AND(D39="",E39=""),"",IF(N(G39)&lt;=0,"Fully paid",IF(N(H39)&gt;0,"Over budget","On budget")))</f>
        <v/>
      </c>
      <c r="L39" s="5" t="n"/>
      <c r="M39" s="13" t="str">
        <f>IF(AND(D39="",E39=""),"",IF(E39="",D39,E39))</f>
        <v/>
      </c>
    </row>
    <row r="40">
      <c r="A40" s="5" t="n"/>
      <c r="B40" s="5" t="n"/>
      <c r="C40" s="5" t="n"/>
      <c r="D40" s="17" t="n"/>
      <c r="E40" s="17" t="n"/>
      <c r="F40" s="17" t="n"/>
      <c r="G40" s="13" t="str">
        <f>IF(AND(D40="",E40=""),"",IF(E40="",D40,E40)-N(F40))</f>
        <v/>
      </c>
      <c r="H40" s="13" t="str">
        <f>IF(OR(D40="",E40=""),"",E40-D40)</f>
        <v/>
      </c>
      <c r="I40" s="14" t="str">
        <f>IF(H40="","",IFERROR(H40/D40,0))</f>
        <v/>
      </c>
      <c r="J40" s="15" t="n"/>
      <c r="K40" s="16" t="str">
        <f>IF(AND(D40="",E40=""),"",IF(N(G40)&lt;=0,"Fully paid",IF(N(H40)&gt;0,"Over budget","On budget")))</f>
        <v/>
      </c>
      <c r="L40" s="5" t="n"/>
      <c r="M40" s="13" t="str">
        <f>IF(AND(D40="",E40=""),"",IF(E40="",D40,E40))</f>
        <v/>
      </c>
    </row>
    <row r="41">
      <c r="A41" s="5" t="n"/>
      <c r="B41" s="5" t="n"/>
      <c r="C41" s="5" t="n"/>
      <c r="D41" s="17" t="n"/>
      <c r="E41" s="17" t="n"/>
      <c r="F41" s="17" t="n"/>
      <c r="G41" s="13" t="str">
        <f>IF(AND(D41="",E41=""),"",IF(E41="",D41,E41)-N(F41))</f>
        <v/>
      </c>
      <c r="H41" s="13" t="str">
        <f>IF(OR(D41="",E41=""),"",E41-D41)</f>
        <v/>
      </c>
      <c r="I41" s="14" t="str">
        <f>IF(H41="","",IFERROR(H41/D41,0))</f>
        <v/>
      </c>
      <c r="J41" s="15" t="n"/>
      <c r="K41" s="16" t="str">
        <f>IF(AND(D41="",E41=""),"",IF(N(G41)&lt;=0,"Fully paid",IF(N(H41)&gt;0,"Over budget","On budget")))</f>
        <v/>
      </c>
      <c r="L41" s="5" t="n"/>
      <c r="M41" s="13" t="str">
        <f>IF(AND(D41="",E41=""),"",IF(E41="",D41,E41))</f>
        <v/>
      </c>
    </row>
    <row r="42">
      <c r="A42" s="5" t="n"/>
      <c r="B42" s="5" t="n"/>
      <c r="C42" s="5" t="n"/>
      <c r="D42" s="17" t="n"/>
      <c r="E42" s="17" t="n"/>
      <c r="F42" s="17" t="n"/>
      <c r="G42" s="13" t="str">
        <f>IF(AND(D42="",E42=""),"",IF(E42="",D42,E42)-N(F42))</f>
        <v/>
      </c>
      <c r="H42" s="13" t="str">
        <f>IF(OR(D42="",E42=""),"",E42-D42)</f>
        <v/>
      </c>
      <c r="I42" s="14" t="str">
        <f>IF(H42="","",IFERROR(H42/D42,0))</f>
        <v/>
      </c>
      <c r="J42" s="15" t="n"/>
      <c r="K42" s="16" t="str">
        <f>IF(AND(D42="",E42=""),"",IF(N(G42)&lt;=0,"Fully paid",IF(N(H42)&gt;0,"Over budget","On budget")))</f>
        <v/>
      </c>
      <c r="L42" s="5" t="n"/>
      <c r="M42" s="13" t="str">
        <f>IF(AND(D42="",E42=""),"",IF(E42="",D42,E42))</f>
        <v/>
      </c>
    </row>
    <row r="43">
      <c r="A43" s="5" t="n"/>
      <c r="B43" s="5" t="n"/>
      <c r="C43" s="5" t="n"/>
      <c r="D43" s="17" t="n"/>
      <c r="E43" s="17" t="n"/>
      <c r="F43" s="17" t="n"/>
      <c r="G43" s="13" t="str">
        <f>IF(AND(D43="",E43=""),"",IF(E43="",D43,E43)-N(F43))</f>
        <v/>
      </c>
      <c r="H43" s="13" t="str">
        <f>IF(OR(D43="",E43=""),"",E43-D43)</f>
        <v/>
      </c>
      <c r="I43" s="14" t="str">
        <f>IF(H43="","",IFERROR(H43/D43,0))</f>
        <v/>
      </c>
      <c r="J43" s="15" t="n"/>
      <c r="K43" s="16" t="str">
        <f>IF(AND(D43="",E43=""),"",IF(N(G43)&lt;=0,"Fully paid",IF(N(H43)&gt;0,"Over budget","On budget")))</f>
        <v/>
      </c>
      <c r="L43" s="5" t="n"/>
      <c r="M43" s="13" t="str">
        <f>IF(AND(D43="",E43=""),"",IF(E43="",D43,E43))</f>
        <v/>
      </c>
    </row>
    <row r="44">
      <c r="A44" s="5" t="n"/>
      <c r="B44" s="5" t="n"/>
      <c r="C44" s="5" t="n"/>
      <c r="D44" s="17" t="n"/>
      <c r="E44" s="17" t="n"/>
      <c r="F44" s="17" t="n"/>
      <c r="G44" s="13" t="str">
        <f>IF(AND(D44="",E44=""),"",IF(E44="",D44,E44)-N(F44))</f>
        <v/>
      </c>
      <c r="H44" s="13" t="str">
        <f>IF(OR(D44="",E44=""),"",E44-D44)</f>
        <v/>
      </c>
      <c r="I44" s="14" t="str">
        <f>IF(H44="","",IFERROR(H44/D44,0))</f>
        <v/>
      </c>
      <c r="J44" s="15" t="n"/>
      <c r="K44" s="16" t="str">
        <f>IF(AND(D44="",E44=""),"",IF(N(G44)&lt;=0,"Fully paid",IF(N(H44)&gt;0,"Over budget","On budget")))</f>
        <v/>
      </c>
      <c r="L44" s="5" t="n"/>
      <c r="M44" s="13" t="str">
        <f>IF(AND(D44="",E44=""),"",IF(E44="",D44,E44))</f>
        <v/>
      </c>
    </row>
    <row r="45">
      <c r="A45" s="5" t="n"/>
      <c r="B45" s="5" t="n"/>
      <c r="C45" s="5" t="n"/>
      <c r="D45" s="17" t="n"/>
      <c r="E45" s="17" t="n"/>
      <c r="F45" s="17" t="n"/>
      <c r="G45" s="13" t="str">
        <f>IF(AND(D45="",E45=""),"",IF(E45="",D45,E45)-N(F45))</f>
        <v/>
      </c>
      <c r="H45" s="13" t="str">
        <f>IF(OR(D45="",E45=""),"",E45-D45)</f>
        <v/>
      </c>
      <c r="I45" s="14" t="str">
        <f>IF(H45="","",IFERROR(H45/D45,0))</f>
        <v/>
      </c>
      <c r="J45" s="15" t="n"/>
      <c r="K45" s="16" t="str">
        <f>IF(AND(D45="",E45=""),"",IF(N(G45)&lt;=0,"Fully paid",IF(N(H45)&gt;0,"Over budget","On budget")))</f>
        <v/>
      </c>
      <c r="L45" s="5" t="n"/>
      <c r="M45" s="13" t="str">
        <f>IF(AND(D45="",E45=""),"",IF(E45="",D45,E45))</f>
        <v/>
      </c>
    </row>
    <row r="46">
      <c r="A46" s="5" t="n"/>
      <c r="B46" s="5" t="n"/>
      <c r="C46" s="5" t="n"/>
      <c r="D46" s="17" t="n"/>
      <c r="E46" s="17" t="n"/>
      <c r="F46" s="17" t="n"/>
      <c r="G46" s="13" t="str">
        <f>IF(AND(D46="",E46=""),"",IF(E46="",D46,E46)-N(F46))</f>
        <v/>
      </c>
      <c r="H46" s="13" t="str">
        <f>IF(OR(D46="",E46=""),"",E46-D46)</f>
        <v/>
      </c>
      <c r="I46" s="14" t="str">
        <f>IF(H46="","",IFERROR(H46/D46,0))</f>
        <v/>
      </c>
      <c r="J46" s="15" t="n"/>
      <c r="K46" s="16" t="str">
        <f>IF(AND(D46="",E46=""),"",IF(N(G46)&lt;=0,"Fully paid",IF(N(H46)&gt;0,"Over budget","On budget")))</f>
        <v/>
      </c>
      <c r="L46" s="5" t="n"/>
      <c r="M46" s="13" t="str">
        <f>IF(AND(D46="",E46=""),"",IF(E46="",D46,E46))</f>
        <v/>
      </c>
    </row>
    <row r="47">
      <c r="A47" s="5" t="n"/>
      <c r="B47" s="5" t="n"/>
      <c r="C47" s="5" t="n"/>
      <c r="D47" s="17" t="n"/>
      <c r="E47" s="17" t="n"/>
      <c r="F47" s="17" t="n"/>
      <c r="G47" s="13" t="str">
        <f>IF(AND(D47="",E47=""),"",IF(E47="",D47,E47)-N(F47))</f>
        <v/>
      </c>
      <c r="H47" s="13" t="str">
        <f>IF(OR(D47="",E47=""),"",E47-D47)</f>
        <v/>
      </c>
      <c r="I47" s="14" t="str">
        <f>IF(H47="","",IFERROR(H47/D47,0))</f>
        <v/>
      </c>
      <c r="J47" s="15" t="n"/>
      <c r="K47" s="16" t="str">
        <f>IF(AND(D47="",E47=""),"",IF(N(G47)&lt;=0,"Fully paid",IF(N(H47)&gt;0,"Over budget","On budget")))</f>
        <v/>
      </c>
      <c r="L47" s="5" t="n"/>
      <c r="M47" s="13" t="str">
        <f>IF(AND(D47="",E47=""),"",IF(E47="",D47,E47))</f>
        <v/>
      </c>
    </row>
    <row r="48">
      <c r="A48" s="5" t="n"/>
      <c r="B48" s="5" t="n"/>
      <c r="C48" s="5" t="n"/>
      <c r="D48" s="17" t="n"/>
      <c r="E48" s="17" t="n"/>
      <c r="F48" s="17" t="n"/>
      <c r="G48" s="13" t="str">
        <f>IF(AND(D48="",E48=""),"",IF(E48="",D48,E48)-N(F48))</f>
        <v/>
      </c>
      <c r="H48" s="13" t="str">
        <f>IF(OR(D48="",E48=""),"",E48-D48)</f>
        <v/>
      </c>
      <c r="I48" s="14" t="str">
        <f>IF(H48="","",IFERROR(H48/D48,0))</f>
        <v/>
      </c>
      <c r="J48" s="15" t="n"/>
      <c r="K48" s="16" t="str">
        <f>IF(AND(D48="",E48=""),"",IF(N(G48)&lt;=0,"Fully paid",IF(N(H48)&gt;0,"Over budget","On budget")))</f>
        <v/>
      </c>
      <c r="L48" s="5" t="n"/>
      <c r="M48" s="13" t="str">
        <f>IF(AND(D48="",E48=""),"",IF(E48="",D48,E48))</f>
        <v/>
      </c>
    </row>
    <row r="49">
      <c r="A49" s="5" t="n"/>
      <c r="B49" s="5" t="n"/>
      <c r="C49" s="5" t="n"/>
      <c r="D49" s="17" t="n"/>
      <c r="E49" s="17" t="n"/>
      <c r="F49" s="17" t="n"/>
      <c r="G49" s="13" t="str">
        <f>IF(AND(D49="",E49=""),"",IF(E49="",D49,E49)-N(F49))</f>
        <v/>
      </c>
      <c r="H49" s="13" t="str">
        <f>IF(OR(D49="",E49=""),"",E49-D49)</f>
        <v/>
      </c>
      <c r="I49" s="14" t="str">
        <f>IF(H49="","",IFERROR(H49/D49,0))</f>
        <v/>
      </c>
      <c r="J49" s="15" t="n"/>
      <c r="K49" s="16" t="str">
        <f>IF(AND(D49="",E49=""),"",IF(N(G49)&lt;=0,"Fully paid",IF(N(H49)&gt;0,"Over budget","On budget")))</f>
        <v/>
      </c>
      <c r="L49" s="5" t="n"/>
      <c r="M49" s="13" t="str">
        <f>IF(AND(D49="",E49=""),"",IF(E49="",D49,E49))</f>
        <v/>
      </c>
    </row>
    <row r="50">
      <c r="A50" s="5" t="n"/>
      <c r="B50" s="5" t="n"/>
      <c r="C50" s="5" t="n"/>
      <c r="D50" s="17" t="n"/>
      <c r="E50" s="17" t="n"/>
      <c r="F50" s="17" t="n"/>
      <c r="G50" s="13" t="str">
        <f>IF(AND(D50="",E50=""),"",IF(E50="",D50,E50)-N(F50))</f>
        <v/>
      </c>
      <c r="H50" s="13" t="str">
        <f>IF(OR(D50="",E50=""),"",E50-D50)</f>
        <v/>
      </c>
      <c r="I50" s="14" t="str">
        <f>IF(H50="","",IFERROR(H50/D50,0))</f>
        <v/>
      </c>
      <c r="J50" s="15" t="n"/>
      <c r="K50" s="16" t="str">
        <f>IF(AND(D50="",E50=""),"",IF(N(G50)&lt;=0,"Fully paid",IF(N(H50)&gt;0,"Over budget","On budget")))</f>
        <v/>
      </c>
      <c r="L50" s="5" t="n"/>
      <c r="M50" s="13" t="str">
        <f>IF(AND(D50="",E50=""),"",IF(E50="",D50,E50))</f>
        <v/>
      </c>
    </row>
    <row r="51">
      <c r="A51" s="5" t="n"/>
      <c r="B51" s="5" t="n"/>
      <c r="C51" s="5" t="n"/>
      <c r="D51" s="17" t="n"/>
      <c r="E51" s="17" t="n"/>
      <c r="F51" s="17" t="n"/>
      <c r="G51" s="13" t="str">
        <f>IF(AND(D51="",E51=""),"",IF(E51="",D51,E51)-N(F51))</f>
        <v/>
      </c>
      <c r="H51" s="13" t="str">
        <f>IF(OR(D51="",E51=""),"",E51-D51)</f>
        <v/>
      </c>
      <c r="I51" s="14" t="str">
        <f>IF(H51="","",IFERROR(H51/D51,0))</f>
        <v/>
      </c>
      <c r="J51" s="15" t="n"/>
      <c r="K51" s="16" t="str">
        <f>IF(AND(D51="",E51=""),"",IF(N(G51)&lt;=0,"Fully paid",IF(N(H51)&gt;0,"Over budget","On budget")))</f>
        <v/>
      </c>
      <c r="L51" s="5" t="n"/>
      <c r="M51" s="13" t="str">
        <f>IF(AND(D51="",E51=""),"",IF(E51="",D51,E51))</f>
        <v/>
      </c>
    </row>
    <row r="52">
      <c r="A52" s="5" t="n"/>
      <c r="B52" s="5" t="n"/>
      <c r="C52" s="5" t="n"/>
      <c r="D52" s="17" t="n"/>
      <c r="E52" s="17" t="n"/>
      <c r="F52" s="17" t="n"/>
      <c r="G52" s="13" t="str">
        <f>IF(AND(D52="",E52=""),"",IF(E52="",D52,E52)-N(F52))</f>
        <v/>
      </c>
      <c r="H52" s="13" t="str">
        <f>IF(OR(D52="",E52=""),"",E52-D52)</f>
        <v/>
      </c>
      <c r="I52" s="14" t="str">
        <f>IF(H52="","",IFERROR(H52/D52,0))</f>
        <v/>
      </c>
      <c r="J52" s="15" t="n"/>
      <c r="K52" s="16" t="str">
        <f>IF(AND(D52="",E52=""),"",IF(N(G52)&lt;=0,"Fully paid",IF(N(H52)&gt;0,"Over budget","On budget")))</f>
        <v/>
      </c>
      <c r="L52" s="5" t="n"/>
      <c r="M52" s="13" t="str">
        <f>IF(AND(D52="",E52=""),"",IF(E52="",D52,E52))</f>
        <v/>
      </c>
    </row>
    <row r="53">
      <c r="A53" s="5" t="n"/>
      <c r="B53" s="5" t="n"/>
      <c r="C53" s="5" t="n"/>
      <c r="D53" s="17" t="n"/>
      <c r="E53" s="17" t="n"/>
      <c r="F53" s="17" t="n"/>
      <c r="G53" s="13" t="str">
        <f>IF(AND(D53="",E53=""),"",IF(E53="",D53,E53)-N(F53))</f>
        <v/>
      </c>
      <c r="H53" s="13" t="str">
        <f>IF(OR(D53="",E53=""),"",E53-D53)</f>
        <v/>
      </c>
      <c r="I53" s="14" t="str">
        <f>IF(H53="","",IFERROR(H53/D53,0))</f>
        <v/>
      </c>
      <c r="J53" s="15" t="n"/>
      <c r="K53" s="16" t="str">
        <f>IF(AND(D53="",E53=""),"",IF(N(G53)&lt;=0,"Fully paid",IF(N(H53)&gt;0,"Over budget","On budget")))</f>
        <v/>
      </c>
      <c r="L53" s="5" t="n"/>
      <c r="M53" s="13" t="str">
        <f>IF(AND(D53="",E53=""),"",IF(E53="",D53,E53))</f>
        <v/>
      </c>
    </row>
    <row r="54">
      <c r="A54" s="5" t="n"/>
      <c r="B54" s="5" t="n"/>
      <c r="C54" s="5" t="n"/>
      <c r="D54" s="17" t="n"/>
      <c r="E54" s="17" t="n"/>
      <c r="F54" s="17" t="n"/>
      <c r="G54" s="13" t="str">
        <f>IF(AND(D54="",E54=""),"",IF(E54="",D54,E54)-N(F54))</f>
        <v/>
      </c>
      <c r="H54" s="13" t="str">
        <f>IF(OR(D54="",E54=""),"",E54-D54)</f>
        <v/>
      </c>
      <c r="I54" s="14" t="str">
        <f>IF(H54="","",IFERROR(H54/D54,0))</f>
        <v/>
      </c>
      <c r="J54" s="15" t="n"/>
      <c r="K54" s="16" t="str">
        <f>IF(AND(D54="",E54=""),"",IF(N(G54)&lt;=0,"Fully paid",IF(N(H54)&gt;0,"Over budget","On budget")))</f>
        <v/>
      </c>
      <c r="L54" s="5" t="n"/>
      <c r="M54" s="13" t="str">
        <f>IF(AND(D54="",E54=""),"",IF(E54="",D54,E54))</f>
        <v/>
      </c>
    </row>
    <row r="55">
      <c r="A55" s="5" t="n"/>
      <c r="B55" s="5" t="n"/>
      <c r="C55" s="5" t="n"/>
      <c r="D55" s="17" t="n"/>
      <c r="E55" s="17" t="n"/>
      <c r="F55" s="17" t="n"/>
      <c r="G55" s="13" t="str">
        <f>IF(AND(D55="",E55=""),"",IF(E55="",D55,E55)-N(F55))</f>
        <v/>
      </c>
      <c r="H55" s="13" t="str">
        <f>IF(OR(D55="",E55=""),"",E55-D55)</f>
        <v/>
      </c>
      <c r="I55" s="14" t="str">
        <f>IF(H55="","",IFERROR(H55/D55,0))</f>
        <v/>
      </c>
      <c r="J55" s="15" t="n"/>
      <c r="K55" s="16" t="str">
        <f>IF(AND(D55="",E55=""),"",IF(N(G55)&lt;=0,"Fully paid",IF(N(H55)&gt;0,"Over budget","On budget")))</f>
        <v/>
      </c>
      <c r="L55" s="5" t="n"/>
      <c r="M55" s="13" t="str">
        <f>IF(AND(D55="",E55=""),"",IF(E55="",D55,E55))</f>
        <v/>
      </c>
    </row>
    <row r="56">
      <c r="A56" s="5" t="n"/>
      <c r="B56" s="5" t="n"/>
      <c r="C56" s="5" t="n"/>
      <c r="D56" s="17" t="n"/>
      <c r="E56" s="17" t="n"/>
      <c r="F56" s="17" t="n"/>
      <c r="G56" s="13" t="str">
        <f>IF(AND(D56="",E56=""),"",IF(E56="",D56,E56)-N(F56))</f>
        <v/>
      </c>
      <c r="H56" s="13" t="str">
        <f>IF(OR(D56="",E56=""),"",E56-D56)</f>
        <v/>
      </c>
      <c r="I56" s="14" t="str">
        <f>IF(H56="","",IFERROR(H56/D56,0))</f>
        <v/>
      </c>
      <c r="J56" s="15" t="n"/>
      <c r="K56" s="16" t="str">
        <f>IF(AND(D56="",E56=""),"",IF(N(G56)&lt;=0,"Fully paid",IF(N(H56)&gt;0,"Over budget","On budget")))</f>
        <v/>
      </c>
      <c r="L56" s="5" t="n"/>
      <c r="M56" s="13" t="str">
        <f>IF(AND(D56="",E56=""),"",IF(E56="",D56,E56))</f>
        <v/>
      </c>
    </row>
    <row r="57">
      <c r="A57" s="5" t="n"/>
      <c r="B57" s="5" t="n"/>
      <c r="C57" s="5" t="n"/>
      <c r="D57" s="17" t="n"/>
      <c r="E57" s="17" t="n"/>
      <c r="F57" s="17" t="n"/>
      <c r="G57" s="13" t="str">
        <f>IF(AND(D57="",E57=""),"",IF(E57="",D57,E57)-N(F57))</f>
        <v/>
      </c>
      <c r="H57" s="13" t="str">
        <f>IF(OR(D57="",E57=""),"",E57-D57)</f>
        <v/>
      </c>
      <c r="I57" s="14" t="str">
        <f>IF(H57="","",IFERROR(H57/D57,0))</f>
        <v/>
      </c>
      <c r="J57" s="15" t="n"/>
      <c r="K57" s="16" t="str">
        <f>IF(AND(D57="",E57=""),"",IF(N(G57)&lt;=0,"Fully paid",IF(N(H57)&gt;0,"Over budget","On budget")))</f>
        <v/>
      </c>
      <c r="L57" s="5" t="n"/>
      <c r="M57" s="13" t="str">
        <f>IF(AND(D57="",E57=""),"",IF(E57="",D57,E57))</f>
        <v/>
      </c>
    </row>
    <row r="58">
      <c r="A58" s="5" t="n"/>
      <c r="B58" s="5" t="n"/>
      <c r="C58" s="5" t="n"/>
      <c r="D58" s="17" t="n"/>
      <c r="E58" s="17" t="n"/>
      <c r="F58" s="17" t="n"/>
      <c r="G58" s="13" t="str">
        <f>IF(AND(D58="",E58=""),"",IF(E58="",D58,E58)-N(F58))</f>
        <v/>
      </c>
      <c r="H58" s="13" t="str">
        <f>IF(OR(D58="",E58=""),"",E58-D58)</f>
        <v/>
      </c>
      <c r="I58" s="14" t="str">
        <f>IF(H58="","",IFERROR(H58/D58,0))</f>
        <v/>
      </c>
      <c r="J58" s="15" t="n"/>
      <c r="K58" s="16" t="str">
        <f>IF(AND(D58="",E58=""),"",IF(N(G58)&lt;=0,"Fully paid",IF(N(H58)&gt;0,"Over budget","On budget")))</f>
        <v/>
      </c>
      <c r="L58" s="5" t="n"/>
      <c r="M58" s="13" t="str">
        <f>IF(AND(D58="",E58=""),"",IF(E58="",D58,E58))</f>
        <v/>
      </c>
    </row>
    <row r="59">
      <c r="A59" s="5" t="n"/>
      <c r="B59" s="5" t="n"/>
      <c r="C59" s="5" t="n"/>
      <c r="D59" s="17" t="n"/>
      <c r="E59" s="17" t="n"/>
      <c r="F59" s="17" t="n"/>
      <c r="G59" s="13" t="str">
        <f>IF(AND(D59="",E59=""),"",IF(E59="",D59,E59)-N(F59))</f>
        <v/>
      </c>
      <c r="H59" s="13" t="str">
        <f>IF(OR(D59="",E59=""),"",E59-D59)</f>
        <v/>
      </c>
      <c r="I59" s="14" t="str">
        <f>IF(H59="","",IFERROR(H59/D59,0))</f>
        <v/>
      </c>
      <c r="J59" s="15" t="n"/>
      <c r="K59" s="16" t="str">
        <f>IF(AND(D59="",E59=""),"",IF(N(G59)&lt;=0,"Fully paid",IF(N(H59)&gt;0,"Over budget","On budget")))</f>
        <v/>
      </c>
      <c r="L59" s="5" t="n"/>
      <c r="M59" s="13" t="str">
        <f>IF(AND(D59="",E59=""),"",IF(E59="",D59,E59))</f>
        <v/>
      </c>
    </row>
    <row r="60">
      <c r="A60" s="5" t="n"/>
      <c r="B60" s="5" t="n"/>
      <c r="C60" s="5" t="n"/>
      <c r="D60" s="17" t="n"/>
      <c r="E60" s="17" t="n"/>
      <c r="F60" s="17" t="n"/>
      <c r="G60" s="13" t="str">
        <f>IF(AND(D60="",E60=""),"",IF(E60="",D60,E60)-N(F60))</f>
        <v/>
      </c>
      <c r="H60" s="13" t="str">
        <f>IF(OR(D60="",E60=""),"",E60-D60)</f>
        <v/>
      </c>
      <c r="I60" s="14" t="str">
        <f>IF(H60="","",IFERROR(H60/D60,0))</f>
        <v/>
      </c>
      <c r="J60" s="15" t="n"/>
      <c r="K60" s="16" t="str">
        <f>IF(AND(D60="",E60=""),"",IF(N(G60)&lt;=0,"Fully paid",IF(N(H60)&gt;0,"Over budget","On budget")))</f>
        <v/>
      </c>
      <c r="L60" s="5" t="n"/>
      <c r="M60" s="13" t="str">
        <f>IF(AND(D60="",E60=""),"",IF(E60="",D60,E60))</f>
        <v/>
      </c>
    </row>
    <row r="61">
      <c r="A61" s="5" t="n"/>
      <c r="B61" s="5" t="n"/>
      <c r="C61" s="5" t="n"/>
      <c r="D61" s="17" t="n"/>
      <c r="E61" s="17" t="n"/>
      <c r="F61" s="17" t="n"/>
      <c r="G61" s="13" t="str">
        <f>IF(AND(D61="",E61=""),"",IF(E61="",D61,E61)-N(F61))</f>
        <v/>
      </c>
      <c r="H61" s="13" t="str">
        <f>IF(OR(D61="",E61=""),"",E61-D61)</f>
        <v/>
      </c>
      <c r="I61" s="14" t="str">
        <f>IF(H61="","",IFERROR(H61/D61,0))</f>
        <v/>
      </c>
      <c r="J61" s="15" t="n"/>
      <c r="K61" s="16" t="str">
        <f>IF(AND(D61="",E61=""),"",IF(N(G61)&lt;=0,"Fully paid",IF(N(H61)&gt;0,"Over budget","On budget")))</f>
        <v/>
      </c>
      <c r="L61" s="5" t="n"/>
      <c r="M61" s="13" t="str">
        <f>IF(AND(D61="",E61=""),"",IF(E61="",D61,E61))</f>
        <v/>
      </c>
    </row>
    <row r="62">
      <c r="A62" s="5" t="n"/>
      <c r="B62" s="5" t="n"/>
      <c r="C62" s="5" t="n"/>
      <c r="D62" s="17" t="n"/>
      <c r="E62" s="17" t="n"/>
      <c r="F62" s="17" t="n"/>
      <c r="G62" s="13" t="str">
        <f>IF(AND(D62="",E62=""),"",IF(E62="",D62,E62)-N(F62))</f>
        <v/>
      </c>
      <c r="H62" s="13" t="str">
        <f>IF(OR(D62="",E62=""),"",E62-D62)</f>
        <v/>
      </c>
      <c r="I62" s="14" t="str">
        <f>IF(H62="","",IFERROR(H62/D62,0))</f>
        <v/>
      </c>
      <c r="J62" s="15" t="n"/>
      <c r="K62" s="16" t="str">
        <f>IF(AND(D62="",E62=""),"",IF(N(G62)&lt;=0,"Fully paid",IF(N(H62)&gt;0,"Over budget","On budget")))</f>
        <v/>
      </c>
      <c r="L62" s="5" t="n"/>
      <c r="M62" s="13" t="str">
        <f>IF(AND(D62="",E62=""),"",IF(E62="",D62,E62))</f>
        <v/>
      </c>
    </row>
    <row r="63">
      <c r="A63" s="5" t="n"/>
      <c r="B63" s="5" t="n"/>
      <c r="C63" s="5" t="n"/>
      <c r="D63" s="17" t="n"/>
      <c r="E63" s="17" t="n"/>
      <c r="F63" s="17" t="n"/>
      <c r="G63" s="13" t="str">
        <f>IF(AND(D63="",E63=""),"",IF(E63="",D63,E63)-N(F63))</f>
        <v/>
      </c>
      <c r="H63" s="13" t="str">
        <f>IF(OR(D63="",E63=""),"",E63-D63)</f>
        <v/>
      </c>
      <c r="I63" s="14" t="str">
        <f>IF(H63="","",IFERROR(H63/D63,0))</f>
        <v/>
      </c>
      <c r="J63" s="15" t="n"/>
      <c r="K63" s="16" t="str">
        <f>IF(AND(D63="",E63=""),"",IF(N(G63)&lt;=0,"Fully paid",IF(N(H63)&gt;0,"Over budget","On budget")))</f>
        <v/>
      </c>
      <c r="L63" s="5" t="n"/>
      <c r="M63" s="13" t="str">
        <f>IF(AND(D63="",E63=""),"",IF(E63="",D63,E63))</f>
        <v/>
      </c>
    </row>
    <row r="64">
      <c r="A64" s="5" t="n"/>
      <c r="B64" s="5" t="n"/>
      <c r="C64" s="5" t="n"/>
      <c r="D64" s="17" t="n"/>
      <c r="E64" s="17" t="n"/>
      <c r="F64" s="17" t="n"/>
      <c r="G64" s="13" t="str">
        <f>IF(AND(D64="",E64=""),"",IF(E64="",D64,E64)-N(F64))</f>
        <v/>
      </c>
      <c r="H64" s="13" t="str">
        <f>IF(OR(D64="",E64=""),"",E64-D64)</f>
        <v/>
      </c>
      <c r="I64" s="14" t="str">
        <f>IF(H64="","",IFERROR(H64/D64,0))</f>
        <v/>
      </c>
      <c r="J64" s="15" t="n"/>
      <c r="K64" s="16" t="str">
        <f>IF(AND(D64="",E64=""),"",IF(N(G64)&lt;=0,"Fully paid",IF(N(H64)&gt;0,"Over budget","On budget")))</f>
        <v/>
      </c>
      <c r="L64" s="5" t="n"/>
      <c r="M64" s="13" t="str">
        <f>IF(AND(D64="",E64=""),"",IF(E64="",D64,E64))</f>
        <v/>
      </c>
    </row>
    <row r="65">
      <c r="A65" s="5" t="n"/>
      <c r="B65" s="5" t="n"/>
      <c r="C65" s="5" t="n"/>
      <c r="D65" s="17" t="n"/>
      <c r="E65" s="17" t="n"/>
      <c r="F65" s="17" t="n"/>
      <c r="G65" s="13" t="str">
        <f>IF(AND(D65="",E65=""),"",IF(E65="",D65,E65)-N(F65))</f>
        <v/>
      </c>
      <c r="H65" s="13" t="str">
        <f>IF(OR(D65="",E65=""),"",E65-D65)</f>
        <v/>
      </c>
      <c r="I65" s="14" t="str">
        <f>IF(H65="","",IFERROR(H65/D65,0))</f>
        <v/>
      </c>
      <c r="J65" s="15" t="n"/>
      <c r="K65" s="16" t="str">
        <f>IF(AND(D65="",E65=""),"",IF(N(G65)&lt;=0,"Fully paid",IF(N(H65)&gt;0,"Over budget","On budget")))</f>
        <v/>
      </c>
      <c r="L65" s="5" t="n"/>
      <c r="M65" s="13" t="str">
        <f>IF(AND(D65="",E65=""),"",IF(E65="",D65,E65))</f>
        <v/>
      </c>
    </row>
    <row r="66">
      <c r="A66" s="5" t="n"/>
      <c r="B66" s="5" t="n"/>
      <c r="C66" s="5" t="n"/>
      <c r="D66" s="17" t="n"/>
      <c r="E66" s="17" t="n"/>
      <c r="F66" s="17" t="n"/>
      <c r="G66" s="13" t="str">
        <f>IF(AND(D66="",E66=""),"",IF(E66="",D66,E66)-N(F66))</f>
        <v/>
      </c>
      <c r="H66" s="13" t="str">
        <f>IF(OR(D66="",E66=""),"",E66-D66)</f>
        <v/>
      </c>
      <c r="I66" s="14" t="str">
        <f>IF(H66="","",IFERROR(H66/D66,0))</f>
        <v/>
      </c>
      <c r="J66" s="15" t="n"/>
      <c r="K66" s="16" t="str">
        <f>IF(AND(D66="",E66=""),"",IF(N(G66)&lt;=0,"Fully paid",IF(N(H66)&gt;0,"Over budget","On budget")))</f>
        <v/>
      </c>
      <c r="L66" s="5" t="n"/>
      <c r="M66" s="13" t="str">
        <f>IF(AND(D66="",E66=""),"",IF(E66="",D66,E66))</f>
        <v/>
      </c>
    </row>
    <row r="67">
      <c r="A67" s="5" t="n"/>
      <c r="B67" s="5" t="n"/>
      <c r="C67" s="5" t="n"/>
      <c r="D67" s="17" t="n"/>
      <c r="E67" s="17" t="n"/>
      <c r="F67" s="17" t="n"/>
      <c r="G67" s="13" t="str">
        <f>IF(AND(D67="",E67=""),"",IF(E67="",D67,E67)-N(F67))</f>
        <v/>
      </c>
      <c r="H67" s="13" t="str">
        <f>IF(OR(D67="",E67=""),"",E67-D67)</f>
        <v/>
      </c>
      <c r="I67" s="14" t="str">
        <f>IF(H67="","",IFERROR(H67/D67,0))</f>
        <v/>
      </c>
      <c r="J67" s="15" t="n"/>
      <c r="K67" s="16" t="str">
        <f>IF(AND(D67="",E67=""),"",IF(N(G67)&lt;=0,"Fully paid",IF(N(H67)&gt;0,"Over budget","On budget")))</f>
        <v/>
      </c>
      <c r="L67" s="5" t="n"/>
      <c r="M67" s="13" t="str">
        <f>IF(AND(D67="",E67=""),"",IF(E67="",D67,E67))</f>
        <v/>
      </c>
    </row>
    <row r="68">
      <c r="A68" s="5" t="n"/>
      <c r="B68" s="5" t="n"/>
      <c r="C68" s="5" t="n"/>
      <c r="D68" s="17" t="n"/>
      <c r="E68" s="17" t="n"/>
      <c r="F68" s="17" t="n"/>
      <c r="G68" s="13" t="str">
        <f>IF(AND(D68="",E68=""),"",IF(E68="",D68,E68)-N(F68))</f>
        <v/>
      </c>
      <c r="H68" s="13" t="str">
        <f>IF(OR(D68="",E68=""),"",E68-D68)</f>
        <v/>
      </c>
      <c r="I68" s="14" t="str">
        <f>IF(H68="","",IFERROR(H68/D68,0))</f>
        <v/>
      </c>
      <c r="J68" s="15" t="n"/>
      <c r="K68" s="16" t="str">
        <f>IF(AND(D68="",E68=""),"",IF(N(G68)&lt;=0,"Fully paid",IF(N(H68)&gt;0,"Over budget","On budget")))</f>
        <v/>
      </c>
      <c r="L68" s="5" t="n"/>
      <c r="M68" s="13" t="str">
        <f>IF(AND(D68="",E68=""),"",IF(E68="",D68,E68))</f>
        <v/>
      </c>
    </row>
    <row r="69">
      <c r="A69" s="5" t="n"/>
      <c r="B69" s="5" t="n"/>
      <c r="C69" s="5" t="n"/>
      <c r="D69" s="17" t="n"/>
      <c r="E69" s="17" t="n"/>
      <c r="F69" s="17" t="n"/>
      <c r="G69" s="13" t="str">
        <f>IF(AND(D69="",E69=""),"",IF(E69="",D69,E69)-N(F69))</f>
        <v/>
      </c>
      <c r="H69" s="13" t="str">
        <f>IF(OR(D69="",E69=""),"",E69-D69)</f>
        <v/>
      </c>
      <c r="I69" s="14" t="str">
        <f>IF(H69="","",IFERROR(H69/D69,0))</f>
        <v/>
      </c>
      <c r="J69" s="15" t="n"/>
      <c r="K69" s="16" t="str">
        <f>IF(AND(D69="",E69=""),"",IF(N(G69)&lt;=0,"Fully paid",IF(N(H69)&gt;0,"Over budget","On budget")))</f>
        <v/>
      </c>
      <c r="L69" s="5" t="n"/>
      <c r="M69" s="13" t="str">
        <f>IF(AND(D69="",E69=""),"",IF(E69="",D69,E69))</f>
        <v/>
      </c>
    </row>
    <row r="70">
      <c r="A70" s="5" t="n"/>
      <c r="B70" s="5" t="n"/>
      <c r="C70" s="5" t="n"/>
      <c r="D70" s="17" t="n"/>
      <c r="E70" s="17" t="n"/>
      <c r="F70" s="17" t="n"/>
      <c r="G70" s="13" t="str">
        <f>IF(AND(D70="",E70=""),"",IF(E70="",D70,E70)-N(F70))</f>
        <v/>
      </c>
      <c r="H70" s="13" t="str">
        <f>IF(OR(D70="",E70=""),"",E70-D70)</f>
        <v/>
      </c>
      <c r="I70" s="14" t="str">
        <f>IF(H70="","",IFERROR(H70/D70,0))</f>
        <v/>
      </c>
      <c r="J70" s="15" t="n"/>
      <c r="K70" s="16" t="str">
        <f>IF(AND(D70="",E70=""),"",IF(N(G70)&lt;=0,"Fully paid",IF(N(H70)&gt;0,"Over budget","On budget")))</f>
        <v/>
      </c>
      <c r="L70" s="5" t="n"/>
      <c r="M70" s="13" t="str">
        <f>IF(AND(D70="",E70=""),"",IF(E70="",D70,E70))</f>
        <v/>
      </c>
    </row>
    <row r="71">
      <c r="A71" s="5" t="n"/>
      <c r="B71" s="5" t="n"/>
      <c r="C71" s="5" t="n"/>
      <c r="D71" s="17" t="n"/>
      <c r="E71" s="17" t="n"/>
      <c r="F71" s="17" t="n"/>
      <c r="G71" s="13" t="str">
        <f>IF(AND(D71="",E71=""),"",IF(E71="",D71,E71)-N(F71))</f>
        <v/>
      </c>
      <c r="H71" s="13" t="str">
        <f>IF(OR(D71="",E71=""),"",E71-D71)</f>
        <v/>
      </c>
      <c r="I71" s="14" t="str">
        <f>IF(H71="","",IFERROR(H71/D71,0))</f>
        <v/>
      </c>
      <c r="J71" s="15" t="n"/>
      <c r="K71" s="16" t="str">
        <f>IF(AND(D71="",E71=""),"",IF(N(G71)&lt;=0,"Fully paid",IF(N(H71)&gt;0,"Over budget","On budget")))</f>
        <v/>
      </c>
      <c r="L71" s="5" t="n"/>
      <c r="M71" s="13" t="str">
        <f>IF(AND(D71="",E71=""),"",IF(E71="",D71,E71))</f>
        <v/>
      </c>
    </row>
    <row r="72">
      <c r="A72" s="5" t="n"/>
      <c r="B72" s="5" t="n"/>
      <c r="C72" s="5" t="n"/>
      <c r="D72" s="17" t="n"/>
      <c r="E72" s="17" t="n"/>
      <c r="F72" s="17" t="n"/>
      <c r="G72" s="13" t="str">
        <f>IF(AND(D72="",E72=""),"",IF(E72="",D72,E72)-N(F72))</f>
        <v/>
      </c>
      <c r="H72" s="13" t="str">
        <f>IF(OR(D72="",E72=""),"",E72-D72)</f>
        <v/>
      </c>
      <c r="I72" s="14" t="str">
        <f>IF(H72="","",IFERROR(H72/D72,0))</f>
        <v/>
      </c>
      <c r="J72" s="15" t="n"/>
      <c r="K72" s="16" t="str">
        <f>IF(AND(D72="",E72=""),"",IF(N(G72)&lt;=0,"Fully paid",IF(N(H72)&gt;0,"Over budget","On budget")))</f>
        <v/>
      </c>
      <c r="L72" s="5" t="n"/>
      <c r="M72" s="13" t="str">
        <f>IF(AND(D72="",E72=""),"",IF(E72="",D72,E72))</f>
        <v/>
      </c>
    </row>
    <row r="73">
      <c r="A73" s="5" t="n"/>
      <c r="B73" s="5" t="n"/>
      <c r="C73" s="5" t="n"/>
      <c r="D73" s="17" t="n"/>
      <c r="E73" s="17" t="n"/>
      <c r="F73" s="17" t="n"/>
      <c r="G73" s="13" t="str">
        <f>IF(AND(D73="",E73=""),"",IF(E73="",D73,E73)-N(F73))</f>
        <v/>
      </c>
      <c r="H73" s="13" t="str">
        <f>IF(OR(D73="",E73=""),"",E73-D73)</f>
        <v/>
      </c>
      <c r="I73" s="14" t="str">
        <f>IF(H73="","",IFERROR(H73/D73,0))</f>
        <v/>
      </c>
      <c r="J73" s="15" t="n"/>
      <c r="K73" s="16" t="str">
        <f>IF(AND(D73="",E73=""),"",IF(N(G73)&lt;=0,"Fully paid",IF(N(H73)&gt;0,"Over budget","On budget")))</f>
        <v/>
      </c>
      <c r="L73" s="5" t="n"/>
      <c r="M73" s="13" t="str">
        <f>IF(AND(D73="",E73=""),"",IF(E73="",D73,E73))</f>
        <v/>
      </c>
    </row>
    <row r="74">
      <c r="A74" s="5" t="n"/>
      <c r="B74" s="5" t="n"/>
      <c r="C74" s="5" t="n"/>
      <c r="D74" s="17" t="n"/>
      <c r="E74" s="17" t="n"/>
      <c r="F74" s="17" t="n"/>
      <c r="G74" s="13" t="str">
        <f>IF(AND(D74="",E74=""),"",IF(E74="",D74,E74)-N(F74))</f>
        <v/>
      </c>
      <c r="H74" s="13" t="str">
        <f>IF(OR(D74="",E74=""),"",E74-D74)</f>
        <v/>
      </c>
      <c r="I74" s="14" t="str">
        <f>IF(H74="","",IFERROR(H74/D74,0))</f>
        <v/>
      </c>
      <c r="J74" s="15" t="n"/>
      <c r="K74" s="16" t="str">
        <f>IF(AND(D74="",E74=""),"",IF(N(G74)&lt;=0,"Fully paid",IF(N(H74)&gt;0,"Over budget","On budget")))</f>
        <v/>
      </c>
      <c r="L74" s="5" t="n"/>
      <c r="M74" s="13" t="str">
        <f>IF(AND(D74="",E74=""),"",IF(E74="",D74,E74))</f>
        <v/>
      </c>
    </row>
    <row r="75">
      <c r="A75" s="5" t="n"/>
      <c r="B75" s="5" t="n"/>
      <c r="C75" s="5" t="n"/>
      <c r="D75" s="17" t="n"/>
      <c r="E75" s="17" t="n"/>
      <c r="F75" s="17" t="n"/>
      <c r="G75" s="13" t="str">
        <f>IF(AND(D75="",E75=""),"",IF(E75="",D75,E75)-N(F75))</f>
        <v/>
      </c>
      <c r="H75" s="13" t="str">
        <f>IF(OR(D75="",E75=""),"",E75-D75)</f>
        <v/>
      </c>
      <c r="I75" s="14" t="str">
        <f>IF(H75="","",IFERROR(H75/D75,0))</f>
        <v/>
      </c>
      <c r="J75" s="15" t="n"/>
      <c r="K75" s="16" t="str">
        <f>IF(AND(D75="",E75=""),"",IF(N(G75)&lt;=0,"Fully paid",IF(N(H75)&gt;0,"Over budget","On budget")))</f>
        <v/>
      </c>
      <c r="L75" s="5" t="n"/>
      <c r="M75" s="13" t="str">
        <f>IF(AND(D75="",E75=""),"",IF(E75="",D75,E75))</f>
        <v/>
      </c>
    </row>
    <row r="76">
      <c r="A76" s="5" t="n"/>
      <c r="B76" s="5" t="n"/>
      <c r="C76" s="5" t="n"/>
      <c r="D76" s="17" t="n"/>
      <c r="E76" s="17" t="n"/>
      <c r="F76" s="17" t="n"/>
      <c r="G76" s="13" t="str">
        <f>IF(AND(D76="",E76=""),"",IF(E76="",D76,E76)-N(F76))</f>
        <v/>
      </c>
      <c r="H76" s="13" t="str">
        <f>IF(OR(D76="",E76=""),"",E76-D76)</f>
        <v/>
      </c>
      <c r="I76" s="14" t="str">
        <f>IF(H76="","",IFERROR(H76/D76,0))</f>
        <v/>
      </c>
      <c r="J76" s="15" t="n"/>
      <c r="K76" s="16" t="str">
        <f>IF(AND(D76="",E76=""),"",IF(N(G76)&lt;=0,"Fully paid",IF(N(H76)&gt;0,"Over budget","On budget")))</f>
        <v/>
      </c>
      <c r="L76" s="5" t="n"/>
      <c r="M76" s="13" t="str">
        <f>IF(AND(D76="",E76=""),"",IF(E76="",D76,E76))</f>
        <v/>
      </c>
    </row>
    <row r="77">
      <c r="A77" s="5" t="n"/>
      <c r="B77" s="5" t="n"/>
      <c r="C77" s="5" t="n"/>
      <c r="D77" s="17" t="n"/>
      <c r="E77" s="17" t="n"/>
      <c r="F77" s="17" t="n"/>
      <c r="G77" s="13" t="str">
        <f>IF(AND(D77="",E77=""),"",IF(E77="",D77,E77)-N(F77))</f>
        <v/>
      </c>
      <c r="H77" s="13" t="str">
        <f>IF(OR(D77="",E77=""),"",E77-D77)</f>
        <v/>
      </c>
      <c r="I77" s="14" t="str">
        <f>IF(H77="","",IFERROR(H77/D77,0))</f>
        <v/>
      </c>
      <c r="J77" s="15" t="n"/>
      <c r="K77" s="16" t="str">
        <f>IF(AND(D77="",E77=""),"",IF(N(G77)&lt;=0,"Fully paid",IF(N(H77)&gt;0,"Over budget","On budget")))</f>
        <v/>
      </c>
      <c r="L77" s="5" t="n"/>
      <c r="M77" s="13" t="str">
        <f>IF(AND(D77="",E77=""),"",IF(E77="",D77,E77))</f>
        <v/>
      </c>
    </row>
    <row r="78">
      <c r="A78" s="5" t="n"/>
      <c r="B78" s="5" t="n"/>
      <c r="C78" s="5" t="n"/>
      <c r="D78" s="17" t="n"/>
      <c r="E78" s="17" t="n"/>
      <c r="F78" s="17" t="n"/>
      <c r="G78" s="13" t="str">
        <f>IF(AND(D78="",E78=""),"",IF(E78="",D78,E78)-N(F78))</f>
        <v/>
      </c>
      <c r="H78" s="13" t="str">
        <f>IF(OR(D78="",E78=""),"",E78-D78)</f>
        <v/>
      </c>
      <c r="I78" s="14" t="str">
        <f>IF(H78="","",IFERROR(H78/D78,0))</f>
        <v/>
      </c>
      <c r="J78" s="15" t="n"/>
      <c r="K78" s="16" t="str">
        <f>IF(AND(D78="",E78=""),"",IF(N(G78)&lt;=0,"Fully paid",IF(N(H78)&gt;0,"Over budget","On budget")))</f>
        <v/>
      </c>
      <c r="L78" s="5" t="n"/>
      <c r="M78" s="13" t="str">
        <f>IF(AND(D78="",E78=""),"",IF(E78="",D78,E78))</f>
        <v/>
      </c>
    </row>
    <row r="79">
      <c r="A79" s="5" t="n"/>
      <c r="B79" s="5" t="n"/>
      <c r="C79" s="5" t="n"/>
      <c r="D79" s="17" t="n"/>
      <c r="E79" s="17" t="n"/>
      <c r="F79" s="17" t="n"/>
      <c r="G79" s="13" t="str">
        <f>IF(AND(D79="",E79=""),"",IF(E79="",D79,E79)-N(F79))</f>
        <v/>
      </c>
      <c r="H79" s="13" t="str">
        <f>IF(OR(D79="",E79=""),"",E79-D79)</f>
        <v/>
      </c>
      <c r="I79" s="14" t="str">
        <f>IF(H79="","",IFERROR(H79/D79,0))</f>
        <v/>
      </c>
      <c r="J79" s="15" t="n"/>
      <c r="K79" s="16" t="str">
        <f>IF(AND(D79="",E79=""),"",IF(N(G79)&lt;=0,"Fully paid",IF(N(H79)&gt;0,"Over budget","On budget")))</f>
        <v/>
      </c>
      <c r="L79" s="5" t="n"/>
      <c r="M79" s="13" t="str">
        <f>IF(AND(D79="",E79=""),"",IF(E79="",D79,E79))</f>
        <v/>
      </c>
    </row>
    <row r="80">
      <c r="A80" s="5" t="n"/>
      <c r="B80" s="5" t="n"/>
      <c r="C80" s="5" t="n"/>
      <c r="D80" s="17" t="n"/>
      <c r="E80" s="17" t="n"/>
      <c r="F80" s="17" t="n"/>
      <c r="G80" s="13" t="str">
        <f>IF(AND(D80="",E80=""),"",IF(E80="",D80,E80)-N(F80))</f>
        <v/>
      </c>
      <c r="H80" s="13" t="str">
        <f>IF(OR(D80="",E80=""),"",E80-D80)</f>
        <v/>
      </c>
      <c r="I80" s="14" t="str">
        <f>IF(H80="","",IFERROR(H80/D80,0))</f>
        <v/>
      </c>
      <c r="J80" s="15" t="n"/>
      <c r="K80" s="16" t="str">
        <f>IF(AND(D80="",E80=""),"",IF(N(G80)&lt;=0,"Fully paid",IF(N(H80)&gt;0,"Over budget","On budget")))</f>
        <v/>
      </c>
      <c r="L80" s="5" t="n"/>
      <c r="M80" s="13" t="str">
        <f>IF(AND(D80="",E80=""),"",IF(E80="",D80,E80))</f>
        <v/>
      </c>
    </row>
    <row r="81">
      <c r="A81" s="5" t="n"/>
      <c r="B81" s="5" t="n"/>
      <c r="C81" s="5" t="n"/>
      <c r="D81" s="17" t="n"/>
      <c r="E81" s="17" t="n"/>
      <c r="F81" s="17" t="n"/>
      <c r="G81" s="13" t="str">
        <f>IF(AND(D81="",E81=""),"",IF(E81="",D81,E81)-N(F81))</f>
        <v/>
      </c>
      <c r="H81" s="13" t="str">
        <f>IF(OR(D81="",E81=""),"",E81-D81)</f>
        <v/>
      </c>
      <c r="I81" s="14" t="str">
        <f>IF(H81="","",IFERROR(H81/D81,0))</f>
        <v/>
      </c>
      <c r="J81" s="15" t="n"/>
      <c r="K81" s="16" t="str">
        <f>IF(AND(D81="",E81=""),"",IF(N(G81)&lt;=0,"Fully paid",IF(N(H81)&gt;0,"Over budget","On budget")))</f>
        <v/>
      </c>
      <c r="L81" s="5" t="n"/>
      <c r="M81" s="13" t="str">
        <f>IF(AND(D81="",E81=""),"",IF(E81="",D81,E81))</f>
        <v/>
      </c>
    </row>
    <row r="82">
      <c r="A82" s="5" t="n"/>
      <c r="B82" s="5" t="n"/>
      <c r="C82" s="5" t="n"/>
      <c r="D82" s="17" t="n"/>
      <c r="E82" s="17" t="n"/>
      <c r="F82" s="17" t="n"/>
      <c r="G82" s="13" t="str">
        <f>IF(AND(D82="",E82=""),"",IF(E82="",D82,E82)-N(F82))</f>
        <v/>
      </c>
      <c r="H82" s="13" t="str">
        <f>IF(OR(D82="",E82=""),"",E82-D82)</f>
        <v/>
      </c>
      <c r="I82" s="14" t="str">
        <f>IF(H82="","",IFERROR(H82/D82,0))</f>
        <v/>
      </c>
      <c r="J82" s="15" t="n"/>
      <c r="K82" s="16" t="str">
        <f>IF(AND(D82="",E82=""),"",IF(N(G82)&lt;=0,"Fully paid",IF(N(H82)&gt;0,"Over budget","On budget")))</f>
        <v/>
      </c>
      <c r="L82" s="5" t="n"/>
      <c r="M82" s="13" t="str">
        <f>IF(AND(D82="",E82=""),"",IF(E82="",D82,E82))</f>
        <v/>
      </c>
    </row>
    <row r="83">
      <c r="A83" s="5" t="n"/>
      <c r="B83" s="5" t="n"/>
      <c r="C83" s="5" t="n"/>
      <c r="D83" s="17" t="n"/>
      <c r="E83" s="17" t="n"/>
      <c r="F83" s="17" t="n"/>
      <c r="G83" s="13" t="str">
        <f>IF(AND(D83="",E83=""),"",IF(E83="",D83,E83)-N(F83))</f>
        <v/>
      </c>
      <c r="H83" s="13" t="str">
        <f>IF(OR(D83="",E83=""),"",E83-D83)</f>
        <v/>
      </c>
      <c r="I83" s="14" t="str">
        <f>IF(H83="","",IFERROR(H83/D83,0))</f>
        <v/>
      </c>
      <c r="J83" s="15" t="n"/>
      <c r="K83" s="16" t="str">
        <f>IF(AND(D83="",E83=""),"",IF(N(G83)&lt;=0,"Fully paid",IF(N(H83)&gt;0,"Over budget","On budget")))</f>
        <v/>
      </c>
      <c r="L83" s="5" t="n"/>
      <c r="M83" s="13" t="str">
        <f>IF(AND(D83="",E83=""),"",IF(E83="",D83,E83))</f>
        <v/>
      </c>
    </row>
    <row r="84">
      <c r="A84" s="5" t="n"/>
      <c r="B84" s="5" t="n"/>
      <c r="C84" s="5" t="n"/>
      <c r="D84" s="17" t="n"/>
      <c r="E84" s="17" t="n"/>
      <c r="F84" s="17" t="n"/>
      <c r="G84" s="13" t="str">
        <f>IF(AND(D84="",E84=""),"",IF(E84="",D84,E84)-N(F84))</f>
        <v/>
      </c>
      <c r="H84" s="13" t="str">
        <f>IF(OR(D84="",E84=""),"",E84-D84)</f>
        <v/>
      </c>
      <c r="I84" s="14" t="str">
        <f>IF(H84="","",IFERROR(H84/D84,0))</f>
        <v/>
      </c>
      <c r="J84" s="15" t="n"/>
      <c r="K84" s="16" t="str">
        <f>IF(AND(D84="",E84=""),"",IF(N(G84)&lt;=0,"Fully paid",IF(N(H84)&gt;0,"Over budget","On budget")))</f>
        <v/>
      </c>
      <c r="L84" s="5" t="n"/>
      <c r="M84" s="13" t="str">
        <f>IF(AND(D84="",E84=""),"",IF(E84="",D84,E84))</f>
        <v/>
      </c>
    </row>
    <row r="85">
      <c r="A85" s="5" t="n"/>
      <c r="B85" s="5" t="n"/>
      <c r="C85" s="5" t="n"/>
      <c r="D85" s="17" t="n"/>
      <c r="E85" s="17" t="n"/>
      <c r="F85" s="17" t="n"/>
      <c r="G85" s="13" t="str">
        <f>IF(AND(D85="",E85=""),"",IF(E85="",D85,E85)-N(F85))</f>
        <v/>
      </c>
      <c r="H85" s="13" t="str">
        <f>IF(OR(D85="",E85=""),"",E85-D85)</f>
        <v/>
      </c>
      <c r="I85" s="14" t="str">
        <f>IF(H85="","",IFERROR(H85/D85,0))</f>
        <v/>
      </c>
      <c r="J85" s="15" t="n"/>
      <c r="K85" s="16" t="str">
        <f>IF(AND(D85="",E85=""),"",IF(N(G85)&lt;=0,"Fully paid",IF(N(H85)&gt;0,"Over budget","On budget")))</f>
        <v/>
      </c>
      <c r="L85" s="5" t="n"/>
      <c r="M85" s="13" t="str">
        <f>IF(AND(D85="",E85=""),"",IF(E85="",D85,E85))</f>
        <v/>
      </c>
    </row>
    <row r="86">
      <c r="A86" s="5" t="n"/>
      <c r="B86" s="5" t="n"/>
      <c r="C86" s="5" t="n"/>
      <c r="D86" s="17" t="n"/>
      <c r="E86" s="17" t="n"/>
      <c r="F86" s="17" t="n"/>
      <c r="G86" s="13" t="str">
        <f>IF(AND(D86="",E86=""),"",IF(E86="",D86,E86)-N(F86))</f>
        <v/>
      </c>
      <c r="H86" s="13" t="str">
        <f>IF(OR(D86="",E86=""),"",E86-D86)</f>
        <v/>
      </c>
      <c r="I86" s="14" t="str">
        <f>IF(H86="","",IFERROR(H86/D86,0))</f>
        <v/>
      </c>
      <c r="J86" s="15" t="n"/>
      <c r="K86" s="16" t="str">
        <f>IF(AND(D86="",E86=""),"",IF(N(G86)&lt;=0,"Fully paid",IF(N(H86)&gt;0,"Over budget","On budget")))</f>
        <v/>
      </c>
      <c r="L86" s="5" t="n"/>
      <c r="M86" s="13" t="str">
        <f>IF(AND(D86="",E86=""),"",IF(E86="",D86,E86))</f>
        <v/>
      </c>
    </row>
    <row r="87">
      <c r="A87" s="5" t="n"/>
      <c r="B87" s="5" t="n"/>
      <c r="C87" s="5" t="n"/>
      <c r="D87" s="17" t="n"/>
      <c r="E87" s="17" t="n"/>
      <c r="F87" s="17" t="n"/>
      <c r="G87" s="13" t="str">
        <f>IF(AND(D87="",E87=""),"",IF(E87="",D87,E87)-N(F87))</f>
        <v/>
      </c>
      <c r="H87" s="13" t="str">
        <f>IF(OR(D87="",E87=""),"",E87-D87)</f>
        <v/>
      </c>
      <c r="I87" s="14" t="str">
        <f>IF(H87="","",IFERROR(H87/D87,0))</f>
        <v/>
      </c>
      <c r="J87" s="15" t="n"/>
      <c r="K87" s="16" t="str">
        <f>IF(AND(D87="",E87=""),"",IF(N(G87)&lt;=0,"Fully paid",IF(N(H87)&gt;0,"Over budget","On budget")))</f>
        <v/>
      </c>
      <c r="L87" s="5" t="n"/>
      <c r="M87" s="13" t="str">
        <f>IF(AND(D87="",E87=""),"",IF(E87="",D87,E87))</f>
        <v/>
      </c>
    </row>
    <row r="88">
      <c r="A88" s="5" t="n"/>
      <c r="B88" s="5" t="n"/>
      <c r="C88" s="5" t="n"/>
      <c r="D88" s="17" t="n"/>
      <c r="E88" s="17" t="n"/>
      <c r="F88" s="17" t="n"/>
      <c r="G88" s="13" t="str">
        <f>IF(AND(D88="",E88=""),"",IF(E88="",D88,E88)-N(F88))</f>
        <v/>
      </c>
      <c r="H88" s="13" t="str">
        <f>IF(OR(D88="",E88=""),"",E88-D88)</f>
        <v/>
      </c>
      <c r="I88" s="14" t="str">
        <f>IF(H88="","",IFERROR(H88/D88,0))</f>
        <v/>
      </c>
      <c r="J88" s="15" t="n"/>
      <c r="K88" s="16" t="str">
        <f>IF(AND(D88="",E88=""),"",IF(N(G88)&lt;=0,"Fully paid",IF(N(H88)&gt;0,"Over budget","On budget")))</f>
        <v/>
      </c>
      <c r="L88" s="5" t="n"/>
      <c r="M88" s="13" t="str">
        <f>IF(AND(D88="",E88=""),"",IF(E88="",D88,E88))</f>
        <v/>
      </c>
    </row>
    <row r="89">
      <c r="A89" s="5" t="n"/>
      <c r="B89" s="5" t="n"/>
      <c r="C89" s="5" t="n"/>
      <c r="D89" s="17" t="n"/>
      <c r="E89" s="17" t="n"/>
      <c r="F89" s="17" t="n"/>
      <c r="G89" s="13" t="str">
        <f>IF(AND(D89="",E89=""),"",IF(E89="",D89,E89)-N(F89))</f>
        <v/>
      </c>
      <c r="H89" s="13" t="str">
        <f>IF(OR(D89="",E89=""),"",E89-D89)</f>
        <v/>
      </c>
      <c r="I89" s="14" t="str">
        <f>IF(H89="","",IFERROR(H89/D89,0))</f>
        <v/>
      </c>
      <c r="J89" s="15" t="n"/>
      <c r="K89" s="16" t="str">
        <f>IF(AND(D89="",E89=""),"",IF(N(G89)&lt;=0,"Fully paid",IF(N(H89)&gt;0,"Over budget","On budget")))</f>
        <v/>
      </c>
      <c r="L89" s="5" t="n"/>
      <c r="M89" s="13" t="str">
        <f>IF(AND(D89="",E89=""),"",IF(E89="",D89,E89))</f>
        <v/>
      </c>
    </row>
    <row r="90">
      <c r="A90" s="5" t="n"/>
      <c r="B90" s="5" t="n"/>
      <c r="C90" s="5" t="n"/>
      <c r="D90" s="17" t="n"/>
      <c r="E90" s="17" t="n"/>
      <c r="F90" s="17" t="n"/>
      <c r="G90" s="13" t="str">
        <f>IF(AND(D90="",E90=""),"",IF(E90="",D90,E90)-N(F90))</f>
        <v/>
      </c>
      <c r="H90" s="13" t="str">
        <f>IF(OR(D90="",E90=""),"",E90-D90)</f>
        <v/>
      </c>
      <c r="I90" s="14" t="str">
        <f>IF(H90="","",IFERROR(H90/D90,0))</f>
        <v/>
      </c>
      <c r="J90" s="15" t="n"/>
      <c r="K90" s="16" t="str">
        <f>IF(AND(D90="",E90=""),"",IF(N(G90)&lt;=0,"Fully paid",IF(N(H90)&gt;0,"Over budget","On budget")))</f>
        <v/>
      </c>
      <c r="L90" s="5" t="n"/>
      <c r="M90" s="13" t="str">
        <f>IF(AND(D90="",E90=""),"",IF(E90="",D90,E90))</f>
        <v/>
      </c>
    </row>
    <row r="91">
      <c r="A91" s="5" t="n"/>
      <c r="B91" s="5" t="n"/>
      <c r="C91" s="5" t="n"/>
      <c r="D91" s="17" t="n"/>
      <c r="E91" s="17" t="n"/>
      <c r="F91" s="17" t="n"/>
      <c r="G91" s="13" t="str">
        <f>IF(AND(D91="",E91=""),"",IF(E91="",D91,E91)-N(F91))</f>
        <v/>
      </c>
      <c r="H91" s="13" t="str">
        <f>IF(OR(D91="",E91=""),"",E91-D91)</f>
        <v/>
      </c>
      <c r="I91" s="14" t="str">
        <f>IF(H91="","",IFERROR(H91/D91,0))</f>
        <v/>
      </c>
      <c r="J91" s="15" t="n"/>
      <c r="K91" s="16" t="str">
        <f>IF(AND(D91="",E91=""),"",IF(N(G91)&lt;=0,"Fully paid",IF(N(H91)&gt;0,"Over budget","On budget")))</f>
        <v/>
      </c>
      <c r="L91" s="5" t="n"/>
      <c r="M91" s="13" t="str">
        <f>IF(AND(D91="",E91=""),"",IF(E91="",D91,E91))</f>
        <v/>
      </c>
    </row>
    <row r="92">
      <c r="A92" s="5" t="n"/>
      <c r="B92" s="5" t="n"/>
      <c r="C92" s="5" t="n"/>
      <c r="D92" s="17" t="n"/>
      <c r="E92" s="17" t="n"/>
      <c r="F92" s="17" t="n"/>
      <c r="G92" s="13" t="str">
        <f>IF(AND(D92="",E92=""),"",IF(E92="",D92,E92)-N(F92))</f>
        <v/>
      </c>
      <c r="H92" s="13" t="str">
        <f>IF(OR(D92="",E92=""),"",E92-D92)</f>
        <v/>
      </c>
      <c r="I92" s="14" t="str">
        <f>IF(H92="","",IFERROR(H92/D92,0))</f>
        <v/>
      </c>
      <c r="J92" s="15" t="n"/>
      <c r="K92" s="16" t="str">
        <f>IF(AND(D92="",E92=""),"",IF(N(G92)&lt;=0,"Fully paid",IF(N(H92)&gt;0,"Over budget","On budget")))</f>
        <v/>
      </c>
      <c r="L92" s="5" t="n"/>
      <c r="M92" s="13" t="str">
        <f>IF(AND(D92="",E92=""),"",IF(E92="",D92,E92))</f>
        <v/>
      </c>
    </row>
    <row r="93">
      <c r="A93" s="5" t="n"/>
      <c r="B93" s="5" t="n"/>
      <c r="C93" s="5" t="n"/>
      <c r="D93" s="17" t="n"/>
      <c r="E93" s="17" t="n"/>
      <c r="F93" s="17" t="n"/>
      <c r="G93" s="13" t="str">
        <f>IF(AND(D93="",E93=""),"",IF(E93="",D93,E93)-N(F93))</f>
        <v/>
      </c>
      <c r="H93" s="13" t="str">
        <f>IF(OR(D93="",E93=""),"",E93-D93)</f>
        <v/>
      </c>
      <c r="I93" s="14" t="str">
        <f>IF(H93="","",IFERROR(H93/D93,0))</f>
        <v/>
      </c>
      <c r="J93" s="15" t="n"/>
      <c r="K93" s="16" t="str">
        <f>IF(AND(D93="",E93=""),"",IF(N(G93)&lt;=0,"Fully paid",IF(N(H93)&gt;0,"Over budget","On budget")))</f>
        <v/>
      </c>
      <c r="L93" s="5" t="n"/>
      <c r="M93" s="13" t="str">
        <f>IF(AND(D93="",E93=""),"",IF(E93="",D93,E93))</f>
        <v/>
      </c>
    </row>
    <row r="94">
      <c r="A94" s="5" t="n"/>
      <c r="B94" s="5" t="n"/>
      <c r="C94" s="5" t="n"/>
      <c r="D94" s="17" t="n"/>
      <c r="E94" s="17" t="n"/>
      <c r="F94" s="17" t="n"/>
      <c r="G94" s="13" t="str">
        <f>IF(AND(D94="",E94=""),"",IF(E94="",D94,E94)-N(F94))</f>
        <v/>
      </c>
      <c r="H94" s="13" t="str">
        <f>IF(OR(D94="",E94=""),"",E94-D94)</f>
        <v/>
      </c>
      <c r="I94" s="14" t="str">
        <f>IF(H94="","",IFERROR(H94/D94,0))</f>
        <v/>
      </c>
      <c r="J94" s="15" t="n"/>
      <c r="K94" s="16" t="str">
        <f>IF(AND(D94="",E94=""),"",IF(N(G94)&lt;=0,"Fully paid",IF(N(H94)&gt;0,"Over budget","On budget")))</f>
        <v/>
      </c>
      <c r="L94" s="5" t="n"/>
      <c r="M94" s="13" t="str">
        <f>IF(AND(D94="",E94=""),"",IF(E94="",D94,E94))</f>
        <v/>
      </c>
    </row>
    <row r="95">
      <c r="A95" s="5" t="n"/>
      <c r="B95" s="5" t="n"/>
      <c r="C95" s="5" t="n"/>
      <c r="D95" s="17" t="n"/>
      <c r="E95" s="17" t="n"/>
      <c r="F95" s="17" t="n"/>
      <c r="G95" s="13" t="str">
        <f>IF(AND(D95="",E95=""),"",IF(E95="",D95,E95)-N(F95))</f>
        <v/>
      </c>
      <c r="H95" s="13" t="str">
        <f>IF(OR(D95="",E95=""),"",E95-D95)</f>
        <v/>
      </c>
      <c r="I95" s="14" t="str">
        <f>IF(H95="","",IFERROR(H95/D95,0))</f>
        <v/>
      </c>
      <c r="J95" s="15" t="n"/>
      <c r="K95" s="16" t="str">
        <f>IF(AND(D95="",E95=""),"",IF(N(G95)&lt;=0,"Fully paid",IF(N(H95)&gt;0,"Over budget","On budget")))</f>
        <v/>
      </c>
      <c r="L95" s="5" t="n"/>
      <c r="M95" s="13" t="str">
        <f>IF(AND(D95="",E95=""),"",IF(E95="",D95,E95))</f>
        <v/>
      </c>
    </row>
    <row r="96">
      <c r="A96" s="5" t="n"/>
      <c r="B96" s="5" t="n"/>
      <c r="C96" s="5" t="n"/>
      <c r="D96" s="17" t="n"/>
      <c r="E96" s="17" t="n"/>
      <c r="F96" s="17" t="n"/>
      <c r="G96" s="13" t="str">
        <f>IF(AND(D96="",E96=""),"",IF(E96="",D96,E96)-N(F96))</f>
        <v/>
      </c>
      <c r="H96" s="13" t="str">
        <f>IF(OR(D96="",E96=""),"",E96-D96)</f>
        <v/>
      </c>
      <c r="I96" s="14" t="str">
        <f>IF(H96="","",IFERROR(H96/D96,0))</f>
        <v/>
      </c>
      <c r="J96" s="15" t="n"/>
      <c r="K96" s="16" t="str">
        <f>IF(AND(D96="",E96=""),"",IF(N(G96)&lt;=0,"Fully paid",IF(N(H96)&gt;0,"Over budget","On budget")))</f>
        <v/>
      </c>
      <c r="L96" s="5" t="n"/>
      <c r="M96" s="13" t="str">
        <f>IF(AND(D96="",E96=""),"",IF(E96="",D96,E96))</f>
        <v/>
      </c>
    </row>
    <row r="97">
      <c r="A97" s="5" t="n"/>
      <c r="B97" s="5" t="n"/>
      <c r="C97" s="5" t="n"/>
      <c r="D97" s="17" t="n"/>
      <c r="E97" s="17" t="n"/>
      <c r="F97" s="17" t="n"/>
      <c r="G97" s="13" t="str">
        <f>IF(AND(D97="",E97=""),"",IF(E97="",D97,E97)-N(F97))</f>
        <v/>
      </c>
      <c r="H97" s="13" t="str">
        <f>IF(OR(D97="",E97=""),"",E97-D97)</f>
        <v/>
      </c>
      <c r="I97" s="14" t="str">
        <f>IF(H97="","",IFERROR(H97/D97,0))</f>
        <v/>
      </c>
      <c r="J97" s="15" t="n"/>
      <c r="K97" s="16" t="str">
        <f>IF(AND(D97="",E97=""),"",IF(N(G97)&lt;=0,"Fully paid",IF(N(H97)&gt;0,"Over budget","On budget")))</f>
        <v/>
      </c>
      <c r="L97" s="5" t="n"/>
      <c r="M97" s="13" t="str">
        <f>IF(AND(D97="",E97=""),"",IF(E97="",D97,E97))</f>
        <v/>
      </c>
    </row>
    <row r="98">
      <c r="A98" s="5" t="n"/>
      <c r="B98" s="5" t="n"/>
      <c r="C98" s="5" t="n"/>
      <c r="D98" s="17" t="n"/>
      <c r="E98" s="17" t="n"/>
      <c r="F98" s="17" t="n"/>
      <c r="G98" s="13" t="str">
        <f>IF(AND(D98="",E98=""),"",IF(E98="",D98,E98)-N(F98))</f>
        <v/>
      </c>
      <c r="H98" s="13" t="str">
        <f>IF(OR(D98="",E98=""),"",E98-D98)</f>
        <v/>
      </c>
      <c r="I98" s="14" t="str">
        <f>IF(H98="","",IFERROR(H98/D98,0))</f>
        <v/>
      </c>
      <c r="J98" s="15" t="n"/>
      <c r="K98" s="16" t="str">
        <f>IF(AND(D98="",E98=""),"",IF(N(G98)&lt;=0,"Fully paid",IF(N(H98)&gt;0,"Over budget","On budget")))</f>
        <v/>
      </c>
      <c r="L98" s="5" t="n"/>
      <c r="M98" s="13" t="str">
        <f>IF(AND(D98="",E98=""),"",IF(E98="",D98,E98))</f>
        <v/>
      </c>
    </row>
    <row r="99">
      <c r="A99" s="5" t="n"/>
      <c r="B99" s="5" t="n"/>
      <c r="C99" s="5" t="n"/>
      <c r="D99" s="17" t="n"/>
      <c r="E99" s="17" t="n"/>
      <c r="F99" s="17" t="n"/>
      <c r="G99" s="13" t="str">
        <f>IF(AND(D99="",E99=""),"",IF(E99="",D99,E99)-N(F99))</f>
        <v/>
      </c>
      <c r="H99" s="13" t="str">
        <f>IF(OR(D99="",E99=""),"",E99-D99)</f>
        <v/>
      </c>
      <c r="I99" s="14" t="str">
        <f>IF(H99="","",IFERROR(H99/D99,0))</f>
        <v/>
      </c>
      <c r="J99" s="15" t="n"/>
      <c r="K99" s="16" t="str">
        <f>IF(AND(D99="",E99=""),"",IF(N(G99)&lt;=0,"Fully paid",IF(N(H99)&gt;0,"Over budget","On budget")))</f>
        <v/>
      </c>
      <c r="L99" s="5" t="n"/>
      <c r="M99" s="13" t="str">
        <f>IF(AND(D99="",E99=""),"",IF(E99="",D99,E99))</f>
        <v/>
      </c>
    </row>
    <row r="100">
      <c r="A100" s="5" t="n"/>
      <c r="B100" s="5" t="n"/>
      <c r="C100" s="5" t="n"/>
      <c r="D100" s="17" t="n"/>
      <c r="E100" s="17" t="n"/>
      <c r="F100" s="17" t="n"/>
      <c r="G100" s="13" t="str">
        <f>IF(AND(D100="",E100=""),"",IF(E100="",D100,E100)-N(F100))</f>
        <v/>
      </c>
      <c r="H100" s="13" t="str">
        <f>IF(OR(D100="",E100=""),"",E100-D100)</f>
        <v/>
      </c>
      <c r="I100" s="14" t="str">
        <f>IF(H100="","",IFERROR(H100/D100,0))</f>
        <v/>
      </c>
      <c r="J100" s="15" t="n"/>
      <c r="K100" s="16" t="str">
        <f>IF(AND(D100="",E100=""),"",IF(N(G100)&lt;=0,"Fully paid",IF(N(H100)&gt;0,"Over budget","On budget")))</f>
        <v/>
      </c>
      <c r="L100" s="5" t="n"/>
      <c r="M100" s="13" t="str">
        <f>IF(AND(D100="",E100=""),"",IF(E100="",D100,E100))</f>
        <v/>
      </c>
    </row>
    <row r="101">
      <c r="A101" s="5" t="n"/>
      <c r="B101" s="5" t="n"/>
      <c r="C101" s="5" t="n"/>
      <c r="D101" s="17" t="n"/>
      <c r="E101" s="17" t="n"/>
      <c r="F101" s="17" t="n"/>
      <c r="G101" s="13" t="str">
        <f>IF(AND(D101="",E101=""),"",IF(E101="",D101,E101)-N(F101))</f>
        <v/>
      </c>
      <c r="H101" s="13" t="str">
        <f>IF(OR(D101="",E101=""),"",E101-D101)</f>
        <v/>
      </c>
      <c r="I101" s="14" t="str">
        <f>IF(H101="","",IFERROR(H101/D101,0))</f>
        <v/>
      </c>
      <c r="J101" s="15" t="n"/>
      <c r="K101" s="16" t="str">
        <f>IF(AND(D101="",E101=""),"",IF(N(G101)&lt;=0,"Fully paid",IF(N(H101)&gt;0,"Over budget","On budget")))</f>
        <v/>
      </c>
      <c r="L101" s="5" t="n"/>
      <c r="M101" s="13" t="str">
        <f>IF(AND(D101="",E101=""),"",IF(E101="",D101,E101))</f>
        <v/>
      </c>
    </row>
    <row r="102">
      <c r="A102" s="5" t="n"/>
      <c r="B102" s="5" t="n"/>
      <c r="C102" s="5" t="n"/>
      <c r="D102" s="17" t="n"/>
      <c r="E102" s="17" t="n"/>
      <c r="F102" s="17" t="n"/>
      <c r="G102" s="13" t="str">
        <f>IF(AND(D102="",E102=""),"",IF(E102="",D102,E102)-N(F102))</f>
        <v/>
      </c>
      <c r="H102" s="13" t="str">
        <f>IF(OR(D102="",E102=""),"",E102-D102)</f>
        <v/>
      </c>
      <c r="I102" s="14" t="str">
        <f>IF(H102="","",IFERROR(H102/D102,0))</f>
        <v/>
      </c>
      <c r="J102" s="15" t="n"/>
      <c r="K102" s="16" t="str">
        <f>IF(AND(D102="",E102=""),"",IF(N(G102)&lt;=0,"Fully paid",IF(N(H102)&gt;0,"Over budget","On budget")))</f>
        <v/>
      </c>
      <c r="L102" s="5" t="n"/>
      <c r="M102" s="13" t="str">
        <f>IF(AND(D102="",E102=""),"",IF(E102="",D102,E102))</f>
        <v/>
      </c>
    </row>
    <row r="103">
      <c r="A103" s="5" t="n"/>
      <c r="B103" s="5" t="n"/>
      <c r="C103" s="5" t="n"/>
      <c r="D103" s="17" t="n"/>
      <c r="E103" s="17" t="n"/>
      <c r="F103" s="17" t="n"/>
      <c r="G103" s="13" t="str">
        <f>IF(AND(D103="",E103=""),"",IF(E103="",D103,E103)-N(F103))</f>
        <v/>
      </c>
      <c r="H103" s="13" t="str">
        <f>IF(OR(D103="",E103=""),"",E103-D103)</f>
        <v/>
      </c>
      <c r="I103" s="14" t="str">
        <f>IF(H103="","",IFERROR(H103/D103,0))</f>
        <v/>
      </c>
      <c r="J103" s="15" t="n"/>
      <c r="K103" s="16" t="str">
        <f>IF(AND(D103="",E103=""),"",IF(N(G103)&lt;=0,"Fully paid",IF(N(H103)&gt;0,"Over budget","On budget")))</f>
        <v/>
      </c>
      <c r="L103" s="5" t="n"/>
      <c r="M103" s="13" t="str">
        <f>IF(AND(D103="",E103=""),"",IF(E103="",D103,E103))</f>
        <v/>
      </c>
    </row>
    <row r="104">
      <c r="A104" s="5" t="n"/>
      <c r="B104" s="5" t="n"/>
      <c r="C104" s="5" t="n"/>
      <c r="D104" s="17" t="n"/>
      <c r="E104" s="17" t="n"/>
      <c r="F104" s="17" t="n"/>
      <c r="G104" s="13" t="str">
        <f>IF(AND(D104="",E104=""),"",IF(E104="",D104,E104)-N(F104))</f>
        <v/>
      </c>
      <c r="H104" s="13" t="str">
        <f>IF(OR(D104="",E104=""),"",E104-D104)</f>
        <v/>
      </c>
      <c r="I104" s="14" t="str">
        <f>IF(H104="","",IFERROR(H104/D104,0))</f>
        <v/>
      </c>
      <c r="J104" s="15" t="n"/>
      <c r="K104" s="16" t="str">
        <f>IF(AND(D104="",E104=""),"",IF(N(G104)&lt;=0,"Fully paid",IF(N(H104)&gt;0,"Over budget","On budget")))</f>
        <v/>
      </c>
      <c r="L104" s="5" t="n"/>
      <c r="M104" s="13" t="str">
        <f>IF(AND(D104="",E104=""),"",IF(E104="",D104,E104))</f>
        <v/>
      </c>
    </row>
    <row r="105">
      <c r="A105" s="5" t="n"/>
      <c r="B105" s="5" t="n"/>
      <c r="C105" s="5" t="n"/>
      <c r="D105" s="17" t="n"/>
      <c r="E105" s="17" t="n"/>
      <c r="F105" s="17" t="n"/>
      <c r="G105" s="13" t="str">
        <f>IF(AND(D105="",E105=""),"",IF(E105="",D105,E105)-N(F105))</f>
        <v/>
      </c>
      <c r="H105" s="13" t="str">
        <f>IF(OR(D105="",E105=""),"",E105-D105)</f>
        <v/>
      </c>
      <c r="I105" s="14" t="str">
        <f>IF(H105="","",IFERROR(H105/D105,0))</f>
        <v/>
      </c>
      <c r="J105" s="15" t="n"/>
      <c r="K105" s="16" t="str">
        <f>IF(AND(D105="",E105=""),"",IF(N(G105)&lt;=0,"Fully paid",IF(N(H105)&gt;0,"Over budget","On budget")))</f>
        <v/>
      </c>
      <c r="L105" s="5" t="n"/>
      <c r="M105" s="13" t="str">
        <f>IF(AND(D105="",E105=""),"",IF(E105="",D105,E105))</f>
        <v/>
      </c>
    </row>
    <row r="106">
      <c r="A106" s="5" t="n"/>
      <c r="B106" s="5" t="n"/>
      <c r="C106" s="5" t="n"/>
      <c r="D106" s="17" t="n"/>
      <c r="E106" s="17" t="n"/>
      <c r="F106" s="17" t="n"/>
      <c r="G106" s="13" t="str">
        <f>IF(AND(D106="",E106=""),"",IF(E106="",D106,E106)-N(F106))</f>
        <v/>
      </c>
      <c r="H106" s="13" t="str">
        <f>IF(OR(D106="",E106=""),"",E106-D106)</f>
        <v/>
      </c>
      <c r="I106" s="14" t="str">
        <f>IF(H106="","",IFERROR(H106/D106,0))</f>
        <v/>
      </c>
      <c r="J106" s="15" t="n"/>
      <c r="K106" s="16" t="str">
        <f>IF(AND(D106="",E106=""),"",IF(N(G106)&lt;=0,"Fully paid",IF(N(H106)&gt;0,"Over budget","On budget")))</f>
        <v/>
      </c>
      <c r="L106" s="5" t="n"/>
      <c r="M106" s="13" t="str">
        <f>IF(AND(D106="",E106=""),"",IF(E106="",D106,E106))</f>
        <v/>
      </c>
    </row>
    <row r="107">
      <c r="A107" s="5" t="n"/>
      <c r="B107" s="5" t="n"/>
      <c r="C107" s="5" t="n"/>
      <c r="D107" s="17" t="n"/>
      <c r="E107" s="17" t="n"/>
      <c r="F107" s="17" t="n"/>
      <c r="G107" s="13" t="str">
        <f>IF(AND(D107="",E107=""),"",IF(E107="",D107,E107)-N(F107))</f>
        <v/>
      </c>
      <c r="H107" s="13" t="str">
        <f>IF(OR(D107="",E107=""),"",E107-D107)</f>
        <v/>
      </c>
      <c r="I107" s="14" t="str">
        <f>IF(H107="","",IFERROR(H107/D107,0))</f>
        <v/>
      </c>
      <c r="J107" s="15" t="n"/>
      <c r="K107" s="16" t="str">
        <f>IF(AND(D107="",E107=""),"",IF(N(G107)&lt;=0,"Fully paid",IF(N(H107)&gt;0,"Over budget","On budget")))</f>
        <v/>
      </c>
      <c r="L107" s="5" t="n"/>
      <c r="M107" s="13" t="str">
        <f>IF(AND(D107="",E107=""),"",IF(E107="",D107,E107))</f>
        <v/>
      </c>
    </row>
    <row r="108">
      <c r="A108" s="5" t="n"/>
      <c r="B108" s="5" t="n"/>
      <c r="C108" s="5" t="n"/>
      <c r="D108" s="17" t="n"/>
      <c r="E108" s="17" t="n"/>
      <c r="F108" s="17" t="n"/>
      <c r="G108" s="13" t="str">
        <f>IF(AND(D108="",E108=""),"",IF(E108="",D108,E108)-N(F108))</f>
        <v/>
      </c>
      <c r="H108" s="13" t="str">
        <f>IF(OR(D108="",E108=""),"",E108-D108)</f>
        <v/>
      </c>
      <c r="I108" s="14" t="str">
        <f>IF(H108="","",IFERROR(H108/D108,0))</f>
        <v/>
      </c>
      <c r="J108" s="15" t="n"/>
      <c r="K108" s="16" t="str">
        <f>IF(AND(D108="",E108=""),"",IF(N(G108)&lt;=0,"Fully paid",IF(N(H108)&gt;0,"Over budget","On budget")))</f>
        <v/>
      </c>
      <c r="L108" s="5" t="n"/>
      <c r="M108" s="13" t="str">
        <f>IF(AND(D108="",E108=""),"",IF(E108="",D108,E108))</f>
        <v/>
      </c>
    </row>
    <row r="109">
      <c r="A109" s="5" t="n"/>
      <c r="B109" s="5" t="n"/>
      <c r="C109" s="5" t="n"/>
      <c r="D109" s="17" t="n"/>
      <c r="E109" s="17" t="n"/>
      <c r="F109" s="17" t="n"/>
      <c r="G109" s="13" t="str">
        <f>IF(AND(D109="",E109=""),"",IF(E109="",D109,E109)-N(F109))</f>
        <v/>
      </c>
      <c r="H109" s="13" t="str">
        <f>IF(OR(D109="",E109=""),"",E109-D109)</f>
        <v/>
      </c>
      <c r="I109" s="14" t="str">
        <f>IF(H109="","",IFERROR(H109/D109,0))</f>
        <v/>
      </c>
      <c r="J109" s="15" t="n"/>
      <c r="K109" s="16" t="str">
        <f>IF(AND(D109="",E109=""),"",IF(N(G109)&lt;=0,"Fully paid",IF(N(H109)&gt;0,"Over budget","On budget")))</f>
        <v/>
      </c>
      <c r="L109" s="5" t="n"/>
      <c r="M109" s="13" t="str">
        <f>IF(AND(D109="",E109=""),"",IF(E109="",D109,E109))</f>
        <v/>
      </c>
    </row>
    <row r="110">
      <c r="A110" s="5" t="n"/>
      <c r="B110" s="5" t="n"/>
      <c r="C110" s="5" t="n"/>
      <c r="D110" s="17" t="n"/>
      <c r="E110" s="17" t="n"/>
      <c r="F110" s="17" t="n"/>
      <c r="G110" s="13" t="str">
        <f>IF(AND(D110="",E110=""),"",IF(E110="",D110,E110)-N(F110))</f>
        <v/>
      </c>
      <c r="H110" s="13" t="str">
        <f>IF(OR(D110="",E110=""),"",E110-D110)</f>
        <v/>
      </c>
      <c r="I110" s="14" t="str">
        <f>IF(H110="","",IFERROR(H110/D110,0))</f>
        <v/>
      </c>
      <c r="J110" s="15" t="n"/>
      <c r="K110" s="16" t="str">
        <f>IF(AND(D110="",E110=""),"",IF(N(G110)&lt;=0,"Fully paid",IF(N(H110)&gt;0,"Over budget","On budget")))</f>
        <v/>
      </c>
      <c r="L110" s="5" t="n"/>
      <c r="M110" s="13" t="str">
        <f>IF(AND(D110="",E110=""),"",IF(E110="",D110,E110))</f>
        <v/>
      </c>
    </row>
    <row r="111">
      <c r="A111" s="5" t="n"/>
      <c r="B111" s="5" t="n"/>
      <c r="C111" s="5" t="n"/>
      <c r="D111" s="17" t="n"/>
      <c r="E111" s="17" t="n"/>
      <c r="F111" s="17" t="n"/>
      <c r="G111" s="13" t="str">
        <f>IF(AND(D111="",E111=""),"",IF(E111="",D111,E111)-N(F111))</f>
        <v/>
      </c>
      <c r="H111" s="13" t="str">
        <f>IF(OR(D111="",E111=""),"",E111-D111)</f>
        <v/>
      </c>
      <c r="I111" s="14" t="str">
        <f>IF(H111="","",IFERROR(H111/D111,0))</f>
        <v/>
      </c>
      <c r="J111" s="15" t="n"/>
      <c r="K111" s="16" t="str">
        <f>IF(AND(D111="",E111=""),"",IF(N(G111)&lt;=0,"Fully paid",IF(N(H111)&gt;0,"Over budget","On budget")))</f>
        <v/>
      </c>
      <c r="L111" s="5" t="n"/>
      <c r="M111" s="13" t="str">
        <f>IF(AND(D111="",E111=""),"",IF(E111="",D111,E111))</f>
        <v/>
      </c>
    </row>
    <row r="112">
      <c r="A112" s="5" t="n"/>
      <c r="B112" s="5" t="n"/>
      <c r="C112" s="5" t="n"/>
      <c r="D112" s="17" t="n"/>
      <c r="E112" s="17" t="n"/>
      <c r="F112" s="17" t="n"/>
      <c r="G112" s="13" t="str">
        <f>IF(AND(D112="",E112=""),"",IF(E112="",D112,E112)-N(F112))</f>
        <v/>
      </c>
      <c r="H112" s="13" t="str">
        <f>IF(OR(D112="",E112=""),"",E112-D112)</f>
        <v/>
      </c>
      <c r="I112" s="14" t="str">
        <f>IF(H112="","",IFERROR(H112/D112,0))</f>
        <v/>
      </c>
      <c r="J112" s="15" t="n"/>
      <c r="K112" s="16" t="str">
        <f>IF(AND(D112="",E112=""),"",IF(N(G112)&lt;=0,"Fully paid",IF(N(H112)&gt;0,"Over budget","On budget")))</f>
        <v/>
      </c>
      <c r="L112" s="5" t="n"/>
      <c r="M112" s="13" t="str">
        <f>IF(AND(D112="",E112=""),"",IF(E112="",D112,E112))</f>
        <v/>
      </c>
    </row>
    <row r="113">
      <c r="A113" s="5" t="n"/>
      <c r="B113" s="5" t="n"/>
      <c r="C113" s="5" t="n"/>
      <c r="D113" s="17" t="n"/>
      <c r="E113" s="17" t="n"/>
      <c r="F113" s="17" t="n"/>
      <c r="G113" s="13" t="str">
        <f>IF(AND(D113="",E113=""),"",IF(E113="",D113,E113)-N(F113))</f>
        <v/>
      </c>
      <c r="H113" s="13" t="str">
        <f>IF(OR(D113="",E113=""),"",E113-D113)</f>
        <v/>
      </c>
      <c r="I113" s="14" t="str">
        <f>IF(H113="","",IFERROR(H113/D113,0))</f>
        <v/>
      </c>
      <c r="J113" s="15" t="n"/>
      <c r="K113" s="16" t="str">
        <f>IF(AND(D113="",E113=""),"",IF(N(G113)&lt;=0,"Fully paid",IF(N(H113)&gt;0,"Over budget","On budget")))</f>
        <v/>
      </c>
      <c r="L113" s="5" t="n"/>
      <c r="M113" s="13" t="str">
        <f>IF(AND(D113="",E113=""),"",IF(E113="",D113,E113))</f>
        <v/>
      </c>
    </row>
    <row r="114">
      <c r="A114" s="5" t="n"/>
      <c r="B114" s="5" t="n"/>
      <c r="C114" s="5" t="n"/>
      <c r="D114" s="17" t="n"/>
      <c r="E114" s="17" t="n"/>
      <c r="F114" s="17" t="n"/>
      <c r="G114" s="13" t="str">
        <f>IF(AND(D114="",E114=""),"",IF(E114="",D114,E114)-N(F114))</f>
        <v/>
      </c>
      <c r="H114" s="13" t="str">
        <f>IF(OR(D114="",E114=""),"",E114-D114)</f>
        <v/>
      </c>
      <c r="I114" s="14" t="str">
        <f>IF(H114="","",IFERROR(H114/D114,0))</f>
        <v/>
      </c>
      <c r="J114" s="15" t="n"/>
      <c r="K114" s="16" t="str">
        <f>IF(AND(D114="",E114=""),"",IF(N(G114)&lt;=0,"Fully paid",IF(N(H114)&gt;0,"Over budget","On budget")))</f>
        <v/>
      </c>
      <c r="L114" s="5" t="n"/>
      <c r="M114" s="13" t="str">
        <f>IF(AND(D114="",E114=""),"",IF(E114="",D114,E114))</f>
        <v/>
      </c>
    </row>
    <row r="115">
      <c r="A115" s="5" t="n"/>
      <c r="B115" s="5" t="n"/>
      <c r="C115" s="5" t="n"/>
      <c r="D115" s="17" t="n"/>
      <c r="E115" s="17" t="n"/>
      <c r="F115" s="17" t="n"/>
      <c r="G115" s="13" t="str">
        <f>IF(AND(D115="",E115=""),"",IF(E115="",D115,E115)-N(F115))</f>
        <v/>
      </c>
      <c r="H115" s="13" t="str">
        <f>IF(OR(D115="",E115=""),"",E115-D115)</f>
        <v/>
      </c>
      <c r="I115" s="14" t="str">
        <f>IF(H115="","",IFERROR(H115/D115,0))</f>
        <v/>
      </c>
      <c r="J115" s="15" t="n"/>
      <c r="K115" s="16" t="str">
        <f>IF(AND(D115="",E115=""),"",IF(N(G115)&lt;=0,"Fully paid",IF(N(H115)&gt;0,"Over budget","On budget")))</f>
        <v/>
      </c>
      <c r="L115" s="5" t="n"/>
      <c r="M115" s="13" t="str">
        <f>IF(AND(D115="",E115=""),"",IF(E115="",D115,E115))</f>
        <v/>
      </c>
    </row>
    <row r="116">
      <c r="A116" s="5" t="n"/>
      <c r="B116" s="5" t="n"/>
      <c r="C116" s="5" t="n"/>
      <c r="D116" s="17" t="n"/>
      <c r="E116" s="17" t="n"/>
      <c r="F116" s="17" t="n"/>
      <c r="G116" s="13" t="str">
        <f>IF(AND(D116="",E116=""),"",IF(E116="",D116,E116)-N(F116))</f>
        <v/>
      </c>
      <c r="H116" s="13" t="str">
        <f>IF(OR(D116="",E116=""),"",E116-D116)</f>
        <v/>
      </c>
      <c r="I116" s="14" t="str">
        <f>IF(H116="","",IFERROR(H116/D116,0))</f>
        <v/>
      </c>
      <c r="J116" s="15" t="n"/>
      <c r="K116" s="16" t="str">
        <f>IF(AND(D116="",E116=""),"",IF(N(G116)&lt;=0,"Fully paid",IF(N(H116)&gt;0,"Over budget","On budget")))</f>
        <v/>
      </c>
      <c r="L116" s="5" t="n"/>
      <c r="M116" s="13" t="str">
        <f>IF(AND(D116="",E116=""),"",IF(E116="",D116,E116))</f>
        <v/>
      </c>
    </row>
    <row r="117">
      <c r="A117" s="5" t="n"/>
      <c r="B117" s="5" t="n"/>
      <c r="C117" s="5" t="n"/>
      <c r="D117" s="17" t="n"/>
      <c r="E117" s="17" t="n"/>
      <c r="F117" s="17" t="n"/>
      <c r="G117" s="13" t="str">
        <f>IF(AND(D117="",E117=""),"",IF(E117="",D117,E117)-N(F117))</f>
        <v/>
      </c>
      <c r="H117" s="13" t="str">
        <f>IF(OR(D117="",E117=""),"",E117-D117)</f>
        <v/>
      </c>
      <c r="I117" s="14" t="str">
        <f>IF(H117="","",IFERROR(H117/D117,0))</f>
        <v/>
      </c>
      <c r="J117" s="15" t="n"/>
      <c r="K117" s="16" t="str">
        <f>IF(AND(D117="",E117=""),"",IF(N(G117)&lt;=0,"Fully paid",IF(N(H117)&gt;0,"Over budget","On budget")))</f>
        <v/>
      </c>
      <c r="L117" s="5" t="n"/>
      <c r="M117" s="13" t="str">
        <f>IF(AND(D117="",E117=""),"",IF(E117="",D117,E117))</f>
        <v/>
      </c>
    </row>
    <row r="118">
      <c r="A118" s="5" t="n"/>
      <c r="B118" s="5" t="n"/>
      <c r="C118" s="5" t="n"/>
      <c r="D118" s="17" t="n"/>
      <c r="E118" s="17" t="n"/>
      <c r="F118" s="17" t="n"/>
      <c r="G118" s="13" t="str">
        <f>IF(AND(D118="",E118=""),"",IF(E118="",D118,E118)-N(F118))</f>
        <v/>
      </c>
      <c r="H118" s="13" t="str">
        <f>IF(OR(D118="",E118=""),"",E118-D118)</f>
        <v/>
      </c>
      <c r="I118" s="14" t="str">
        <f>IF(H118="","",IFERROR(H118/D118,0))</f>
        <v/>
      </c>
      <c r="J118" s="15" t="n"/>
      <c r="K118" s="16" t="str">
        <f>IF(AND(D118="",E118=""),"",IF(N(G118)&lt;=0,"Fully paid",IF(N(H118)&gt;0,"Over budget","On budget")))</f>
        <v/>
      </c>
      <c r="L118" s="5" t="n"/>
      <c r="M118" s="13" t="str">
        <f>IF(AND(D118="",E118=""),"",IF(E118="",D118,E118))</f>
        <v/>
      </c>
    </row>
    <row r="119">
      <c r="A119" s="5" t="n"/>
      <c r="B119" s="5" t="n"/>
      <c r="C119" s="5" t="n"/>
      <c r="D119" s="17" t="n"/>
      <c r="E119" s="17" t="n"/>
      <c r="F119" s="17" t="n"/>
      <c r="G119" s="13" t="str">
        <f>IF(AND(D119="",E119=""),"",IF(E119="",D119,E119)-N(F119))</f>
        <v/>
      </c>
      <c r="H119" s="13" t="str">
        <f>IF(OR(D119="",E119=""),"",E119-D119)</f>
        <v/>
      </c>
      <c r="I119" s="14" t="str">
        <f>IF(H119="","",IFERROR(H119/D119,0))</f>
        <v/>
      </c>
      <c r="J119" s="15" t="n"/>
      <c r="K119" s="16" t="str">
        <f>IF(AND(D119="",E119=""),"",IF(N(G119)&lt;=0,"Fully paid",IF(N(H119)&gt;0,"Over budget","On budget")))</f>
        <v/>
      </c>
      <c r="L119" s="5" t="n"/>
      <c r="M119" s="13" t="str">
        <f>IF(AND(D119="",E119=""),"",IF(E119="",D119,E119))</f>
        <v/>
      </c>
    </row>
    <row r="120">
      <c r="A120" s="5" t="n"/>
      <c r="B120" s="5" t="n"/>
      <c r="C120" s="5" t="n"/>
      <c r="D120" s="17" t="n"/>
      <c r="E120" s="17" t="n"/>
      <c r="F120" s="17" t="n"/>
      <c r="G120" s="13" t="str">
        <f>IF(AND(D120="",E120=""),"",IF(E120="",D120,E120)-N(F120))</f>
        <v/>
      </c>
      <c r="H120" s="13" t="str">
        <f>IF(OR(D120="",E120=""),"",E120-D120)</f>
        <v/>
      </c>
      <c r="I120" s="14" t="str">
        <f>IF(H120="","",IFERROR(H120/D120,0))</f>
        <v/>
      </c>
      <c r="J120" s="15" t="n"/>
      <c r="K120" s="16" t="str">
        <f>IF(AND(D120="",E120=""),"",IF(N(G120)&lt;=0,"Fully paid",IF(N(H120)&gt;0,"Over budget","On budget")))</f>
        <v/>
      </c>
      <c r="L120" s="5" t="n"/>
      <c r="M120" s="13" t="str">
        <f>IF(AND(D120="",E120=""),"",IF(E120="",D120,E120))</f>
        <v/>
      </c>
    </row>
    <row r="121">
      <c r="A121" s="5" t="n"/>
      <c r="B121" s="5" t="n"/>
      <c r="C121" s="5" t="n"/>
      <c r="D121" s="17" t="n"/>
      <c r="E121" s="17" t="n"/>
      <c r="F121" s="17" t="n"/>
      <c r="G121" s="13" t="str">
        <f>IF(AND(D121="",E121=""),"",IF(E121="",D121,E121)-N(F121))</f>
        <v/>
      </c>
      <c r="H121" s="13" t="str">
        <f>IF(OR(D121="",E121=""),"",E121-D121)</f>
        <v/>
      </c>
      <c r="I121" s="14" t="str">
        <f>IF(H121="","",IFERROR(H121/D121,0))</f>
        <v/>
      </c>
      <c r="J121" s="15" t="n"/>
      <c r="K121" s="16" t="str">
        <f>IF(AND(D121="",E121=""),"",IF(N(G121)&lt;=0,"Fully paid",IF(N(H121)&gt;0,"Over budget","On budget")))</f>
        <v/>
      </c>
      <c r="L121" s="5" t="n"/>
      <c r="M121" s="13" t="str">
        <f>IF(AND(D121="",E121=""),"",IF(E121="",D121,E121))</f>
        <v/>
      </c>
    </row>
    <row r="122">
      <c r="A122" s="5" t="n"/>
      <c r="B122" s="5" t="n"/>
      <c r="C122" s="5" t="n"/>
      <c r="D122" s="17" t="n"/>
      <c r="E122" s="17" t="n"/>
      <c r="F122" s="17" t="n"/>
      <c r="G122" s="13" t="str">
        <f>IF(AND(D122="",E122=""),"",IF(E122="",D122,E122)-N(F122))</f>
        <v/>
      </c>
      <c r="H122" s="13" t="str">
        <f>IF(OR(D122="",E122=""),"",E122-D122)</f>
        <v/>
      </c>
      <c r="I122" s="14" t="str">
        <f>IF(H122="","",IFERROR(H122/D122,0))</f>
        <v/>
      </c>
      <c r="J122" s="15" t="n"/>
      <c r="K122" s="16" t="str">
        <f>IF(AND(D122="",E122=""),"",IF(N(G122)&lt;=0,"Fully paid",IF(N(H122)&gt;0,"Over budget","On budget")))</f>
        <v/>
      </c>
      <c r="L122" s="5" t="n"/>
      <c r="M122" s="13" t="str">
        <f>IF(AND(D122="",E122=""),"",IF(E122="",D122,E122))</f>
        <v/>
      </c>
    </row>
    <row r="123">
      <c r="A123" s="5" t="n"/>
      <c r="B123" s="5" t="n"/>
      <c r="C123" s="5" t="n"/>
      <c r="D123" s="17" t="n"/>
      <c r="E123" s="17" t="n"/>
      <c r="F123" s="17" t="n"/>
      <c r="G123" s="13" t="str">
        <f>IF(AND(D123="",E123=""),"",IF(E123="",D123,E123)-N(F123))</f>
        <v/>
      </c>
      <c r="H123" s="13" t="str">
        <f>IF(OR(D123="",E123=""),"",E123-D123)</f>
        <v/>
      </c>
      <c r="I123" s="14" t="str">
        <f>IF(H123="","",IFERROR(H123/D123,0))</f>
        <v/>
      </c>
      <c r="J123" s="15" t="n"/>
      <c r="K123" s="16" t="str">
        <f>IF(AND(D123="",E123=""),"",IF(N(G123)&lt;=0,"Fully paid",IF(N(H123)&gt;0,"Over budget","On budget")))</f>
        <v/>
      </c>
      <c r="L123" s="5" t="n"/>
      <c r="M123" s="13" t="str">
        <f>IF(AND(D123="",E123=""),"",IF(E123="",D123,E123))</f>
        <v/>
      </c>
    </row>
    <row r="124">
      <c r="A124" s="5" t="n"/>
      <c r="B124" s="5" t="n"/>
      <c r="C124" s="5" t="n"/>
      <c r="D124" s="17" t="n"/>
      <c r="E124" s="17" t="n"/>
      <c r="F124" s="17" t="n"/>
      <c r="G124" s="13" t="str">
        <f>IF(AND(D124="",E124=""),"",IF(E124="",D124,E124)-N(F124))</f>
        <v/>
      </c>
      <c r="H124" s="13" t="str">
        <f>IF(OR(D124="",E124=""),"",E124-D124)</f>
        <v/>
      </c>
      <c r="I124" s="14" t="str">
        <f>IF(H124="","",IFERROR(H124/D124,0))</f>
        <v/>
      </c>
      <c r="J124" s="15" t="n"/>
      <c r="K124" s="16" t="str">
        <f>IF(AND(D124="",E124=""),"",IF(N(G124)&lt;=0,"Fully paid",IF(N(H124)&gt;0,"Over budget","On budget")))</f>
        <v/>
      </c>
      <c r="L124" s="5" t="n"/>
      <c r="M124" s="13" t="str">
        <f>IF(AND(D124="",E124=""),"",IF(E124="",D124,E124))</f>
        <v/>
      </c>
    </row>
    <row r="125">
      <c r="A125" s="5" t="n"/>
      <c r="B125" s="5" t="n"/>
      <c r="C125" s="5" t="n"/>
      <c r="D125" s="17" t="n"/>
      <c r="E125" s="17" t="n"/>
      <c r="F125" s="17" t="n"/>
      <c r="G125" s="13" t="str">
        <f>IF(AND(D125="",E125=""),"",IF(E125="",D125,E125)-N(F125))</f>
        <v/>
      </c>
      <c r="H125" s="13" t="str">
        <f>IF(OR(D125="",E125=""),"",E125-D125)</f>
        <v/>
      </c>
      <c r="I125" s="14" t="str">
        <f>IF(H125="","",IFERROR(H125/D125,0))</f>
        <v/>
      </c>
      <c r="J125" s="15" t="n"/>
      <c r="K125" s="16" t="str">
        <f>IF(AND(D125="",E125=""),"",IF(N(G125)&lt;=0,"Fully paid",IF(N(H125)&gt;0,"Over budget","On budget")))</f>
        <v/>
      </c>
      <c r="L125" s="5" t="n"/>
      <c r="M125" s="13" t="str">
        <f>IF(AND(D125="",E125=""),"",IF(E125="",D125,E125))</f>
        <v/>
      </c>
    </row>
    <row r="126">
      <c r="A126" s="5" t="n"/>
      <c r="B126" s="5" t="n"/>
      <c r="C126" s="5" t="n"/>
      <c r="D126" s="17" t="n"/>
      <c r="E126" s="17" t="n"/>
      <c r="F126" s="17" t="n"/>
      <c r="G126" s="13" t="str">
        <f>IF(AND(D126="",E126=""),"",IF(E126="",D126,E126)-N(F126))</f>
        <v/>
      </c>
      <c r="H126" s="13" t="str">
        <f>IF(OR(D126="",E126=""),"",E126-D126)</f>
        <v/>
      </c>
      <c r="I126" s="14" t="str">
        <f>IF(H126="","",IFERROR(H126/D126,0))</f>
        <v/>
      </c>
      <c r="J126" s="15" t="n"/>
      <c r="K126" s="16" t="str">
        <f>IF(AND(D126="",E126=""),"",IF(N(G126)&lt;=0,"Fully paid",IF(N(H126)&gt;0,"Over budget","On budget")))</f>
        <v/>
      </c>
      <c r="L126" s="5" t="n"/>
      <c r="M126" s="13" t="str">
        <f>IF(AND(D126="",E126=""),"",IF(E126="",D126,E126))</f>
        <v/>
      </c>
    </row>
    <row r="127">
      <c r="A127" s="5" t="n"/>
      <c r="B127" s="5" t="n"/>
      <c r="C127" s="5" t="n"/>
      <c r="D127" s="17" t="n"/>
      <c r="E127" s="17" t="n"/>
      <c r="F127" s="17" t="n"/>
      <c r="G127" s="13" t="str">
        <f>IF(AND(D127="",E127=""),"",IF(E127="",D127,E127)-N(F127))</f>
        <v/>
      </c>
      <c r="H127" s="13" t="str">
        <f>IF(OR(D127="",E127=""),"",E127-D127)</f>
        <v/>
      </c>
      <c r="I127" s="14" t="str">
        <f>IF(H127="","",IFERROR(H127/D127,0))</f>
        <v/>
      </c>
      <c r="J127" s="15" t="n"/>
      <c r="K127" s="16" t="str">
        <f>IF(AND(D127="",E127=""),"",IF(N(G127)&lt;=0,"Fully paid",IF(N(H127)&gt;0,"Over budget","On budget")))</f>
        <v/>
      </c>
      <c r="L127" s="5" t="n"/>
      <c r="M127" s="13" t="str">
        <f>IF(AND(D127="",E127=""),"",IF(E127="",D127,E127))</f>
        <v/>
      </c>
    </row>
    <row r="128">
      <c r="A128" s="5" t="n"/>
      <c r="B128" s="5" t="n"/>
      <c r="C128" s="5" t="n"/>
      <c r="D128" s="17" t="n"/>
      <c r="E128" s="17" t="n"/>
      <c r="F128" s="17" t="n"/>
      <c r="G128" s="13" t="str">
        <f>IF(AND(D128="",E128=""),"",IF(E128="",D128,E128)-N(F128))</f>
        <v/>
      </c>
      <c r="H128" s="13" t="str">
        <f>IF(OR(D128="",E128=""),"",E128-D128)</f>
        <v/>
      </c>
      <c r="I128" s="14" t="str">
        <f>IF(H128="","",IFERROR(H128/D128,0))</f>
        <v/>
      </c>
      <c r="J128" s="15" t="n"/>
      <c r="K128" s="16" t="str">
        <f>IF(AND(D128="",E128=""),"",IF(N(G128)&lt;=0,"Fully paid",IF(N(H128)&gt;0,"Over budget","On budget")))</f>
        <v/>
      </c>
      <c r="L128" s="5" t="n"/>
      <c r="M128" s="13" t="str">
        <f>IF(AND(D128="",E128=""),"",IF(E128="",D128,E128))</f>
        <v/>
      </c>
    </row>
    <row r="129">
      <c r="A129" s="5" t="n"/>
      <c r="B129" s="5" t="n"/>
      <c r="C129" s="5" t="n"/>
      <c r="D129" s="17" t="n"/>
      <c r="E129" s="17" t="n"/>
      <c r="F129" s="17" t="n"/>
      <c r="G129" s="13" t="str">
        <f>IF(AND(D129="",E129=""),"",IF(E129="",D129,E129)-N(F129))</f>
        <v/>
      </c>
      <c r="H129" s="13" t="str">
        <f>IF(OR(D129="",E129=""),"",E129-D129)</f>
        <v/>
      </c>
      <c r="I129" s="14" t="str">
        <f>IF(H129="","",IFERROR(H129/D129,0))</f>
        <v/>
      </c>
      <c r="J129" s="15" t="n"/>
      <c r="K129" s="16" t="str">
        <f>IF(AND(D129="",E129=""),"",IF(N(G129)&lt;=0,"Fully paid",IF(N(H129)&gt;0,"Over budget","On budget")))</f>
        <v/>
      </c>
      <c r="L129" s="5" t="n"/>
      <c r="M129" s="13" t="str">
        <f>IF(AND(D129="",E129=""),"",IF(E129="",D129,E129))</f>
        <v/>
      </c>
    </row>
    <row r="130">
      <c r="A130" s="5" t="n"/>
      <c r="B130" s="5" t="n"/>
      <c r="C130" s="5" t="n"/>
      <c r="D130" s="17" t="n"/>
      <c r="E130" s="17" t="n"/>
      <c r="F130" s="17" t="n"/>
      <c r="G130" s="13" t="str">
        <f>IF(AND(D130="",E130=""),"",IF(E130="",D130,E130)-N(F130))</f>
        <v/>
      </c>
      <c r="H130" s="13" t="str">
        <f>IF(OR(D130="",E130=""),"",E130-D130)</f>
        <v/>
      </c>
      <c r="I130" s="14" t="str">
        <f>IF(H130="","",IFERROR(H130/D130,0))</f>
        <v/>
      </c>
      <c r="J130" s="15" t="n"/>
      <c r="K130" s="16" t="str">
        <f>IF(AND(D130="",E130=""),"",IF(N(G130)&lt;=0,"Fully paid",IF(N(H130)&gt;0,"Over budget","On budget")))</f>
        <v/>
      </c>
      <c r="L130" s="5" t="n"/>
      <c r="M130" s="13" t="str">
        <f>IF(AND(D130="",E130=""),"",IF(E130="",D130,E130))</f>
        <v/>
      </c>
    </row>
    <row r="131">
      <c r="A131" s="5" t="n"/>
      <c r="B131" s="5" t="n"/>
      <c r="C131" s="5" t="n"/>
      <c r="D131" s="17" t="n"/>
      <c r="E131" s="17" t="n"/>
      <c r="F131" s="17" t="n"/>
      <c r="G131" s="13" t="str">
        <f>IF(AND(D131="",E131=""),"",IF(E131="",D131,E131)-N(F131))</f>
        <v/>
      </c>
      <c r="H131" s="13" t="str">
        <f>IF(OR(D131="",E131=""),"",E131-D131)</f>
        <v/>
      </c>
      <c r="I131" s="14" t="str">
        <f>IF(H131="","",IFERROR(H131/D131,0))</f>
        <v/>
      </c>
      <c r="J131" s="15" t="n"/>
      <c r="K131" s="16" t="str">
        <f>IF(AND(D131="",E131=""),"",IF(N(G131)&lt;=0,"Fully paid",IF(N(H131)&gt;0,"Over budget","On budget")))</f>
        <v/>
      </c>
      <c r="L131" s="5" t="n"/>
      <c r="M131" s="13" t="str">
        <f>IF(AND(D131="",E131=""),"",IF(E131="",D131,E131))</f>
        <v/>
      </c>
    </row>
    <row r="132">
      <c r="A132" s="5" t="n"/>
      <c r="B132" s="5" t="n"/>
      <c r="C132" s="5" t="n"/>
      <c r="D132" s="17" t="n"/>
      <c r="E132" s="17" t="n"/>
      <c r="F132" s="17" t="n"/>
      <c r="G132" s="13" t="str">
        <f>IF(AND(D132="",E132=""),"",IF(E132="",D132,E132)-N(F132))</f>
        <v/>
      </c>
      <c r="H132" s="13" t="str">
        <f>IF(OR(D132="",E132=""),"",E132-D132)</f>
        <v/>
      </c>
      <c r="I132" s="14" t="str">
        <f>IF(H132="","",IFERROR(H132/D132,0))</f>
        <v/>
      </c>
      <c r="J132" s="15" t="n"/>
      <c r="K132" s="16" t="str">
        <f>IF(AND(D132="",E132=""),"",IF(N(G132)&lt;=0,"Fully paid",IF(N(H132)&gt;0,"Over budget","On budget")))</f>
        <v/>
      </c>
      <c r="L132" s="5" t="n"/>
      <c r="M132" s="13" t="str">
        <f>IF(AND(D132="",E132=""),"",IF(E132="",D132,E132))</f>
        <v/>
      </c>
    </row>
    <row r="133">
      <c r="A133" s="5" t="n"/>
      <c r="B133" s="5" t="n"/>
      <c r="C133" s="5" t="n"/>
      <c r="D133" s="17" t="n"/>
      <c r="E133" s="17" t="n"/>
      <c r="F133" s="17" t="n"/>
      <c r="G133" s="13" t="str">
        <f>IF(AND(D133="",E133=""),"",IF(E133="",D133,E133)-N(F133))</f>
        <v/>
      </c>
      <c r="H133" s="13" t="str">
        <f>IF(OR(D133="",E133=""),"",E133-D133)</f>
        <v/>
      </c>
      <c r="I133" s="14" t="str">
        <f>IF(H133="","",IFERROR(H133/D133,0))</f>
        <v/>
      </c>
      <c r="J133" s="15" t="n"/>
      <c r="K133" s="16" t="str">
        <f>IF(AND(D133="",E133=""),"",IF(N(G133)&lt;=0,"Fully paid",IF(N(H133)&gt;0,"Over budget","On budget")))</f>
        <v/>
      </c>
      <c r="L133" s="5" t="n"/>
      <c r="M133" s="13" t="str">
        <f>IF(AND(D133="",E133=""),"",IF(E133="",D133,E133))</f>
        <v/>
      </c>
    </row>
    <row r="134">
      <c r="A134" s="5" t="n"/>
      <c r="B134" s="5" t="n"/>
      <c r="C134" s="5" t="n"/>
      <c r="D134" s="17" t="n"/>
      <c r="E134" s="17" t="n"/>
      <c r="F134" s="17" t="n"/>
      <c r="G134" s="13" t="str">
        <f>IF(AND(D134="",E134=""),"",IF(E134="",D134,E134)-N(F134))</f>
        <v/>
      </c>
      <c r="H134" s="13" t="str">
        <f>IF(OR(D134="",E134=""),"",E134-D134)</f>
        <v/>
      </c>
      <c r="I134" s="14" t="str">
        <f>IF(H134="","",IFERROR(H134/D134,0))</f>
        <v/>
      </c>
      <c r="J134" s="15" t="n"/>
      <c r="K134" s="16" t="str">
        <f>IF(AND(D134="",E134=""),"",IF(N(G134)&lt;=0,"Fully paid",IF(N(H134)&gt;0,"Over budget","On budget")))</f>
        <v/>
      </c>
      <c r="L134" s="5" t="n"/>
      <c r="M134" s="13" t="str">
        <f>IF(AND(D134="",E134=""),"",IF(E134="",D134,E134))</f>
        <v/>
      </c>
    </row>
    <row r="135">
      <c r="A135" s="5" t="n"/>
      <c r="B135" s="5" t="n"/>
      <c r="C135" s="5" t="n"/>
      <c r="D135" s="17" t="n"/>
      <c r="E135" s="17" t="n"/>
      <c r="F135" s="17" t="n"/>
      <c r="G135" s="13" t="str">
        <f>IF(AND(D135="",E135=""),"",IF(E135="",D135,E135)-N(F135))</f>
        <v/>
      </c>
      <c r="H135" s="13" t="str">
        <f>IF(OR(D135="",E135=""),"",E135-D135)</f>
        <v/>
      </c>
      <c r="I135" s="14" t="str">
        <f>IF(H135="","",IFERROR(H135/D135,0))</f>
        <v/>
      </c>
      <c r="J135" s="15" t="n"/>
      <c r="K135" s="16" t="str">
        <f>IF(AND(D135="",E135=""),"",IF(N(G135)&lt;=0,"Fully paid",IF(N(H135)&gt;0,"Over budget","On budget")))</f>
        <v/>
      </c>
      <c r="L135" s="5" t="n"/>
      <c r="M135" s="13" t="str">
        <f>IF(AND(D135="",E135=""),"",IF(E135="",D135,E135))</f>
        <v/>
      </c>
    </row>
    <row r="136">
      <c r="A136" s="5" t="n"/>
      <c r="B136" s="5" t="n"/>
      <c r="C136" s="5" t="n"/>
      <c r="D136" s="17" t="n"/>
      <c r="E136" s="17" t="n"/>
      <c r="F136" s="17" t="n"/>
      <c r="G136" s="13" t="str">
        <f>IF(AND(D136="",E136=""),"",IF(E136="",D136,E136)-N(F136))</f>
        <v/>
      </c>
      <c r="H136" s="13" t="str">
        <f>IF(OR(D136="",E136=""),"",E136-D136)</f>
        <v/>
      </c>
      <c r="I136" s="14" t="str">
        <f>IF(H136="","",IFERROR(H136/D136,0))</f>
        <v/>
      </c>
      <c r="J136" s="15" t="n"/>
      <c r="K136" s="16" t="str">
        <f>IF(AND(D136="",E136=""),"",IF(N(G136)&lt;=0,"Fully paid",IF(N(H136)&gt;0,"Over budget","On budget")))</f>
        <v/>
      </c>
      <c r="L136" s="5" t="n"/>
      <c r="M136" s="13" t="str">
        <f>IF(AND(D136="",E136=""),"",IF(E136="",D136,E136))</f>
        <v/>
      </c>
    </row>
    <row r="137">
      <c r="A137" s="5" t="n"/>
      <c r="B137" s="5" t="n"/>
      <c r="C137" s="5" t="n"/>
      <c r="D137" s="17" t="n"/>
      <c r="E137" s="17" t="n"/>
      <c r="F137" s="17" t="n"/>
      <c r="G137" s="13" t="str">
        <f>IF(AND(D137="",E137=""),"",IF(E137="",D137,E137)-N(F137))</f>
        <v/>
      </c>
      <c r="H137" s="13" t="str">
        <f>IF(OR(D137="",E137=""),"",E137-D137)</f>
        <v/>
      </c>
      <c r="I137" s="14" t="str">
        <f>IF(H137="","",IFERROR(H137/D137,0))</f>
        <v/>
      </c>
      <c r="J137" s="15" t="n"/>
      <c r="K137" s="16" t="str">
        <f>IF(AND(D137="",E137=""),"",IF(N(G137)&lt;=0,"Fully paid",IF(N(H137)&gt;0,"Over budget","On budget")))</f>
        <v/>
      </c>
      <c r="L137" s="5" t="n"/>
      <c r="M137" s="13" t="str">
        <f>IF(AND(D137="",E137=""),"",IF(E137="",D137,E137))</f>
        <v/>
      </c>
    </row>
    <row r="138">
      <c r="A138" s="5" t="n"/>
      <c r="B138" s="5" t="n"/>
      <c r="C138" s="5" t="n"/>
      <c r="D138" s="17" t="n"/>
      <c r="E138" s="17" t="n"/>
      <c r="F138" s="17" t="n"/>
      <c r="G138" s="13" t="str">
        <f>IF(AND(D138="",E138=""),"",IF(E138="",D138,E138)-N(F138))</f>
        <v/>
      </c>
      <c r="H138" s="13" t="str">
        <f>IF(OR(D138="",E138=""),"",E138-D138)</f>
        <v/>
      </c>
      <c r="I138" s="14" t="str">
        <f>IF(H138="","",IFERROR(H138/D138,0))</f>
        <v/>
      </c>
      <c r="J138" s="15" t="n"/>
      <c r="K138" s="16" t="str">
        <f>IF(AND(D138="",E138=""),"",IF(N(G138)&lt;=0,"Fully paid",IF(N(H138)&gt;0,"Over budget","On budget")))</f>
        <v/>
      </c>
      <c r="L138" s="5" t="n"/>
      <c r="M138" s="13" t="str">
        <f>IF(AND(D138="",E138=""),"",IF(E138="",D138,E138))</f>
        <v/>
      </c>
    </row>
    <row r="139">
      <c r="A139" s="5" t="n"/>
      <c r="B139" s="5" t="n"/>
      <c r="C139" s="5" t="n"/>
      <c r="D139" s="17" t="n"/>
      <c r="E139" s="17" t="n"/>
      <c r="F139" s="17" t="n"/>
      <c r="G139" s="13" t="str">
        <f>IF(AND(D139="",E139=""),"",IF(E139="",D139,E139)-N(F139))</f>
        <v/>
      </c>
      <c r="H139" s="13" t="str">
        <f>IF(OR(D139="",E139=""),"",E139-D139)</f>
        <v/>
      </c>
      <c r="I139" s="14" t="str">
        <f>IF(H139="","",IFERROR(H139/D139,0))</f>
        <v/>
      </c>
      <c r="J139" s="15" t="n"/>
      <c r="K139" s="16" t="str">
        <f>IF(AND(D139="",E139=""),"",IF(N(G139)&lt;=0,"Fully paid",IF(N(H139)&gt;0,"Over budget","On budget")))</f>
        <v/>
      </c>
      <c r="L139" s="5" t="n"/>
      <c r="M139" s="13" t="str">
        <f>IF(AND(D139="",E139=""),"",IF(E139="",D139,E139))</f>
        <v/>
      </c>
    </row>
    <row r="140">
      <c r="A140" s="5" t="n"/>
      <c r="B140" s="5" t="n"/>
      <c r="C140" s="5" t="n"/>
      <c r="D140" s="17" t="n"/>
      <c r="E140" s="17" t="n"/>
      <c r="F140" s="17" t="n"/>
      <c r="G140" s="13" t="str">
        <f>IF(AND(D140="",E140=""),"",IF(E140="",D140,E140)-N(F140))</f>
        <v/>
      </c>
      <c r="H140" s="13" t="str">
        <f>IF(OR(D140="",E140=""),"",E140-D140)</f>
        <v/>
      </c>
      <c r="I140" s="14" t="str">
        <f>IF(H140="","",IFERROR(H140/D140,0))</f>
        <v/>
      </c>
      <c r="J140" s="15" t="n"/>
      <c r="K140" s="16" t="str">
        <f>IF(AND(D140="",E140=""),"",IF(N(G140)&lt;=0,"Fully paid",IF(N(H140)&gt;0,"Over budget","On budget")))</f>
        <v/>
      </c>
      <c r="L140" s="5" t="n"/>
      <c r="M140" s="13" t="str">
        <f>IF(AND(D140="",E140=""),"",IF(E140="",D140,E140))</f>
        <v/>
      </c>
    </row>
    <row r="141">
      <c r="A141" s="5" t="n"/>
      <c r="B141" s="5" t="n"/>
      <c r="C141" s="5" t="n"/>
      <c r="D141" s="17" t="n"/>
      <c r="E141" s="17" t="n"/>
      <c r="F141" s="17" t="n"/>
      <c r="G141" s="13" t="str">
        <f>IF(AND(D141="",E141=""),"",IF(E141="",D141,E141)-N(F141))</f>
        <v/>
      </c>
      <c r="H141" s="13" t="str">
        <f>IF(OR(D141="",E141=""),"",E141-D141)</f>
        <v/>
      </c>
      <c r="I141" s="14" t="str">
        <f>IF(H141="","",IFERROR(H141/D141,0))</f>
        <v/>
      </c>
      <c r="J141" s="15" t="n"/>
      <c r="K141" s="16" t="str">
        <f>IF(AND(D141="",E141=""),"",IF(N(G141)&lt;=0,"Fully paid",IF(N(H141)&gt;0,"Over budget","On budget")))</f>
        <v/>
      </c>
      <c r="L141" s="5" t="n"/>
      <c r="M141" s="13" t="str">
        <f>IF(AND(D141="",E141=""),"",IF(E141="",D141,E141))</f>
        <v/>
      </c>
    </row>
    <row r="142">
      <c r="A142" s="5" t="n"/>
      <c r="B142" s="5" t="n"/>
      <c r="C142" s="5" t="n"/>
      <c r="D142" s="17" t="n"/>
      <c r="E142" s="17" t="n"/>
      <c r="F142" s="17" t="n"/>
      <c r="G142" s="13" t="str">
        <f>IF(AND(D142="",E142=""),"",IF(E142="",D142,E142)-N(F142))</f>
        <v/>
      </c>
      <c r="H142" s="13" t="str">
        <f>IF(OR(D142="",E142=""),"",E142-D142)</f>
        <v/>
      </c>
      <c r="I142" s="14" t="str">
        <f>IF(H142="","",IFERROR(H142/D142,0))</f>
        <v/>
      </c>
      <c r="J142" s="15" t="n"/>
      <c r="K142" s="16" t="str">
        <f>IF(AND(D142="",E142=""),"",IF(N(G142)&lt;=0,"Fully paid",IF(N(H142)&gt;0,"Over budget","On budget")))</f>
        <v/>
      </c>
      <c r="L142" s="5" t="n"/>
      <c r="M142" s="13" t="str">
        <f>IF(AND(D142="",E142=""),"",IF(E142="",D142,E142))</f>
        <v/>
      </c>
    </row>
    <row r="143">
      <c r="A143" s="5" t="n"/>
      <c r="B143" s="5" t="n"/>
      <c r="C143" s="5" t="n"/>
      <c r="D143" s="17" t="n"/>
      <c r="E143" s="17" t="n"/>
      <c r="F143" s="17" t="n"/>
      <c r="G143" s="13" t="str">
        <f>IF(AND(D143="",E143=""),"",IF(E143="",D143,E143)-N(F143))</f>
        <v/>
      </c>
      <c r="H143" s="13" t="str">
        <f>IF(OR(D143="",E143=""),"",E143-D143)</f>
        <v/>
      </c>
      <c r="I143" s="14" t="str">
        <f>IF(H143="","",IFERROR(H143/D143,0))</f>
        <v/>
      </c>
      <c r="J143" s="15" t="n"/>
      <c r="K143" s="16" t="str">
        <f>IF(AND(D143="",E143=""),"",IF(N(G143)&lt;=0,"Fully paid",IF(N(H143)&gt;0,"Over budget","On budget")))</f>
        <v/>
      </c>
      <c r="L143" s="5" t="n"/>
      <c r="M143" s="13" t="str">
        <f>IF(AND(D143="",E143=""),"",IF(E143="",D143,E143))</f>
        <v/>
      </c>
    </row>
    <row r="144">
      <c r="A144" s="5" t="n"/>
      <c r="B144" s="5" t="n"/>
      <c r="C144" s="5" t="n"/>
      <c r="D144" s="17" t="n"/>
      <c r="E144" s="17" t="n"/>
      <c r="F144" s="17" t="n"/>
      <c r="G144" s="13" t="str">
        <f>IF(AND(D144="",E144=""),"",IF(E144="",D144,E144)-N(F144))</f>
        <v/>
      </c>
      <c r="H144" s="13" t="str">
        <f>IF(OR(D144="",E144=""),"",E144-D144)</f>
        <v/>
      </c>
      <c r="I144" s="14" t="str">
        <f>IF(H144="","",IFERROR(H144/D144,0))</f>
        <v/>
      </c>
      <c r="J144" s="15" t="n"/>
      <c r="K144" s="16" t="str">
        <f>IF(AND(D144="",E144=""),"",IF(N(G144)&lt;=0,"Fully paid",IF(N(H144)&gt;0,"Over budget","On budget")))</f>
        <v/>
      </c>
      <c r="L144" s="5" t="n"/>
      <c r="M144" s="13" t="str">
        <f>IF(AND(D144="",E144=""),"",IF(E144="",D144,E144))</f>
        <v/>
      </c>
    </row>
    <row r="145">
      <c r="A145" s="5" t="n"/>
      <c r="B145" s="5" t="n"/>
      <c r="C145" s="5" t="n"/>
      <c r="D145" s="17" t="n"/>
      <c r="E145" s="17" t="n"/>
      <c r="F145" s="17" t="n"/>
      <c r="G145" s="13" t="str">
        <f>IF(AND(D145="",E145=""),"",IF(E145="",D145,E145)-N(F145))</f>
        <v/>
      </c>
      <c r="H145" s="13" t="str">
        <f>IF(OR(D145="",E145=""),"",E145-D145)</f>
        <v/>
      </c>
      <c r="I145" s="14" t="str">
        <f>IF(H145="","",IFERROR(H145/D145,0))</f>
        <v/>
      </c>
      <c r="J145" s="15" t="n"/>
      <c r="K145" s="16" t="str">
        <f>IF(AND(D145="",E145=""),"",IF(N(G145)&lt;=0,"Fully paid",IF(N(H145)&gt;0,"Over budget","On budget")))</f>
        <v/>
      </c>
      <c r="L145" s="5" t="n"/>
      <c r="M145" s="13" t="str">
        <f>IF(AND(D145="",E145=""),"",IF(E145="",D145,E145))</f>
        <v/>
      </c>
    </row>
    <row r="146">
      <c r="A146" s="5" t="n"/>
      <c r="B146" s="5" t="n"/>
      <c r="C146" s="5" t="n"/>
      <c r="D146" s="17" t="n"/>
      <c r="E146" s="17" t="n"/>
      <c r="F146" s="17" t="n"/>
      <c r="G146" s="13" t="str">
        <f>IF(AND(D146="",E146=""),"",IF(E146="",D146,E146)-N(F146))</f>
        <v/>
      </c>
      <c r="H146" s="13" t="str">
        <f>IF(OR(D146="",E146=""),"",E146-D146)</f>
        <v/>
      </c>
      <c r="I146" s="14" t="str">
        <f>IF(H146="","",IFERROR(H146/D146,0))</f>
        <v/>
      </c>
      <c r="J146" s="15" t="n"/>
      <c r="K146" s="16" t="str">
        <f>IF(AND(D146="",E146=""),"",IF(N(G146)&lt;=0,"Fully paid",IF(N(H146)&gt;0,"Over budget","On budget")))</f>
        <v/>
      </c>
      <c r="L146" s="5" t="n"/>
      <c r="M146" s="13" t="str">
        <f>IF(AND(D146="",E146=""),"",IF(E146="",D146,E146))</f>
        <v/>
      </c>
    </row>
    <row r="147">
      <c r="A147" s="5" t="n"/>
      <c r="B147" s="5" t="n"/>
      <c r="C147" s="5" t="n"/>
      <c r="D147" s="17" t="n"/>
      <c r="E147" s="17" t="n"/>
      <c r="F147" s="17" t="n"/>
      <c r="G147" s="13" t="str">
        <f>IF(AND(D147="",E147=""),"",IF(E147="",D147,E147)-N(F147))</f>
        <v/>
      </c>
      <c r="H147" s="13" t="str">
        <f>IF(OR(D147="",E147=""),"",E147-D147)</f>
        <v/>
      </c>
      <c r="I147" s="14" t="str">
        <f>IF(H147="","",IFERROR(H147/D147,0))</f>
        <v/>
      </c>
      <c r="J147" s="15" t="n"/>
      <c r="K147" s="16" t="str">
        <f>IF(AND(D147="",E147=""),"",IF(N(G147)&lt;=0,"Fully paid",IF(N(H147)&gt;0,"Over budget","On budget")))</f>
        <v/>
      </c>
      <c r="L147" s="5" t="n"/>
      <c r="M147" s="13" t="str">
        <f>IF(AND(D147="",E147=""),"",IF(E147="",D147,E147))</f>
        <v/>
      </c>
    </row>
    <row r="148">
      <c r="A148" s="5" t="n"/>
      <c r="B148" s="5" t="n"/>
      <c r="C148" s="5" t="n"/>
      <c r="D148" s="17" t="n"/>
      <c r="E148" s="17" t="n"/>
      <c r="F148" s="17" t="n"/>
      <c r="G148" s="13" t="str">
        <f>IF(AND(D148="",E148=""),"",IF(E148="",D148,E148)-N(F148))</f>
        <v/>
      </c>
      <c r="H148" s="13" t="str">
        <f>IF(OR(D148="",E148=""),"",E148-D148)</f>
        <v/>
      </c>
      <c r="I148" s="14" t="str">
        <f>IF(H148="","",IFERROR(H148/D148,0))</f>
        <v/>
      </c>
      <c r="J148" s="15" t="n"/>
      <c r="K148" s="16" t="str">
        <f>IF(AND(D148="",E148=""),"",IF(N(G148)&lt;=0,"Fully paid",IF(N(H148)&gt;0,"Over budget","On budget")))</f>
        <v/>
      </c>
      <c r="L148" s="5" t="n"/>
      <c r="M148" s="13" t="str">
        <f>IF(AND(D148="",E148=""),"",IF(E148="",D148,E148))</f>
        <v/>
      </c>
    </row>
    <row r="149">
      <c r="A149" s="5" t="n"/>
      <c r="B149" s="5" t="n"/>
      <c r="C149" s="5" t="n"/>
      <c r="D149" s="17" t="n"/>
      <c r="E149" s="17" t="n"/>
      <c r="F149" s="17" t="n"/>
      <c r="G149" s="13" t="str">
        <f>IF(AND(D149="",E149=""),"",IF(E149="",D149,E149)-N(F149))</f>
        <v/>
      </c>
      <c r="H149" s="13" t="str">
        <f>IF(OR(D149="",E149=""),"",E149-D149)</f>
        <v/>
      </c>
      <c r="I149" s="14" t="str">
        <f>IF(H149="","",IFERROR(H149/D149,0))</f>
        <v/>
      </c>
      <c r="J149" s="15" t="n"/>
      <c r="K149" s="16" t="str">
        <f>IF(AND(D149="",E149=""),"",IF(N(G149)&lt;=0,"Fully paid",IF(N(H149)&gt;0,"Over budget","On budget")))</f>
        <v/>
      </c>
      <c r="L149" s="5" t="n"/>
      <c r="M149" s="13" t="str">
        <f>IF(AND(D149="",E149=""),"",IF(E149="",D149,E149))</f>
        <v/>
      </c>
    </row>
    <row r="150">
      <c r="A150" s="5" t="n"/>
      <c r="B150" s="5" t="n"/>
      <c r="C150" s="5" t="n"/>
      <c r="D150" s="17" t="n"/>
      <c r="E150" s="17" t="n"/>
      <c r="F150" s="17" t="n"/>
      <c r="G150" s="13" t="str">
        <f>IF(AND(D150="",E150=""),"",IF(E150="",D150,E150)-N(F150))</f>
        <v/>
      </c>
      <c r="H150" s="13" t="str">
        <f>IF(OR(D150="",E150=""),"",E150-D150)</f>
        <v/>
      </c>
      <c r="I150" s="14" t="str">
        <f>IF(H150="","",IFERROR(H150/D150,0))</f>
        <v/>
      </c>
      <c r="J150" s="15" t="n"/>
      <c r="K150" s="16" t="str">
        <f>IF(AND(D150="",E150=""),"",IF(N(G150)&lt;=0,"Fully paid",IF(N(H150)&gt;0,"Over budget","On budget")))</f>
        <v/>
      </c>
      <c r="L150" s="5" t="n"/>
      <c r="M150" s="13" t="str">
        <f>IF(AND(D150="",E150=""),"",IF(E150="",D150,E150))</f>
        <v/>
      </c>
    </row>
    <row r="151">
      <c r="A151" s="5" t="n"/>
      <c r="B151" s="5" t="n"/>
      <c r="C151" s="5" t="n"/>
      <c r="D151" s="17" t="n"/>
      <c r="E151" s="17" t="n"/>
      <c r="F151" s="17" t="n"/>
      <c r="G151" s="13" t="str">
        <f>IF(AND(D151="",E151=""),"",IF(E151="",D151,E151)-N(F151))</f>
        <v/>
      </c>
      <c r="H151" s="13" t="str">
        <f>IF(OR(D151="",E151=""),"",E151-D151)</f>
        <v/>
      </c>
      <c r="I151" s="14" t="str">
        <f>IF(H151="","",IFERROR(H151/D151,0))</f>
        <v/>
      </c>
      <c r="J151" s="15" t="n"/>
      <c r="K151" s="16" t="str">
        <f>IF(AND(D151="",E151=""),"",IF(N(G151)&lt;=0,"Fully paid",IF(N(H151)&gt;0,"Over budget","On budget")))</f>
        <v/>
      </c>
      <c r="L151" s="5" t="n"/>
      <c r="M151" s="13" t="str">
        <f>IF(AND(D151="",E151=""),"",IF(E151="",D151,E151))</f>
        <v/>
      </c>
    </row>
    <row r="152">
      <c r="A152" s="5" t="n"/>
      <c r="B152" s="5" t="n"/>
      <c r="C152" s="5" t="n"/>
      <c r="D152" s="17" t="n"/>
      <c r="E152" s="17" t="n"/>
      <c r="F152" s="17" t="n"/>
      <c r="G152" s="13" t="str">
        <f>IF(AND(D152="",E152=""),"",IF(E152="",D152,E152)-N(F152))</f>
        <v/>
      </c>
      <c r="H152" s="13" t="str">
        <f>IF(OR(D152="",E152=""),"",E152-D152)</f>
        <v/>
      </c>
      <c r="I152" s="14" t="str">
        <f>IF(H152="","",IFERROR(H152/D152,0))</f>
        <v/>
      </c>
      <c r="J152" s="15" t="n"/>
      <c r="K152" s="16" t="str">
        <f>IF(AND(D152="",E152=""),"",IF(N(G152)&lt;=0,"Fully paid",IF(N(H152)&gt;0,"Over budget","On budget")))</f>
        <v/>
      </c>
      <c r="L152" s="5" t="n"/>
      <c r="M152" s="13" t="str">
        <f>IF(AND(D152="",E152=""),"",IF(E152="",D152,E152))</f>
        <v/>
      </c>
    </row>
    <row r="153">
      <c r="A153" s="5" t="n"/>
      <c r="B153" s="5" t="n"/>
      <c r="C153" s="5" t="n"/>
      <c r="D153" s="17" t="n"/>
      <c r="E153" s="17" t="n"/>
      <c r="F153" s="17" t="n"/>
      <c r="G153" s="13" t="str">
        <f>IF(AND(D153="",E153=""),"",IF(E153="",D153,E153)-N(F153))</f>
        <v/>
      </c>
      <c r="H153" s="13" t="str">
        <f>IF(OR(D153="",E153=""),"",E153-D153)</f>
        <v/>
      </c>
      <c r="I153" s="14" t="str">
        <f>IF(H153="","",IFERROR(H153/D153,0))</f>
        <v/>
      </c>
      <c r="J153" s="15" t="n"/>
      <c r="K153" s="16" t="str">
        <f>IF(AND(D153="",E153=""),"",IF(N(G153)&lt;=0,"Fully paid",IF(N(H153)&gt;0,"Over budget","On budget")))</f>
        <v/>
      </c>
      <c r="L153" s="5" t="n"/>
      <c r="M153" s="13" t="str">
        <f>IF(AND(D153="",E153=""),"",IF(E153="",D153,E153))</f>
        <v/>
      </c>
    </row>
    <row r="154">
      <c r="A154" s="5" t="n"/>
      <c r="B154" s="5" t="n"/>
      <c r="C154" s="5" t="n"/>
      <c r="D154" s="17" t="n"/>
      <c r="E154" s="17" t="n"/>
      <c r="F154" s="17" t="n"/>
      <c r="G154" s="13" t="str">
        <f>IF(AND(D154="",E154=""),"",IF(E154="",D154,E154)-N(F154))</f>
        <v/>
      </c>
      <c r="H154" s="13" t="str">
        <f>IF(OR(D154="",E154=""),"",E154-D154)</f>
        <v/>
      </c>
      <c r="I154" s="14" t="str">
        <f>IF(H154="","",IFERROR(H154/D154,0))</f>
        <v/>
      </c>
      <c r="J154" s="15" t="n"/>
      <c r="K154" s="16" t="str">
        <f>IF(AND(D154="",E154=""),"",IF(N(G154)&lt;=0,"Fully paid",IF(N(H154)&gt;0,"Over budget","On budget")))</f>
        <v/>
      </c>
      <c r="L154" s="5" t="n"/>
      <c r="M154" s="13" t="str">
        <f>IF(AND(D154="",E154=""),"",IF(E154="",D154,E154))</f>
        <v/>
      </c>
    </row>
    <row r="155">
      <c r="A155" s="5" t="n"/>
      <c r="B155" s="5" t="n"/>
      <c r="C155" s="5" t="n"/>
      <c r="D155" s="17" t="n"/>
      <c r="E155" s="17" t="n"/>
      <c r="F155" s="17" t="n"/>
      <c r="G155" s="13" t="str">
        <f>IF(AND(D155="",E155=""),"",IF(E155="",D155,E155)-N(F155))</f>
        <v/>
      </c>
      <c r="H155" s="13" t="str">
        <f>IF(OR(D155="",E155=""),"",E155-D155)</f>
        <v/>
      </c>
      <c r="I155" s="14" t="str">
        <f>IF(H155="","",IFERROR(H155/D155,0))</f>
        <v/>
      </c>
      <c r="J155" s="15" t="n"/>
      <c r="K155" s="16" t="str">
        <f>IF(AND(D155="",E155=""),"",IF(N(G155)&lt;=0,"Fully paid",IF(N(H155)&gt;0,"Over budget","On budget")))</f>
        <v/>
      </c>
      <c r="L155" s="5" t="n"/>
      <c r="M155" s="13" t="str">
        <f>IF(AND(D155="",E155=""),"",IF(E155="",D155,E155))</f>
        <v/>
      </c>
    </row>
    <row r="156">
      <c r="A156" s="5" t="n"/>
      <c r="B156" s="5" t="n"/>
      <c r="C156" s="5" t="n"/>
      <c r="D156" s="17" t="n"/>
      <c r="E156" s="17" t="n"/>
      <c r="F156" s="17" t="n"/>
      <c r="G156" s="13" t="str">
        <f>IF(AND(D156="",E156=""),"",IF(E156="",D156,E156)-N(F156))</f>
        <v/>
      </c>
      <c r="H156" s="13" t="str">
        <f>IF(OR(D156="",E156=""),"",E156-D156)</f>
        <v/>
      </c>
      <c r="I156" s="14" t="str">
        <f>IF(H156="","",IFERROR(H156/D156,0))</f>
        <v/>
      </c>
      <c r="J156" s="15" t="n"/>
      <c r="K156" s="16" t="str">
        <f>IF(AND(D156="",E156=""),"",IF(N(G156)&lt;=0,"Fully paid",IF(N(H156)&gt;0,"Over budget","On budget")))</f>
        <v/>
      </c>
      <c r="L156" s="5" t="n"/>
      <c r="M156" s="13" t="str">
        <f>IF(AND(D156="",E156=""),"",IF(E156="",D156,E156))</f>
        <v/>
      </c>
    </row>
    <row r="157">
      <c r="A157" s="5" t="n"/>
      <c r="B157" s="5" t="n"/>
      <c r="C157" s="5" t="n"/>
      <c r="D157" s="17" t="n"/>
      <c r="E157" s="17" t="n"/>
      <c r="F157" s="17" t="n"/>
      <c r="G157" s="13" t="str">
        <f>IF(AND(D157="",E157=""),"",IF(E157="",D157,E157)-N(F157))</f>
        <v/>
      </c>
      <c r="H157" s="13" t="str">
        <f>IF(OR(D157="",E157=""),"",E157-D157)</f>
        <v/>
      </c>
      <c r="I157" s="14" t="str">
        <f>IF(H157="","",IFERROR(H157/D157,0))</f>
        <v/>
      </c>
      <c r="J157" s="15" t="n"/>
      <c r="K157" s="16" t="str">
        <f>IF(AND(D157="",E157=""),"",IF(N(G157)&lt;=0,"Fully paid",IF(N(H157)&gt;0,"Over budget","On budget")))</f>
        <v/>
      </c>
      <c r="L157" s="5" t="n"/>
      <c r="M157" s="13" t="str">
        <f>IF(AND(D157="",E157=""),"",IF(E157="",D157,E157))</f>
        <v/>
      </c>
    </row>
    <row r="158">
      <c r="A158" s="5" t="n"/>
      <c r="B158" s="5" t="n"/>
      <c r="C158" s="5" t="n"/>
      <c r="D158" s="17" t="n"/>
      <c r="E158" s="17" t="n"/>
      <c r="F158" s="17" t="n"/>
      <c r="G158" s="13" t="str">
        <f>IF(AND(D158="",E158=""),"",IF(E158="",D158,E158)-N(F158))</f>
        <v/>
      </c>
      <c r="H158" s="13" t="str">
        <f>IF(OR(D158="",E158=""),"",E158-D158)</f>
        <v/>
      </c>
      <c r="I158" s="14" t="str">
        <f>IF(H158="","",IFERROR(H158/D158,0))</f>
        <v/>
      </c>
      <c r="J158" s="15" t="n"/>
      <c r="K158" s="16" t="str">
        <f>IF(AND(D158="",E158=""),"",IF(N(G158)&lt;=0,"Fully paid",IF(N(H158)&gt;0,"Over budget","On budget")))</f>
        <v/>
      </c>
      <c r="L158" s="5" t="n"/>
      <c r="M158" s="13" t="str">
        <f>IF(AND(D158="",E158=""),"",IF(E158="",D158,E158))</f>
        <v/>
      </c>
    </row>
    <row r="159">
      <c r="A159" s="5" t="n"/>
      <c r="B159" s="5" t="n"/>
      <c r="C159" s="5" t="n"/>
      <c r="D159" s="17" t="n"/>
      <c r="E159" s="17" t="n"/>
      <c r="F159" s="17" t="n"/>
      <c r="G159" s="13" t="str">
        <f>IF(AND(D159="",E159=""),"",IF(E159="",D159,E159)-N(F159))</f>
        <v/>
      </c>
      <c r="H159" s="13" t="str">
        <f>IF(OR(D159="",E159=""),"",E159-D159)</f>
        <v/>
      </c>
      <c r="I159" s="14" t="str">
        <f>IF(H159="","",IFERROR(H159/D159,0))</f>
        <v/>
      </c>
      <c r="J159" s="15" t="n"/>
      <c r="K159" s="16" t="str">
        <f>IF(AND(D159="",E159=""),"",IF(N(G159)&lt;=0,"Fully paid",IF(N(H159)&gt;0,"Over budget","On budget")))</f>
        <v/>
      </c>
      <c r="L159" s="5" t="n"/>
      <c r="M159" s="13" t="str">
        <f>IF(AND(D159="",E159=""),"",IF(E159="",D159,E159))</f>
        <v/>
      </c>
    </row>
    <row r="160">
      <c r="A160" s="5" t="n"/>
      <c r="B160" s="5" t="n"/>
      <c r="C160" s="5" t="n"/>
      <c r="D160" s="17" t="n"/>
      <c r="E160" s="17" t="n"/>
      <c r="F160" s="17" t="n"/>
      <c r="G160" s="13" t="str">
        <f>IF(AND(D160="",E160=""),"",IF(E160="",D160,E160)-N(F160))</f>
        <v/>
      </c>
      <c r="H160" s="13" t="str">
        <f>IF(OR(D160="",E160=""),"",E160-D160)</f>
        <v/>
      </c>
      <c r="I160" s="14" t="str">
        <f>IF(H160="","",IFERROR(H160/D160,0))</f>
        <v/>
      </c>
      <c r="J160" s="15" t="n"/>
      <c r="K160" s="16" t="str">
        <f>IF(AND(D160="",E160=""),"",IF(N(G160)&lt;=0,"Fully paid",IF(N(H160)&gt;0,"Over budget","On budget")))</f>
        <v/>
      </c>
      <c r="L160" s="5" t="n"/>
      <c r="M160" s="13" t="str">
        <f>IF(AND(D160="",E160=""),"",IF(E160="",D160,E160))</f>
        <v/>
      </c>
    </row>
    <row r="161">
      <c r="A161" s="5" t="n"/>
      <c r="B161" s="5" t="n"/>
      <c r="C161" s="5" t="n"/>
      <c r="D161" s="17" t="n"/>
      <c r="E161" s="17" t="n"/>
      <c r="F161" s="17" t="n"/>
      <c r="G161" s="13" t="str">
        <f>IF(AND(D161="",E161=""),"",IF(E161="",D161,E161)-N(F161))</f>
        <v/>
      </c>
      <c r="H161" s="13" t="str">
        <f>IF(OR(D161="",E161=""),"",E161-D161)</f>
        <v/>
      </c>
      <c r="I161" s="14" t="str">
        <f>IF(H161="","",IFERROR(H161/D161,0))</f>
        <v/>
      </c>
      <c r="J161" s="15" t="n"/>
      <c r="K161" s="16" t="str">
        <f>IF(AND(D161="",E161=""),"",IF(N(G161)&lt;=0,"Fully paid",IF(N(H161)&gt;0,"Over budget","On budget")))</f>
        <v/>
      </c>
      <c r="L161" s="5" t="n"/>
      <c r="M161" s="13" t="str">
        <f>IF(AND(D161="",E161=""),"",IF(E161="",D161,E161))</f>
        <v/>
      </c>
    </row>
    <row r="162">
      <c r="A162" s="5" t="n"/>
      <c r="B162" s="5" t="n"/>
      <c r="C162" s="5" t="n"/>
      <c r="D162" s="17" t="n"/>
      <c r="E162" s="17" t="n"/>
      <c r="F162" s="17" t="n"/>
      <c r="G162" s="13" t="str">
        <f>IF(AND(D162="",E162=""),"",IF(E162="",D162,E162)-N(F162))</f>
        <v/>
      </c>
      <c r="H162" s="13" t="str">
        <f>IF(OR(D162="",E162=""),"",E162-D162)</f>
        <v/>
      </c>
      <c r="I162" s="14" t="str">
        <f>IF(H162="","",IFERROR(H162/D162,0))</f>
        <v/>
      </c>
      <c r="J162" s="15" t="n"/>
      <c r="K162" s="16" t="str">
        <f>IF(AND(D162="",E162=""),"",IF(N(G162)&lt;=0,"Fully paid",IF(N(H162)&gt;0,"Over budget","On budget")))</f>
        <v/>
      </c>
      <c r="L162" s="5" t="n"/>
      <c r="M162" s="13" t="str">
        <f>IF(AND(D162="",E162=""),"",IF(E162="",D162,E162))</f>
        <v/>
      </c>
    </row>
    <row r="163">
      <c r="A163" s="5" t="n"/>
      <c r="B163" s="5" t="n"/>
      <c r="C163" s="5" t="n"/>
      <c r="D163" s="17" t="n"/>
      <c r="E163" s="17" t="n"/>
      <c r="F163" s="17" t="n"/>
      <c r="G163" s="13" t="str">
        <f>IF(AND(D163="",E163=""),"",IF(E163="",D163,E163)-N(F163))</f>
        <v/>
      </c>
      <c r="H163" s="13" t="str">
        <f>IF(OR(D163="",E163=""),"",E163-D163)</f>
        <v/>
      </c>
      <c r="I163" s="14" t="str">
        <f>IF(H163="","",IFERROR(H163/D163,0))</f>
        <v/>
      </c>
      <c r="J163" s="15" t="n"/>
      <c r="K163" s="16" t="str">
        <f>IF(AND(D163="",E163=""),"",IF(N(G163)&lt;=0,"Fully paid",IF(N(H163)&gt;0,"Over budget","On budget")))</f>
        <v/>
      </c>
      <c r="L163" s="5" t="n"/>
      <c r="M163" s="13" t="str">
        <f>IF(AND(D163="",E163=""),"",IF(E163="",D163,E163))</f>
        <v/>
      </c>
    </row>
    <row r="164">
      <c r="A164" s="5" t="n"/>
      <c r="B164" s="5" t="n"/>
      <c r="C164" s="5" t="n"/>
      <c r="D164" s="17" t="n"/>
      <c r="E164" s="17" t="n"/>
      <c r="F164" s="17" t="n"/>
      <c r="G164" s="13" t="str">
        <f>IF(AND(D164="",E164=""),"",IF(E164="",D164,E164)-N(F164))</f>
        <v/>
      </c>
      <c r="H164" s="13" t="str">
        <f>IF(OR(D164="",E164=""),"",E164-D164)</f>
        <v/>
      </c>
      <c r="I164" s="14" t="str">
        <f>IF(H164="","",IFERROR(H164/D164,0))</f>
        <v/>
      </c>
      <c r="J164" s="15" t="n"/>
      <c r="K164" s="16" t="str">
        <f>IF(AND(D164="",E164=""),"",IF(N(G164)&lt;=0,"Fully paid",IF(N(H164)&gt;0,"Over budget","On budget")))</f>
        <v/>
      </c>
      <c r="L164" s="5" t="n"/>
      <c r="M164" s="13" t="str">
        <f>IF(AND(D164="",E164=""),"",IF(E164="",D164,E164))</f>
        <v/>
      </c>
    </row>
    <row r="165">
      <c r="A165" s="5" t="n"/>
      <c r="B165" s="5" t="n"/>
      <c r="C165" s="5" t="n"/>
      <c r="D165" s="17" t="n"/>
      <c r="E165" s="17" t="n"/>
      <c r="F165" s="17" t="n"/>
      <c r="G165" s="13" t="str">
        <f>IF(AND(D165="",E165=""),"",IF(E165="",D165,E165)-N(F165))</f>
        <v/>
      </c>
      <c r="H165" s="13" t="str">
        <f>IF(OR(D165="",E165=""),"",E165-D165)</f>
        <v/>
      </c>
      <c r="I165" s="14" t="str">
        <f>IF(H165="","",IFERROR(H165/D165,0))</f>
        <v/>
      </c>
      <c r="J165" s="15" t="n"/>
      <c r="K165" s="16" t="str">
        <f>IF(AND(D165="",E165=""),"",IF(N(G165)&lt;=0,"Fully paid",IF(N(H165)&gt;0,"Over budget","On budget")))</f>
        <v/>
      </c>
      <c r="L165" s="5" t="n"/>
      <c r="M165" s="13" t="str">
        <f>IF(AND(D165="",E165=""),"",IF(E165="",D165,E165))</f>
        <v/>
      </c>
    </row>
    <row r="166">
      <c r="A166" s="5" t="n"/>
      <c r="B166" s="5" t="n"/>
      <c r="C166" s="5" t="n"/>
      <c r="D166" s="17" t="n"/>
      <c r="E166" s="17" t="n"/>
      <c r="F166" s="17" t="n"/>
      <c r="G166" s="13" t="str">
        <f>IF(AND(D166="",E166=""),"",IF(E166="",D166,E166)-N(F166))</f>
        <v/>
      </c>
      <c r="H166" s="13" t="str">
        <f>IF(OR(D166="",E166=""),"",E166-D166)</f>
        <v/>
      </c>
      <c r="I166" s="14" t="str">
        <f>IF(H166="","",IFERROR(H166/D166,0))</f>
        <v/>
      </c>
      <c r="J166" s="15" t="n"/>
      <c r="K166" s="16" t="str">
        <f>IF(AND(D166="",E166=""),"",IF(N(G166)&lt;=0,"Fully paid",IF(N(H166)&gt;0,"Over budget","On budget")))</f>
        <v/>
      </c>
      <c r="L166" s="5" t="n"/>
      <c r="M166" s="13" t="str">
        <f>IF(AND(D166="",E166=""),"",IF(E166="",D166,E166))</f>
        <v/>
      </c>
    </row>
    <row r="167">
      <c r="A167" s="5" t="n"/>
      <c r="B167" s="5" t="n"/>
      <c r="C167" s="5" t="n"/>
      <c r="D167" s="17" t="n"/>
      <c r="E167" s="17" t="n"/>
      <c r="F167" s="17" t="n"/>
      <c r="G167" s="13" t="str">
        <f>IF(AND(D167="",E167=""),"",IF(E167="",D167,E167)-N(F167))</f>
        <v/>
      </c>
      <c r="H167" s="13" t="str">
        <f>IF(OR(D167="",E167=""),"",E167-D167)</f>
        <v/>
      </c>
      <c r="I167" s="14" t="str">
        <f>IF(H167="","",IFERROR(H167/D167,0))</f>
        <v/>
      </c>
      <c r="J167" s="15" t="n"/>
      <c r="K167" s="16" t="str">
        <f>IF(AND(D167="",E167=""),"",IF(N(G167)&lt;=0,"Fully paid",IF(N(H167)&gt;0,"Over budget","On budget")))</f>
        <v/>
      </c>
      <c r="L167" s="5" t="n"/>
      <c r="M167" s="13" t="str">
        <f>IF(AND(D167="",E167=""),"",IF(E167="",D167,E167))</f>
        <v/>
      </c>
    </row>
    <row r="168">
      <c r="A168" s="5" t="n"/>
      <c r="B168" s="5" t="n"/>
      <c r="C168" s="5" t="n"/>
      <c r="D168" s="17" t="n"/>
      <c r="E168" s="17" t="n"/>
      <c r="F168" s="17" t="n"/>
      <c r="G168" s="13" t="str">
        <f>IF(AND(D168="",E168=""),"",IF(E168="",D168,E168)-N(F168))</f>
        <v/>
      </c>
      <c r="H168" s="13" t="str">
        <f>IF(OR(D168="",E168=""),"",E168-D168)</f>
        <v/>
      </c>
      <c r="I168" s="14" t="str">
        <f>IF(H168="","",IFERROR(H168/D168,0))</f>
        <v/>
      </c>
      <c r="J168" s="15" t="n"/>
      <c r="K168" s="16" t="str">
        <f>IF(AND(D168="",E168=""),"",IF(N(G168)&lt;=0,"Fully paid",IF(N(H168)&gt;0,"Over budget","On budget")))</f>
        <v/>
      </c>
      <c r="L168" s="5" t="n"/>
      <c r="M168" s="13" t="str">
        <f>IF(AND(D168="",E168=""),"",IF(E168="",D168,E168))</f>
        <v/>
      </c>
    </row>
    <row r="169">
      <c r="A169" s="5" t="n"/>
      <c r="B169" s="5" t="n"/>
      <c r="C169" s="5" t="n"/>
      <c r="D169" s="17" t="n"/>
      <c r="E169" s="17" t="n"/>
      <c r="F169" s="17" t="n"/>
      <c r="G169" s="13" t="str">
        <f>IF(AND(D169="",E169=""),"",IF(E169="",D169,E169)-N(F169))</f>
        <v/>
      </c>
      <c r="H169" s="13" t="str">
        <f>IF(OR(D169="",E169=""),"",E169-D169)</f>
        <v/>
      </c>
      <c r="I169" s="14" t="str">
        <f>IF(H169="","",IFERROR(H169/D169,0))</f>
        <v/>
      </c>
      <c r="J169" s="15" t="n"/>
      <c r="K169" s="16" t="str">
        <f>IF(AND(D169="",E169=""),"",IF(N(G169)&lt;=0,"Fully paid",IF(N(H169)&gt;0,"Over budget","On budget")))</f>
        <v/>
      </c>
      <c r="L169" s="5" t="n"/>
      <c r="M169" s="13" t="str">
        <f>IF(AND(D169="",E169=""),"",IF(E169="",D169,E169))</f>
        <v/>
      </c>
    </row>
    <row r="170">
      <c r="A170" s="5" t="n"/>
      <c r="B170" s="5" t="n"/>
      <c r="C170" s="5" t="n"/>
      <c r="D170" s="17" t="n"/>
      <c r="E170" s="17" t="n"/>
      <c r="F170" s="17" t="n"/>
      <c r="G170" s="13" t="str">
        <f>IF(AND(D170="",E170=""),"",IF(E170="",D170,E170)-N(F170))</f>
        <v/>
      </c>
      <c r="H170" s="13" t="str">
        <f>IF(OR(D170="",E170=""),"",E170-D170)</f>
        <v/>
      </c>
      <c r="I170" s="14" t="str">
        <f>IF(H170="","",IFERROR(H170/D170,0))</f>
        <v/>
      </c>
      <c r="J170" s="15" t="n"/>
      <c r="K170" s="16" t="str">
        <f>IF(AND(D170="",E170=""),"",IF(N(G170)&lt;=0,"Fully paid",IF(N(H170)&gt;0,"Over budget","On budget")))</f>
        <v/>
      </c>
      <c r="L170" s="5" t="n"/>
      <c r="M170" s="13" t="str">
        <f>IF(AND(D170="",E170=""),"",IF(E170="",D170,E170))</f>
        <v/>
      </c>
    </row>
    <row r="171">
      <c r="A171" s="5" t="n"/>
      <c r="B171" s="5" t="n"/>
      <c r="C171" s="5" t="n"/>
      <c r="D171" s="17" t="n"/>
      <c r="E171" s="17" t="n"/>
      <c r="F171" s="17" t="n"/>
      <c r="G171" s="13" t="str">
        <f>IF(AND(D171="",E171=""),"",IF(E171="",D171,E171)-N(F171))</f>
        <v/>
      </c>
      <c r="H171" s="13" t="str">
        <f>IF(OR(D171="",E171=""),"",E171-D171)</f>
        <v/>
      </c>
      <c r="I171" s="14" t="str">
        <f>IF(H171="","",IFERROR(H171/D171,0))</f>
        <v/>
      </c>
      <c r="J171" s="15" t="n"/>
      <c r="K171" s="16" t="str">
        <f>IF(AND(D171="",E171=""),"",IF(N(G171)&lt;=0,"Fully paid",IF(N(H171)&gt;0,"Over budget","On budget")))</f>
        <v/>
      </c>
      <c r="L171" s="5" t="n"/>
      <c r="M171" s="13" t="str">
        <f>IF(AND(D171="",E171=""),"",IF(E171="",D171,E171))</f>
        <v/>
      </c>
    </row>
    <row r="172">
      <c r="A172" s="5" t="n"/>
      <c r="B172" s="5" t="n"/>
      <c r="C172" s="5" t="n"/>
      <c r="D172" s="17" t="n"/>
      <c r="E172" s="17" t="n"/>
      <c r="F172" s="17" t="n"/>
      <c r="G172" s="13" t="str">
        <f>IF(AND(D172="",E172=""),"",IF(E172="",D172,E172)-N(F172))</f>
        <v/>
      </c>
      <c r="H172" s="13" t="str">
        <f>IF(OR(D172="",E172=""),"",E172-D172)</f>
        <v/>
      </c>
      <c r="I172" s="14" t="str">
        <f>IF(H172="","",IFERROR(H172/D172,0))</f>
        <v/>
      </c>
      <c r="J172" s="15" t="n"/>
      <c r="K172" s="16" t="str">
        <f>IF(AND(D172="",E172=""),"",IF(N(G172)&lt;=0,"Fully paid",IF(N(H172)&gt;0,"Over budget","On budget")))</f>
        <v/>
      </c>
      <c r="L172" s="5" t="n"/>
      <c r="M172" s="13" t="str">
        <f>IF(AND(D172="",E172=""),"",IF(E172="",D172,E172))</f>
        <v/>
      </c>
    </row>
    <row r="173">
      <c r="A173" s="5" t="n"/>
      <c r="B173" s="5" t="n"/>
      <c r="C173" s="5" t="n"/>
      <c r="D173" s="17" t="n"/>
      <c r="E173" s="17" t="n"/>
      <c r="F173" s="17" t="n"/>
      <c r="G173" s="13" t="str">
        <f>IF(AND(D173="",E173=""),"",IF(E173="",D173,E173)-N(F173))</f>
        <v/>
      </c>
      <c r="H173" s="13" t="str">
        <f>IF(OR(D173="",E173=""),"",E173-D173)</f>
        <v/>
      </c>
      <c r="I173" s="14" t="str">
        <f>IF(H173="","",IFERROR(H173/D173,0))</f>
        <v/>
      </c>
      <c r="J173" s="15" t="n"/>
      <c r="K173" s="16" t="str">
        <f>IF(AND(D173="",E173=""),"",IF(N(G173)&lt;=0,"Fully paid",IF(N(H173)&gt;0,"Over budget","On budget")))</f>
        <v/>
      </c>
      <c r="L173" s="5" t="n"/>
      <c r="M173" s="13" t="str">
        <f>IF(AND(D173="",E173=""),"",IF(E173="",D173,E173))</f>
        <v/>
      </c>
    </row>
    <row r="174">
      <c r="A174" s="5" t="n"/>
      <c r="B174" s="5" t="n"/>
      <c r="C174" s="5" t="n"/>
      <c r="D174" s="17" t="n"/>
      <c r="E174" s="17" t="n"/>
      <c r="F174" s="17" t="n"/>
      <c r="G174" s="13" t="str">
        <f>IF(AND(D174="",E174=""),"",IF(E174="",D174,E174)-N(F174))</f>
        <v/>
      </c>
      <c r="H174" s="13" t="str">
        <f>IF(OR(D174="",E174=""),"",E174-D174)</f>
        <v/>
      </c>
      <c r="I174" s="14" t="str">
        <f>IF(H174="","",IFERROR(H174/D174,0))</f>
        <v/>
      </c>
      <c r="J174" s="15" t="n"/>
      <c r="K174" s="16" t="str">
        <f>IF(AND(D174="",E174=""),"",IF(N(G174)&lt;=0,"Fully paid",IF(N(H174)&gt;0,"Over budget","On budget")))</f>
        <v/>
      </c>
      <c r="L174" s="5" t="n"/>
      <c r="M174" s="13" t="str">
        <f>IF(AND(D174="",E174=""),"",IF(E174="",D174,E174))</f>
        <v/>
      </c>
    </row>
    <row r="175">
      <c r="A175" s="5" t="n"/>
      <c r="B175" s="5" t="n"/>
      <c r="C175" s="5" t="n"/>
      <c r="D175" s="17" t="n"/>
      <c r="E175" s="17" t="n"/>
      <c r="F175" s="17" t="n"/>
      <c r="G175" s="13" t="str">
        <f>IF(AND(D175="",E175=""),"",IF(E175="",D175,E175)-N(F175))</f>
        <v/>
      </c>
      <c r="H175" s="13" t="str">
        <f>IF(OR(D175="",E175=""),"",E175-D175)</f>
        <v/>
      </c>
      <c r="I175" s="14" t="str">
        <f>IF(H175="","",IFERROR(H175/D175,0))</f>
        <v/>
      </c>
      <c r="J175" s="15" t="n"/>
      <c r="K175" s="16" t="str">
        <f>IF(AND(D175="",E175=""),"",IF(N(G175)&lt;=0,"Fully paid",IF(N(H175)&gt;0,"Over budget","On budget")))</f>
        <v/>
      </c>
      <c r="L175" s="5" t="n"/>
      <c r="M175" s="13" t="str">
        <f>IF(AND(D175="",E175=""),"",IF(E175="",D175,E175))</f>
        <v/>
      </c>
    </row>
    <row r="176">
      <c r="A176" s="5" t="n"/>
      <c r="B176" s="5" t="n"/>
      <c r="C176" s="5" t="n"/>
      <c r="D176" s="17" t="n"/>
      <c r="E176" s="17" t="n"/>
      <c r="F176" s="17" t="n"/>
      <c r="G176" s="13" t="str">
        <f>IF(AND(D176="",E176=""),"",IF(E176="",D176,E176)-N(F176))</f>
        <v/>
      </c>
      <c r="H176" s="13" t="str">
        <f>IF(OR(D176="",E176=""),"",E176-D176)</f>
        <v/>
      </c>
      <c r="I176" s="14" t="str">
        <f>IF(H176="","",IFERROR(H176/D176,0))</f>
        <v/>
      </c>
      <c r="J176" s="15" t="n"/>
      <c r="K176" s="16" t="str">
        <f>IF(AND(D176="",E176=""),"",IF(N(G176)&lt;=0,"Fully paid",IF(N(H176)&gt;0,"Over budget","On budget")))</f>
        <v/>
      </c>
      <c r="L176" s="5" t="n"/>
      <c r="M176" s="13" t="str">
        <f>IF(AND(D176="",E176=""),"",IF(E176="",D176,E176))</f>
        <v/>
      </c>
    </row>
    <row r="177">
      <c r="A177" s="5" t="n"/>
      <c r="B177" s="5" t="n"/>
      <c r="C177" s="5" t="n"/>
      <c r="D177" s="17" t="n"/>
      <c r="E177" s="17" t="n"/>
      <c r="F177" s="17" t="n"/>
      <c r="G177" s="13" t="str">
        <f>IF(AND(D177="",E177=""),"",IF(E177="",D177,E177)-N(F177))</f>
        <v/>
      </c>
      <c r="H177" s="13" t="str">
        <f>IF(OR(D177="",E177=""),"",E177-D177)</f>
        <v/>
      </c>
      <c r="I177" s="14" t="str">
        <f>IF(H177="","",IFERROR(H177/D177,0))</f>
        <v/>
      </c>
      <c r="J177" s="15" t="n"/>
      <c r="K177" s="16" t="str">
        <f>IF(AND(D177="",E177=""),"",IF(N(G177)&lt;=0,"Fully paid",IF(N(H177)&gt;0,"Over budget","On budget")))</f>
        <v/>
      </c>
      <c r="L177" s="5" t="n"/>
      <c r="M177" s="13" t="str">
        <f>IF(AND(D177="",E177=""),"",IF(E177="",D177,E177))</f>
        <v/>
      </c>
    </row>
    <row r="178">
      <c r="A178" s="5" t="n"/>
      <c r="B178" s="5" t="n"/>
      <c r="C178" s="5" t="n"/>
      <c r="D178" s="17" t="n"/>
      <c r="E178" s="17" t="n"/>
      <c r="F178" s="17" t="n"/>
      <c r="G178" s="13" t="str">
        <f>IF(AND(D178="",E178=""),"",IF(E178="",D178,E178)-N(F178))</f>
        <v/>
      </c>
      <c r="H178" s="13" t="str">
        <f>IF(OR(D178="",E178=""),"",E178-D178)</f>
        <v/>
      </c>
      <c r="I178" s="14" t="str">
        <f>IF(H178="","",IFERROR(H178/D178,0))</f>
        <v/>
      </c>
      <c r="J178" s="15" t="n"/>
      <c r="K178" s="16" t="str">
        <f>IF(AND(D178="",E178=""),"",IF(N(G178)&lt;=0,"Fully paid",IF(N(H178)&gt;0,"Over budget","On budget")))</f>
        <v/>
      </c>
      <c r="L178" s="5" t="n"/>
      <c r="M178" s="13" t="str">
        <f>IF(AND(D178="",E178=""),"",IF(E178="",D178,E178))</f>
        <v/>
      </c>
    </row>
    <row r="179">
      <c r="A179" s="5" t="n"/>
      <c r="B179" s="5" t="n"/>
      <c r="C179" s="5" t="n"/>
      <c r="D179" s="17" t="n"/>
      <c r="E179" s="17" t="n"/>
      <c r="F179" s="17" t="n"/>
      <c r="G179" s="13" t="str">
        <f>IF(AND(D179="",E179=""),"",IF(E179="",D179,E179)-N(F179))</f>
        <v/>
      </c>
      <c r="H179" s="13" t="str">
        <f>IF(OR(D179="",E179=""),"",E179-D179)</f>
        <v/>
      </c>
      <c r="I179" s="14" t="str">
        <f>IF(H179="","",IFERROR(H179/D179,0))</f>
        <v/>
      </c>
      <c r="J179" s="15" t="n"/>
      <c r="K179" s="16" t="str">
        <f>IF(AND(D179="",E179=""),"",IF(N(G179)&lt;=0,"Fully paid",IF(N(H179)&gt;0,"Over budget","On budget")))</f>
        <v/>
      </c>
      <c r="L179" s="5" t="n"/>
      <c r="M179" s="13" t="str">
        <f>IF(AND(D179="",E179=""),"",IF(E179="",D179,E179))</f>
        <v/>
      </c>
    </row>
    <row r="180">
      <c r="A180" s="5" t="n"/>
      <c r="B180" s="5" t="n"/>
      <c r="C180" s="5" t="n"/>
      <c r="D180" s="17" t="n"/>
      <c r="E180" s="17" t="n"/>
      <c r="F180" s="17" t="n"/>
      <c r="G180" s="13" t="str">
        <f>IF(AND(D180="",E180=""),"",IF(E180="",D180,E180)-N(F180))</f>
        <v/>
      </c>
      <c r="H180" s="13" t="str">
        <f>IF(OR(D180="",E180=""),"",E180-D180)</f>
        <v/>
      </c>
      <c r="I180" s="14" t="str">
        <f>IF(H180="","",IFERROR(H180/D180,0))</f>
        <v/>
      </c>
      <c r="J180" s="15" t="n"/>
      <c r="K180" s="16" t="str">
        <f>IF(AND(D180="",E180=""),"",IF(N(G180)&lt;=0,"Fully paid",IF(N(H180)&gt;0,"Over budget","On budget")))</f>
        <v/>
      </c>
      <c r="L180" s="5" t="n"/>
      <c r="M180" s="13" t="str">
        <f>IF(AND(D180="",E180=""),"",IF(E180="",D180,E180))</f>
        <v/>
      </c>
    </row>
    <row r="181">
      <c r="A181" s="5" t="n"/>
      <c r="B181" s="5" t="n"/>
      <c r="C181" s="5" t="n"/>
      <c r="D181" s="17" t="n"/>
      <c r="E181" s="17" t="n"/>
      <c r="F181" s="17" t="n"/>
      <c r="G181" s="13" t="str">
        <f>IF(AND(D181="",E181=""),"",IF(E181="",D181,E181)-N(F181))</f>
        <v/>
      </c>
      <c r="H181" s="13" t="str">
        <f>IF(OR(D181="",E181=""),"",E181-D181)</f>
        <v/>
      </c>
      <c r="I181" s="14" t="str">
        <f>IF(H181="","",IFERROR(H181/D181,0))</f>
        <v/>
      </c>
      <c r="J181" s="15" t="n"/>
      <c r="K181" s="16" t="str">
        <f>IF(AND(D181="",E181=""),"",IF(N(G181)&lt;=0,"Fully paid",IF(N(H181)&gt;0,"Over budget","On budget")))</f>
        <v/>
      </c>
      <c r="L181" s="5" t="n"/>
      <c r="M181" s="13" t="str">
        <f>IF(AND(D181="",E181=""),"",IF(E181="",D181,E181))</f>
        <v/>
      </c>
    </row>
    <row r="182">
      <c r="A182" s="5" t="n"/>
      <c r="B182" s="5" t="n"/>
      <c r="C182" s="5" t="n"/>
      <c r="D182" s="17" t="n"/>
      <c r="E182" s="17" t="n"/>
      <c r="F182" s="17" t="n"/>
      <c r="G182" s="13" t="str">
        <f>IF(AND(D182="",E182=""),"",IF(E182="",D182,E182)-N(F182))</f>
        <v/>
      </c>
      <c r="H182" s="13" t="str">
        <f>IF(OR(D182="",E182=""),"",E182-D182)</f>
        <v/>
      </c>
      <c r="I182" s="14" t="str">
        <f>IF(H182="","",IFERROR(H182/D182,0))</f>
        <v/>
      </c>
      <c r="J182" s="15" t="n"/>
      <c r="K182" s="16" t="str">
        <f>IF(AND(D182="",E182=""),"",IF(N(G182)&lt;=0,"Fully paid",IF(N(H182)&gt;0,"Over budget","On budget")))</f>
        <v/>
      </c>
      <c r="L182" s="5" t="n"/>
      <c r="M182" s="13" t="str">
        <f>IF(AND(D182="",E182=""),"",IF(E182="",D182,E182))</f>
        <v/>
      </c>
    </row>
    <row r="183">
      <c r="A183" s="5" t="n"/>
      <c r="B183" s="5" t="n"/>
      <c r="C183" s="5" t="n"/>
      <c r="D183" s="17" t="n"/>
      <c r="E183" s="17" t="n"/>
      <c r="F183" s="17" t="n"/>
      <c r="G183" s="13" t="str">
        <f>IF(AND(D183="",E183=""),"",IF(E183="",D183,E183)-N(F183))</f>
        <v/>
      </c>
      <c r="H183" s="13" t="str">
        <f>IF(OR(D183="",E183=""),"",E183-D183)</f>
        <v/>
      </c>
      <c r="I183" s="14" t="str">
        <f>IF(H183="","",IFERROR(H183/D183,0))</f>
        <v/>
      </c>
      <c r="J183" s="15" t="n"/>
      <c r="K183" s="16" t="str">
        <f>IF(AND(D183="",E183=""),"",IF(N(G183)&lt;=0,"Fully paid",IF(N(H183)&gt;0,"Over budget","On budget")))</f>
        <v/>
      </c>
      <c r="L183" s="5" t="n"/>
      <c r="M183" s="13" t="str">
        <f>IF(AND(D183="",E183=""),"",IF(E183="",D183,E183))</f>
        <v/>
      </c>
    </row>
    <row r="184">
      <c r="A184" s="5" t="n"/>
      <c r="B184" s="5" t="n"/>
      <c r="C184" s="5" t="n"/>
      <c r="D184" s="17" t="n"/>
      <c r="E184" s="17" t="n"/>
      <c r="F184" s="17" t="n"/>
      <c r="G184" s="13" t="str">
        <f>IF(AND(D184="",E184=""),"",IF(E184="",D184,E184)-N(F184))</f>
        <v/>
      </c>
      <c r="H184" s="13" t="str">
        <f>IF(OR(D184="",E184=""),"",E184-D184)</f>
        <v/>
      </c>
      <c r="I184" s="14" t="str">
        <f>IF(H184="","",IFERROR(H184/D184,0))</f>
        <v/>
      </c>
      <c r="J184" s="15" t="n"/>
      <c r="K184" s="16" t="str">
        <f>IF(AND(D184="",E184=""),"",IF(N(G184)&lt;=0,"Fully paid",IF(N(H184)&gt;0,"Over budget","On budget")))</f>
        <v/>
      </c>
      <c r="L184" s="5" t="n"/>
      <c r="M184" s="13" t="str">
        <f>IF(AND(D184="",E184=""),"",IF(E184="",D184,E184))</f>
        <v/>
      </c>
    </row>
    <row r="185">
      <c r="A185" s="5" t="n"/>
      <c r="B185" s="5" t="n"/>
      <c r="C185" s="5" t="n"/>
      <c r="D185" s="17" t="n"/>
      <c r="E185" s="17" t="n"/>
      <c r="F185" s="17" t="n"/>
      <c r="G185" s="13" t="str">
        <f>IF(AND(D185="",E185=""),"",IF(E185="",D185,E185)-N(F185))</f>
        <v/>
      </c>
      <c r="H185" s="13" t="str">
        <f>IF(OR(D185="",E185=""),"",E185-D185)</f>
        <v/>
      </c>
      <c r="I185" s="14" t="str">
        <f>IF(H185="","",IFERROR(H185/D185,0))</f>
        <v/>
      </c>
      <c r="J185" s="15" t="n"/>
      <c r="K185" s="16" t="str">
        <f>IF(AND(D185="",E185=""),"",IF(N(G185)&lt;=0,"Fully paid",IF(N(H185)&gt;0,"Over budget","On budget")))</f>
        <v/>
      </c>
      <c r="L185" s="5" t="n"/>
      <c r="M185" s="13" t="str">
        <f>IF(AND(D185="",E185=""),"",IF(E185="",D185,E185))</f>
        <v/>
      </c>
    </row>
    <row r="186">
      <c r="A186" s="5" t="n"/>
      <c r="B186" s="5" t="n"/>
      <c r="C186" s="5" t="n"/>
      <c r="D186" s="17" t="n"/>
      <c r="E186" s="17" t="n"/>
      <c r="F186" s="17" t="n"/>
      <c r="G186" s="13" t="str">
        <f>IF(AND(D186="",E186=""),"",IF(E186="",D186,E186)-N(F186))</f>
        <v/>
      </c>
      <c r="H186" s="13" t="str">
        <f>IF(OR(D186="",E186=""),"",E186-D186)</f>
        <v/>
      </c>
      <c r="I186" s="14" t="str">
        <f>IF(H186="","",IFERROR(H186/D186,0))</f>
        <v/>
      </c>
      <c r="J186" s="15" t="n"/>
      <c r="K186" s="16" t="str">
        <f>IF(AND(D186="",E186=""),"",IF(N(G186)&lt;=0,"Fully paid",IF(N(H186)&gt;0,"Over budget","On budget")))</f>
        <v/>
      </c>
      <c r="L186" s="5" t="n"/>
      <c r="M186" s="13" t="str">
        <f>IF(AND(D186="",E186=""),"",IF(E186="",D186,E186))</f>
        <v/>
      </c>
    </row>
    <row r="187">
      <c r="A187" s="5" t="n"/>
      <c r="B187" s="5" t="n"/>
      <c r="C187" s="5" t="n"/>
      <c r="D187" s="17" t="n"/>
      <c r="E187" s="17" t="n"/>
      <c r="F187" s="17" t="n"/>
      <c r="G187" s="13" t="str">
        <f>IF(AND(D187="",E187=""),"",IF(E187="",D187,E187)-N(F187))</f>
        <v/>
      </c>
      <c r="H187" s="13" t="str">
        <f>IF(OR(D187="",E187=""),"",E187-D187)</f>
        <v/>
      </c>
      <c r="I187" s="14" t="str">
        <f>IF(H187="","",IFERROR(H187/D187,0))</f>
        <v/>
      </c>
      <c r="J187" s="15" t="n"/>
      <c r="K187" s="16" t="str">
        <f>IF(AND(D187="",E187=""),"",IF(N(G187)&lt;=0,"Fully paid",IF(N(H187)&gt;0,"Over budget","On budget")))</f>
        <v/>
      </c>
      <c r="L187" s="5" t="n"/>
      <c r="M187" s="13" t="str">
        <f>IF(AND(D187="",E187=""),"",IF(E187="",D187,E187))</f>
        <v/>
      </c>
    </row>
    <row r="188">
      <c r="A188" s="5" t="n"/>
      <c r="B188" s="5" t="n"/>
      <c r="C188" s="5" t="n"/>
      <c r="D188" s="17" t="n"/>
      <c r="E188" s="17" t="n"/>
      <c r="F188" s="17" t="n"/>
      <c r="G188" s="13" t="str">
        <f>IF(AND(D188="",E188=""),"",IF(E188="",D188,E188)-N(F188))</f>
        <v/>
      </c>
      <c r="H188" s="13" t="str">
        <f>IF(OR(D188="",E188=""),"",E188-D188)</f>
        <v/>
      </c>
      <c r="I188" s="14" t="str">
        <f>IF(H188="","",IFERROR(H188/D188,0))</f>
        <v/>
      </c>
      <c r="J188" s="15" t="n"/>
      <c r="K188" s="16" t="str">
        <f>IF(AND(D188="",E188=""),"",IF(N(G188)&lt;=0,"Fully paid",IF(N(H188)&gt;0,"Over budget","On budget")))</f>
        <v/>
      </c>
      <c r="L188" s="5" t="n"/>
      <c r="M188" s="13" t="str">
        <f>IF(AND(D188="",E188=""),"",IF(E188="",D188,E188))</f>
        <v/>
      </c>
    </row>
    <row r="189">
      <c r="A189" s="5" t="n"/>
      <c r="B189" s="5" t="n"/>
      <c r="C189" s="5" t="n"/>
      <c r="D189" s="17" t="n"/>
      <c r="E189" s="17" t="n"/>
      <c r="F189" s="17" t="n"/>
      <c r="G189" s="13" t="str">
        <f>IF(AND(D189="",E189=""),"",IF(E189="",D189,E189)-N(F189))</f>
        <v/>
      </c>
      <c r="H189" s="13" t="str">
        <f>IF(OR(D189="",E189=""),"",E189-D189)</f>
        <v/>
      </c>
      <c r="I189" s="14" t="str">
        <f>IF(H189="","",IFERROR(H189/D189,0))</f>
        <v/>
      </c>
      <c r="J189" s="15" t="n"/>
      <c r="K189" s="16" t="str">
        <f>IF(AND(D189="",E189=""),"",IF(N(G189)&lt;=0,"Fully paid",IF(N(H189)&gt;0,"Over budget","On budget")))</f>
        <v/>
      </c>
      <c r="L189" s="5" t="n"/>
      <c r="M189" s="13" t="str">
        <f>IF(AND(D189="",E189=""),"",IF(E189="",D189,E189))</f>
        <v/>
      </c>
    </row>
    <row r="190">
      <c r="A190" s="5" t="n"/>
      <c r="B190" s="5" t="n"/>
      <c r="C190" s="5" t="n"/>
      <c r="D190" s="17" t="n"/>
      <c r="E190" s="17" t="n"/>
      <c r="F190" s="17" t="n"/>
      <c r="G190" s="13" t="str">
        <f>IF(AND(D190="",E190=""),"",IF(E190="",D190,E190)-N(F190))</f>
        <v/>
      </c>
      <c r="H190" s="13" t="str">
        <f>IF(OR(D190="",E190=""),"",E190-D190)</f>
        <v/>
      </c>
      <c r="I190" s="14" t="str">
        <f>IF(H190="","",IFERROR(H190/D190,0))</f>
        <v/>
      </c>
      <c r="J190" s="15" t="n"/>
      <c r="K190" s="16" t="str">
        <f>IF(AND(D190="",E190=""),"",IF(N(G190)&lt;=0,"Fully paid",IF(N(H190)&gt;0,"Over budget","On budget")))</f>
        <v/>
      </c>
      <c r="L190" s="5" t="n"/>
      <c r="M190" s="13" t="str">
        <f>IF(AND(D190="",E190=""),"",IF(E190="",D190,E190))</f>
        <v/>
      </c>
    </row>
    <row r="191">
      <c r="A191" s="5" t="n"/>
      <c r="B191" s="5" t="n"/>
      <c r="C191" s="5" t="n"/>
      <c r="D191" s="17" t="n"/>
      <c r="E191" s="17" t="n"/>
      <c r="F191" s="17" t="n"/>
      <c r="G191" s="13" t="str">
        <f>IF(AND(D191="",E191=""),"",IF(E191="",D191,E191)-N(F191))</f>
        <v/>
      </c>
      <c r="H191" s="13" t="str">
        <f>IF(OR(D191="",E191=""),"",E191-D191)</f>
        <v/>
      </c>
      <c r="I191" s="14" t="str">
        <f>IF(H191="","",IFERROR(H191/D191,0))</f>
        <v/>
      </c>
      <c r="J191" s="15" t="n"/>
      <c r="K191" s="16" t="str">
        <f>IF(AND(D191="",E191=""),"",IF(N(G191)&lt;=0,"Fully paid",IF(N(H191)&gt;0,"Over budget","On budget")))</f>
        <v/>
      </c>
      <c r="L191" s="5" t="n"/>
      <c r="M191" s="13" t="str">
        <f>IF(AND(D191="",E191=""),"",IF(E191="",D191,E191))</f>
        <v/>
      </c>
    </row>
    <row r="192">
      <c r="A192" s="5" t="n"/>
      <c r="B192" s="5" t="n"/>
      <c r="C192" s="5" t="n"/>
      <c r="D192" s="17" t="n"/>
      <c r="E192" s="17" t="n"/>
      <c r="F192" s="17" t="n"/>
      <c r="G192" s="13" t="str">
        <f>IF(AND(D192="",E192=""),"",IF(E192="",D192,E192)-N(F192))</f>
        <v/>
      </c>
      <c r="H192" s="13" t="str">
        <f>IF(OR(D192="",E192=""),"",E192-D192)</f>
        <v/>
      </c>
      <c r="I192" s="14" t="str">
        <f>IF(H192="","",IFERROR(H192/D192,0))</f>
        <v/>
      </c>
      <c r="J192" s="15" t="n"/>
      <c r="K192" s="16" t="str">
        <f>IF(AND(D192="",E192=""),"",IF(N(G192)&lt;=0,"Fully paid",IF(N(H192)&gt;0,"Over budget","On budget")))</f>
        <v/>
      </c>
      <c r="L192" s="5" t="n"/>
      <c r="M192" s="13" t="str">
        <f>IF(AND(D192="",E192=""),"",IF(E192="",D192,E192))</f>
        <v/>
      </c>
    </row>
    <row r="193">
      <c r="A193" s="5" t="n"/>
      <c r="B193" s="5" t="n"/>
      <c r="C193" s="5" t="n"/>
      <c r="D193" s="17" t="n"/>
      <c r="E193" s="17" t="n"/>
      <c r="F193" s="17" t="n"/>
      <c r="G193" s="13" t="str">
        <f>IF(AND(D193="",E193=""),"",IF(E193="",D193,E193)-N(F193))</f>
        <v/>
      </c>
      <c r="H193" s="13" t="str">
        <f>IF(OR(D193="",E193=""),"",E193-D193)</f>
        <v/>
      </c>
      <c r="I193" s="14" t="str">
        <f>IF(H193="","",IFERROR(H193/D193,0))</f>
        <v/>
      </c>
      <c r="J193" s="15" t="n"/>
      <c r="K193" s="16" t="str">
        <f>IF(AND(D193="",E193=""),"",IF(N(G193)&lt;=0,"Fully paid",IF(N(H193)&gt;0,"Over budget","On budget")))</f>
        <v/>
      </c>
      <c r="L193" s="5" t="n"/>
      <c r="M193" s="13" t="str">
        <f>IF(AND(D193="",E193=""),"",IF(E193="",D193,E193))</f>
        <v/>
      </c>
    </row>
    <row r="194">
      <c r="A194" s="5" t="n"/>
      <c r="B194" s="5" t="n"/>
      <c r="C194" s="5" t="n"/>
      <c r="D194" s="17" t="n"/>
      <c r="E194" s="17" t="n"/>
      <c r="F194" s="17" t="n"/>
      <c r="G194" s="13" t="str">
        <f>IF(AND(D194="",E194=""),"",IF(E194="",D194,E194)-N(F194))</f>
        <v/>
      </c>
      <c r="H194" s="13" t="str">
        <f>IF(OR(D194="",E194=""),"",E194-D194)</f>
        <v/>
      </c>
      <c r="I194" s="14" t="str">
        <f>IF(H194="","",IFERROR(H194/D194,0))</f>
        <v/>
      </c>
      <c r="J194" s="15" t="n"/>
      <c r="K194" s="16" t="str">
        <f>IF(AND(D194="",E194=""),"",IF(N(G194)&lt;=0,"Fully paid",IF(N(H194)&gt;0,"Over budget","On budget")))</f>
        <v/>
      </c>
      <c r="L194" s="5" t="n"/>
      <c r="M194" s="13" t="str">
        <f>IF(AND(D194="",E194=""),"",IF(E194="",D194,E194))</f>
        <v/>
      </c>
    </row>
    <row r="195">
      <c r="A195" s="5" t="n"/>
      <c r="B195" s="5" t="n"/>
      <c r="C195" s="5" t="n"/>
      <c r="D195" s="17" t="n"/>
      <c r="E195" s="17" t="n"/>
      <c r="F195" s="17" t="n"/>
      <c r="G195" s="13" t="str">
        <f>IF(AND(D195="",E195=""),"",IF(E195="",D195,E195)-N(F195))</f>
        <v/>
      </c>
      <c r="H195" s="13" t="str">
        <f>IF(OR(D195="",E195=""),"",E195-D195)</f>
        <v/>
      </c>
      <c r="I195" s="14" t="str">
        <f>IF(H195="","",IFERROR(H195/D195,0))</f>
        <v/>
      </c>
      <c r="J195" s="15" t="n"/>
      <c r="K195" s="16" t="str">
        <f>IF(AND(D195="",E195=""),"",IF(N(G195)&lt;=0,"Fully paid",IF(N(H195)&gt;0,"Over budget","On budget")))</f>
        <v/>
      </c>
      <c r="L195" s="5" t="n"/>
      <c r="M195" s="13" t="str">
        <f>IF(AND(D195="",E195=""),"",IF(E195="",D195,E195))</f>
        <v/>
      </c>
    </row>
    <row r="196">
      <c r="A196" s="5" t="n"/>
      <c r="B196" s="5" t="n"/>
      <c r="C196" s="5" t="n"/>
      <c r="D196" s="17" t="n"/>
      <c r="E196" s="17" t="n"/>
      <c r="F196" s="17" t="n"/>
      <c r="G196" s="13" t="str">
        <f>IF(AND(D196="",E196=""),"",IF(E196="",D196,E196)-N(F196))</f>
        <v/>
      </c>
      <c r="H196" s="13" t="str">
        <f>IF(OR(D196="",E196=""),"",E196-D196)</f>
        <v/>
      </c>
      <c r="I196" s="14" t="str">
        <f>IF(H196="","",IFERROR(H196/D196,0))</f>
        <v/>
      </c>
      <c r="J196" s="15" t="n"/>
      <c r="K196" s="16" t="str">
        <f>IF(AND(D196="",E196=""),"",IF(N(G196)&lt;=0,"Fully paid",IF(N(H196)&gt;0,"Over budget","On budget")))</f>
        <v/>
      </c>
      <c r="L196" s="5" t="n"/>
      <c r="M196" s="13" t="str">
        <f>IF(AND(D196="",E196=""),"",IF(E196="",D196,E196))</f>
        <v/>
      </c>
    </row>
    <row r="197">
      <c r="A197" s="5" t="n"/>
      <c r="B197" s="5" t="n"/>
      <c r="C197" s="5" t="n"/>
      <c r="D197" s="17" t="n"/>
      <c r="E197" s="17" t="n"/>
      <c r="F197" s="17" t="n"/>
      <c r="G197" s="13" t="str">
        <f>IF(AND(D197="",E197=""),"",IF(E197="",D197,E197)-N(F197))</f>
        <v/>
      </c>
      <c r="H197" s="13" t="str">
        <f>IF(OR(D197="",E197=""),"",E197-D197)</f>
        <v/>
      </c>
      <c r="I197" s="14" t="str">
        <f>IF(H197="","",IFERROR(H197/D197,0))</f>
        <v/>
      </c>
      <c r="J197" s="15" t="n"/>
      <c r="K197" s="16" t="str">
        <f>IF(AND(D197="",E197=""),"",IF(N(G197)&lt;=0,"Fully paid",IF(N(H197)&gt;0,"Over budget","On budget")))</f>
        <v/>
      </c>
      <c r="L197" s="5" t="n"/>
      <c r="M197" s="13" t="str">
        <f>IF(AND(D197="",E197=""),"",IF(E197="",D197,E197))</f>
        <v/>
      </c>
    </row>
    <row r="198">
      <c r="A198" s="5" t="n"/>
      <c r="B198" s="5" t="n"/>
      <c r="C198" s="5" t="n"/>
      <c r="D198" s="17" t="n"/>
      <c r="E198" s="17" t="n"/>
      <c r="F198" s="17" t="n"/>
      <c r="G198" s="13" t="str">
        <f>IF(AND(D198="",E198=""),"",IF(E198="",D198,E198)-N(F198))</f>
        <v/>
      </c>
      <c r="H198" s="13" t="str">
        <f>IF(OR(D198="",E198=""),"",E198-D198)</f>
        <v/>
      </c>
      <c r="I198" s="14" t="str">
        <f>IF(H198="","",IFERROR(H198/D198,0))</f>
        <v/>
      </c>
      <c r="J198" s="15" t="n"/>
      <c r="K198" s="16" t="str">
        <f>IF(AND(D198="",E198=""),"",IF(N(G198)&lt;=0,"Fully paid",IF(N(H198)&gt;0,"Over budget","On budget")))</f>
        <v/>
      </c>
      <c r="L198" s="5" t="n"/>
      <c r="M198" s="13" t="str">
        <f>IF(AND(D198="",E198=""),"",IF(E198="",D198,E198))</f>
        <v/>
      </c>
    </row>
    <row r="199">
      <c r="A199" s="5" t="n"/>
      <c r="B199" s="5" t="n"/>
      <c r="C199" s="5" t="n"/>
      <c r="D199" s="17" t="n"/>
      <c r="E199" s="17" t="n"/>
      <c r="F199" s="17" t="n"/>
      <c r="G199" s="13" t="str">
        <f>IF(AND(D199="",E199=""),"",IF(E199="",D199,E199)-N(F199))</f>
        <v/>
      </c>
      <c r="H199" s="13" t="str">
        <f>IF(OR(D199="",E199=""),"",E199-D199)</f>
        <v/>
      </c>
      <c r="I199" s="14" t="str">
        <f>IF(H199="","",IFERROR(H199/D199,0))</f>
        <v/>
      </c>
      <c r="J199" s="15" t="n"/>
      <c r="K199" s="16" t="str">
        <f>IF(AND(D199="",E199=""),"",IF(N(G199)&lt;=0,"Fully paid",IF(N(H199)&gt;0,"Over budget","On budget")))</f>
        <v/>
      </c>
      <c r="L199" s="5" t="n"/>
      <c r="M199" s="13" t="str">
        <f>IF(AND(D199="",E199=""),"",IF(E199="",D199,E199))</f>
        <v/>
      </c>
    </row>
    <row r="200">
      <c r="A200" s="5" t="n"/>
      <c r="B200" s="5" t="n"/>
      <c r="C200" s="5" t="n"/>
      <c r="D200" s="17" t="n"/>
      <c r="E200" s="17" t="n"/>
      <c r="F200" s="17" t="n"/>
      <c r="G200" s="13" t="str">
        <f>IF(AND(D200="",E200=""),"",IF(E200="",D200,E200)-N(F200))</f>
        <v/>
      </c>
      <c r="H200" s="13" t="str">
        <f>IF(OR(D200="",E200=""),"",E200-D200)</f>
        <v/>
      </c>
      <c r="I200" s="14" t="str">
        <f>IF(H200="","",IFERROR(H200/D200,0))</f>
        <v/>
      </c>
      <c r="J200" s="15" t="n"/>
      <c r="K200" s="16" t="str">
        <f>IF(AND(D200="",E200=""),"",IF(N(G200)&lt;=0,"Fully paid",IF(N(H200)&gt;0,"Over budget","On budget")))</f>
        <v/>
      </c>
      <c r="L200" s="5" t="n"/>
      <c r="M200" s="13" t="str">
        <f>IF(AND(D200="",E200=""),"",IF(E200="",D200,E200))</f>
        <v/>
      </c>
    </row>
    <row r="201">
      <c r="A201" s="5" t="n"/>
      <c r="B201" s="5" t="n"/>
      <c r="C201" s="5" t="n"/>
      <c r="D201" s="17" t="n"/>
      <c r="E201" s="17" t="n"/>
      <c r="F201" s="17" t="n"/>
      <c r="G201" s="13" t="str">
        <f>IF(AND(D201="",E201=""),"",IF(E201="",D201,E201)-N(F201))</f>
        <v/>
      </c>
      <c r="H201" s="13" t="str">
        <f>IF(OR(D201="",E201=""),"",E201-D201)</f>
        <v/>
      </c>
      <c r="I201" s="14" t="str">
        <f>IF(H201="","",IFERROR(H201/D201,0))</f>
        <v/>
      </c>
      <c r="J201" s="15" t="n"/>
      <c r="K201" s="16" t="str">
        <f>IF(AND(D201="",E201=""),"",IF(N(G201)&lt;=0,"Fully paid",IF(N(H201)&gt;0,"Over budget","On budget")))</f>
        <v/>
      </c>
      <c r="L201" s="5" t="n"/>
      <c r="M201" s="13" t="str">
        <f>IF(AND(D201="",E201=""),"",IF(E201="",D201,E201))</f>
        <v/>
      </c>
    </row>
    <row r="202">
      <c r="A202" s="5" t="n"/>
      <c r="B202" s="5" t="n"/>
      <c r="C202" s="5" t="n"/>
      <c r="D202" s="17" t="n"/>
      <c r="E202" s="17" t="n"/>
      <c r="F202" s="17" t="n"/>
      <c r="G202" s="13" t="str">
        <f>IF(AND(D202="",E202=""),"",IF(E202="",D202,E202)-N(F202))</f>
        <v/>
      </c>
      <c r="H202" s="13" t="str">
        <f>IF(OR(D202="",E202=""),"",E202-D202)</f>
        <v/>
      </c>
      <c r="I202" s="14" t="str">
        <f>IF(H202="","",IFERROR(H202/D202,0))</f>
        <v/>
      </c>
      <c r="J202" s="15" t="n"/>
      <c r="K202" s="16" t="str">
        <f>IF(AND(D202="",E202=""),"",IF(N(G202)&lt;=0,"Fully paid",IF(N(H202)&gt;0,"Over budget","On budget")))</f>
        <v/>
      </c>
      <c r="L202" s="5" t="n"/>
      <c r="M202" s="13" t="str">
        <f>IF(AND(D202="",E202=""),"",IF(E202="",D202,E202))</f>
        <v/>
      </c>
    </row>
    <row r="203">
      <c r="A203" s="5" t="n"/>
      <c r="B203" s="5" t="n"/>
      <c r="C203" s="5" t="n"/>
      <c r="D203" s="17" t="n"/>
      <c r="E203" s="17" t="n"/>
      <c r="F203" s="17" t="n"/>
      <c r="G203" s="13" t="str">
        <f>IF(AND(D203="",E203=""),"",IF(E203="",D203,E203)-N(F203))</f>
        <v/>
      </c>
      <c r="H203" s="13" t="str">
        <f>IF(OR(D203="",E203=""),"",E203-D203)</f>
        <v/>
      </c>
      <c r="I203" s="14" t="str">
        <f>IF(H203="","",IFERROR(H203/D203,0))</f>
        <v/>
      </c>
      <c r="J203" s="15" t="n"/>
      <c r="K203" s="16" t="str">
        <f>IF(AND(D203="",E203=""),"",IF(N(G203)&lt;=0,"Fully paid",IF(N(H203)&gt;0,"Over budget","On budget")))</f>
        <v/>
      </c>
      <c r="L203" s="5" t="n"/>
      <c r="M203" s="13" t="str">
        <f>IF(AND(D203="",E203=""),"",IF(E203="",D203,E203))</f>
        <v/>
      </c>
    </row>
    <row r="204">
      <c r="A204" s="5" t="n"/>
      <c r="B204" s="5" t="n"/>
      <c r="C204" s="5" t="n"/>
      <c r="D204" s="17" t="n"/>
      <c r="E204" s="17" t="n"/>
      <c r="F204" s="17" t="n"/>
      <c r="G204" s="13" t="str">
        <f>IF(AND(D204="",E204=""),"",IF(E204="",D204,E204)-N(F204))</f>
        <v/>
      </c>
      <c r="H204" s="13" t="str">
        <f>IF(OR(D204="",E204=""),"",E204-D204)</f>
        <v/>
      </c>
      <c r="I204" s="14" t="str">
        <f>IF(H204="","",IFERROR(H204/D204,0))</f>
        <v/>
      </c>
      <c r="J204" s="15" t="n"/>
      <c r="K204" s="16" t="str">
        <f>IF(AND(D204="",E204=""),"",IF(N(G204)&lt;=0,"Fully paid",IF(N(H204)&gt;0,"Over budget","On budget")))</f>
        <v/>
      </c>
      <c r="L204" s="5" t="n"/>
      <c r="M204" s="13" t="str">
        <f>IF(AND(D204="",E204=""),"",IF(E204="",D204,E204))</f>
        <v/>
      </c>
    </row>
    <row r="205">
      <c r="A205" s="5" t="n"/>
      <c r="B205" s="5" t="n"/>
      <c r="C205" s="5" t="n"/>
      <c r="D205" s="17" t="n"/>
      <c r="E205" s="17" t="n"/>
      <c r="F205" s="17" t="n"/>
      <c r="G205" s="13" t="str">
        <f>IF(AND(D205="",E205=""),"",IF(E205="",D205,E205)-N(F205))</f>
        <v/>
      </c>
      <c r="H205" s="13" t="str">
        <f>IF(OR(D205="",E205=""),"",E205-D205)</f>
        <v/>
      </c>
      <c r="I205" s="14" t="str">
        <f>IF(H205="","",IFERROR(H205/D205,0))</f>
        <v/>
      </c>
      <c r="J205" s="15" t="n"/>
      <c r="K205" s="16" t="str">
        <f>IF(AND(D205="",E205=""),"",IF(N(G205)&lt;=0,"Fully paid",IF(N(H205)&gt;0,"Over budget","On budget")))</f>
        <v/>
      </c>
      <c r="L205" s="5" t="n"/>
      <c r="M205" s="13" t="str">
        <f>IF(AND(D205="",E205=""),"",IF(E205="",D205,E205))</f>
        <v/>
      </c>
    </row>
    <row r="206">
      <c r="A206" s="5" t="n"/>
      <c r="B206" s="5" t="n"/>
      <c r="C206" s="5" t="n"/>
      <c r="D206" s="17" t="n"/>
      <c r="E206" s="17" t="n"/>
      <c r="F206" s="17" t="n"/>
      <c r="G206" s="13" t="str">
        <f>IF(AND(D206="",E206=""),"",IF(E206="",D206,E206)-N(F206))</f>
        <v/>
      </c>
      <c r="H206" s="13" t="str">
        <f>IF(OR(D206="",E206=""),"",E206-D206)</f>
        <v/>
      </c>
      <c r="I206" s="14" t="str">
        <f>IF(H206="","",IFERROR(H206/D206,0))</f>
        <v/>
      </c>
      <c r="J206" s="15" t="n"/>
      <c r="K206" s="16" t="str">
        <f>IF(AND(D206="",E206=""),"",IF(N(G206)&lt;=0,"Fully paid",IF(N(H206)&gt;0,"Over budget","On budget")))</f>
        <v/>
      </c>
      <c r="L206" s="5" t="n"/>
      <c r="M206" s="13" t="str">
        <f>IF(AND(D206="",E206=""),"",IF(E206="",D206,E206))</f>
        <v/>
      </c>
    </row>
    <row r="207">
      <c r="A207" s="5" t="n"/>
      <c r="B207" s="5" t="n"/>
      <c r="C207" s="5" t="n"/>
      <c r="D207" s="17" t="n"/>
      <c r="E207" s="17" t="n"/>
      <c r="F207" s="17" t="n"/>
      <c r="G207" s="13" t="str">
        <f>IF(AND(D207="",E207=""),"",IF(E207="",D207,E207)-N(F207))</f>
        <v/>
      </c>
      <c r="H207" s="13" t="str">
        <f>IF(OR(D207="",E207=""),"",E207-D207)</f>
        <v/>
      </c>
      <c r="I207" s="14" t="str">
        <f>IF(H207="","",IFERROR(H207/D207,0))</f>
        <v/>
      </c>
      <c r="J207" s="15" t="n"/>
      <c r="K207" s="16" t="str">
        <f>IF(AND(D207="",E207=""),"",IF(N(G207)&lt;=0,"Fully paid",IF(N(H207)&gt;0,"Over budget","On budget")))</f>
        <v/>
      </c>
      <c r="L207" s="5" t="n"/>
      <c r="M207" s="13" t="str">
        <f>IF(AND(D207="",E207=""),"",IF(E207="",D207,E207))</f>
        <v/>
      </c>
    </row>
    <row r="208">
      <c r="A208" s="5" t="n"/>
      <c r="B208" s="5" t="n"/>
      <c r="C208" s="5" t="n"/>
      <c r="D208" s="17" t="n"/>
      <c r="E208" s="17" t="n"/>
      <c r="F208" s="17" t="n"/>
      <c r="G208" s="13" t="str">
        <f>IF(AND(D208="",E208=""),"",IF(E208="",D208,E208)-N(F208))</f>
        <v/>
      </c>
      <c r="H208" s="13" t="str">
        <f>IF(OR(D208="",E208=""),"",E208-D208)</f>
        <v/>
      </c>
      <c r="I208" s="14" t="str">
        <f>IF(H208="","",IFERROR(H208/D208,0))</f>
        <v/>
      </c>
      <c r="J208" s="15" t="n"/>
      <c r="K208" s="16" t="str">
        <f>IF(AND(D208="",E208=""),"",IF(N(G208)&lt;=0,"Fully paid",IF(N(H208)&gt;0,"Over budget","On budget")))</f>
        <v/>
      </c>
      <c r="L208" s="5" t="n"/>
      <c r="M208" s="13" t="str">
        <f>IF(AND(D208="",E208=""),"",IF(E208="",D208,E208))</f>
        <v/>
      </c>
    </row>
    <row r="209">
      <c r="A209" s="5" t="n"/>
      <c r="B209" s="5" t="n"/>
      <c r="C209" s="5" t="n"/>
      <c r="D209" s="17" t="n"/>
      <c r="E209" s="17" t="n"/>
      <c r="F209" s="17" t="n"/>
      <c r="G209" s="13" t="str">
        <f>IF(AND(D209="",E209=""),"",IF(E209="",D209,E209)-N(F209))</f>
        <v/>
      </c>
      <c r="H209" s="13" t="str">
        <f>IF(OR(D209="",E209=""),"",E209-D209)</f>
        <v/>
      </c>
      <c r="I209" s="14" t="str">
        <f>IF(H209="","",IFERROR(H209/D209,0))</f>
        <v/>
      </c>
      <c r="J209" s="15" t="n"/>
      <c r="K209" s="16" t="str">
        <f>IF(AND(D209="",E209=""),"",IF(N(G209)&lt;=0,"Fully paid",IF(N(H209)&gt;0,"Over budget","On budget")))</f>
        <v/>
      </c>
      <c r="L209" s="5" t="n"/>
      <c r="M209" s="13" t="str">
        <f>IF(AND(D209="",E209=""),"",IF(E209="",D209,E209))</f>
        <v/>
      </c>
    </row>
  </sheetData>
  <mergeCells count="2">
    <mergeCell ref="A2:L2"/>
    <mergeCell ref="A1:L1"/>
  </mergeCells>
  <conditionalFormatting sqref="E7">
    <cfRule type="cellIs" priority="1" operator="lessThan" dxfId="0">
      <formula>0</formula>
    </cfRule>
  </conditionalFormatting>
  <conditionalFormatting sqref="K4">
    <cfRule type="cellIs" priority="2" operator="lessThan" dxfId="0">
      <formula>0</formula>
    </cfRule>
  </conditionalFormatting>
  <conditionalFormatting sqref="K10:K209">
    <cfRule type="expression" priority="3" dxfId="1">
      <formula>K10="Fully paid"</formula>
    </cfRule>
    <cfRule type="expression" priority="4" dxfId="0">
      <formula>K10="Over budget"</formula>
    </cfRule>
  </conditionalFormatting>
  <conditionalFormatting sqref="J10:J209">
    <cfRule type="expression" priority="5" dxfId="2">
      <formula>AND(J10&lt;&gt;"",J10&lt;=TODAY()+7,N(G10)&gt;0)</formula>
    </cfRule>
  </conditionalFormatting>
  <dataValidations count="2">
    <dataValidation sqref="A10:A209" showDropDown="0" showInputMessage="0" showErrorMessage="0" allowBlank="1" errorTitle="Not in the list" error="Pick from the list (you can edit it on the Lists sheet)" type="list" errorStyle="warning">
      <formula1>=BuildCats</formula1>
    </dataValidation>
    <dataValidation sqref="D10:F209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rightToLeft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4" customHeight="1">
      <c r="A1" s="1" t="inlineStr">
        <is>
          <t>Summary by category</t>
        </is>
      </c>
      <c r="B1" s="2" t="n"/>
      <c r="C1" s="2" t="n"/>
      <c r="D1" s="2" t="n"/>
      <c r="E1" s="2" t="n"/>
    </row>
    <row r="2" ht="30" customHeight="1">
      <c r="A2" s="3" t="inlineStr">
        <is>
          <t>Updates by itself from the budget sheet. Categories come from the Lists sheet.</t>
        </is>
      </c>
    </row>
    <row r="4" ht="32" customHeight="1">
      <c r="A4" s="11" t="inlineStr">
        <is>
          <t>Category</t>
        </is>
      </c>
      <c r="B4" s="11" t="inlineStr">
        <is>
          <t>Original plan</t>
        </is>
      </c>
      <c r="C4" s="11" t="inlineStr">
        <is>
          <t>Actual forecast</t>
        </is>
      </c>
      <c r="D4" s="11" t="inlineStr">
        <is>
          <t>Difference</t>
        </is>
      </c>
      <c r="E4" s="11" t="inlineStr">
        <is>
          <t>Paid</t>
        </is>
      </c>
    </row>
    <row r="5">
      <c r="A5" s="18" t="str">
        <f>IF('Lists'!A5="","",'Lists'!A5)</f>
        <v>Land &amp; taxes</v>
      </c>
      <c r="B5" s="13">
        <f>IF(A5="","",SUMIF('Construction budget'!$A$10:$A$209,A5,'Construction budget'!$D$10:$D$209))</f>
        <v>9500000</v>
      </c>
      <c r="C5" s="13">
        <f>IF(A5="","",SUMIF('Construction budget'!$A$10:$A$209,A5,'Construction budget'!$M$10:$M$209))</f>
        <v>9500000</v>
      </c>
      <c r="D5" s="13">
        <f>IF(A5="","",C5-B5)</f>
        <v>0</v>
      </c>
      <c r="E5" s="13">
        <f>IF(A5="","",SUMIF('Construction budget'!$A$10:$A$209,A5,'Construction budget'!$F$10:$F$209))</f>
        <v>9500000</v>
      </c>
    </row>
    <row r="6">
      <c r="A6" s="18" t="str">
        <f>IF('Lists'!A6="","",'Lists'!A6)</f>
        <v>Design &amp; permits</v>
      </c>
      <c r="B6" s="13">
        <f>IF(A6="","",SUMIF('Construction budget'!$A$10:$A$209,A6,'Construction budget'!$D$10:$D$209))</f>
        <v>420000</v>
      </c>
      <c r="C6" s="13">
        <f>IF(A6="","",SUMIF('Construction budget'!$A$10:$A$209,A6,'Construction budget'!$M$10:$M$209))</f>
        <v>450000</v>
      </c>
      <c r="D6" s="13">
        <f>IF(A6="","",C6-B6)</f>
        <v>30000</v>
      </c>
      <c r="E6" s="13">
        <f>IF(A6="","",SUMIF('Construction budget'!$A$10:$A$209,A6,'Construction budget'!$F$10:$F$209))</f>
        <v>300000</v>
      </c>
    </row>
    <row r="7">
      <c r="A7" s="18" t="str">
        <f>IF('Lists'!A7="","",'Lists'!A7)</f>
        <v>Fees &amp; levies</v>
      </c>
      <c r="B7" s="13">
        <f>IF(A7="","",SUMIF('Construction budget'!$A$10:$A$209,A7,'Construction budget'!$D$10:$D$209))</f>
        <v>1300000</v>
      </c>
      <c r="C7" s="13">
        <f>IF(A7="","",SUMIF('Construction budget'!$A$10:$A$209,A7,'Construction budget'!$M$10:$M$209))</f>
        <v>1240000</v>
      </c>
      <c r="D7" s="13">
        <f>IF(A7="","",C7-B7)</f>
        <v>-60000</v>
      </c>
      <c r="E7" s="13">
        <f>IF(A7="","",SUMIF('Construction budget'!$A$10:$A$209,A7,'Construction budget'!$F$10:$F$209))</f>
        <v>1240000</v>
      </c>
    </row>
    <row r="8">
      <c r="A8" s="18" t="str">
        <f>IF('Lists'!A8="","",'Lists'!A8)</f>
        <v>Earthworks &amp; foundations</v>
      </c>
      <c r="B8" s="13">
        <f>IF(A8="","",SUMIF('Construction budget'!$A$10:$A$209,A8,'Construction budget'!$D$10:$D$209))</f>
        <v>0</v>
      </c>
      <c r="C8" s="13">
        <f>IF(A8="","",SUMIF('Construction budget'!$A$10:$A$209,A8,'Construction budget'!$M$10:$M$209))</f>
        <v>0</v>
      </c>
      <c r="D8" s="13">
        <f>IF(A8="","",C8-B8)</f>
        <v>0</v>
      </c>
      <c r="E8" s="13">
        <f>IF(A8="","",SUMIF('Construction budget'!$A$10:$A$209,A8,'Construction budget'!$F$10:$F$209))</f>
        <v>0</v>
      </c>
    </row>
    <row r="9">
      <c r="A9" s="18" t="str">
        <f>IF('Lists'!A9="","",'Lists'!A9)</f>
        <v>Structure</v>
      </c>
      <c r="B9" s="13">
        <f>IF(A9="","",SUMIF('Construction budget'!$A$10:$A$209,A9,'Construction budget'!$D$10:$D$209))</f>
        <v>6800000</v>
      </c>
      <c r="C9" s="13">
        <f>IF(A9="","",SUMIF('Construction budget'!$A$10:$A$209,A9,'Construction budget'!$M$10:$M$209))</f>
        <v>7150000</v>
      </c>
      <c r="D9" s="13">
        <f>IF(A9="","",C9-B9)</f>
        <v>350000</v>
      </c>
      <c r="E9" s="13">
        <f>IF(A9="","",SUMIF('Construction budget'!$A$10:$A$209,A9,'Construction budget'!$F$10:$F$209))</f>
        <v>2100000</v>
      </c>
    </row>
    <row r="10">
      <c r="A10" s="18" t="str">
        <f>IF('Lists'!A10="","",'Lists'!A10)</f>
        <v>Plumbing</v>
      </c>
      <c r="B10" s="13">
        <f>IF(A10="","",SUMIF('Construction budget'!$A$10:$A$209,A10,'Construction budget'!$D$10:$D$209))</f>
        <v>900000</v>
      </c>
      <c r="C10" s="13">
        <f>IF(A10="","",SUMIF('Construction budget'!$A$10:$A$209,A10,'Construction budget'!$M$10:$M$209))</f>
        <v>900000</v>
      </c>
      <c r="D10" s="13">
        <f>IF(A10="","",C10-B10)</f>
        <v>0</v>
      </c>
      <c r="E10" s="13">
        <f>IF(A10="","",SUMIF('Construction budget'!$A$10:$A$209,A10,'Construction budget'!$F$10:$F$209))</f>
        <v>0</v>
      </c>
    </row>
    <row r="11">
      <c r="A11" s="18" t="str">
        <f>IF('Lists'!A11="","",'Lists'!A11)</f>
        <v>Electrical</v>
      </c>
      <c r="B11" s="13">
        <f>IF(A11="","",SUMIF('Construction budget'!$A$10:$A$209,A11,'Construction budget'!$D$10:$D$209))</f>
        <v>0</v>
      </c>
      <c r="C11" s="13">
        <f>IF(A11="","",SUMIF('Construction budget'!$A$10:$A$209,A11,'Construction budget'!$M$10:$M$209))</f>
        <v>0</v>
      </c>
      <c r="D11" s="13">
        <f>IF(A11="","",C11-B11)</f>
        <v>0</v>
      </c>
      <c r="E11" s="13">
        <f>IF(A11="","",SUMIF('Construction budget'!$A$10:$A$209,A11,'Construction budget'!$F$10:$F$209))</f>
        <v>0</v>
      </c>
    </row>
    <row r="12">
      <c r="A12" s="18" t="str">
        <f>IF('Lists'!A12="","",'Lists'!A12)</f>
        <v>Waterproofing</v>
      </c>
      <c r="B12" s="13">
        <f>IF(A12="","",SUMIF('Construction budget'!$A$10:$A$209,A12,'Construction budget'!$D$10:$D$209))</f>
        <v>0</v>
      </c>
      <c r="C12" s="13">
        <f>IF(A12="","",SUMIF('Construction budget'!$A$10:$A$209,A12,'Construction budget'!$M$10:$M$209))</f>
        <v>0</v>
      </c>
      <c r="D12" s="13">
        <f>IF(A12="","",C12-B12)</f>
        <v>0</v>
      </c>
      <c r="E12" s="13">
        <f>IF(A12="","",SUMIF('Construction budget'!$A$10:$A$209,A12,'Construction budget'!$F$10:$F$209))</f>
        <v>0</v>
      </c>
    </row>
    <row r="13">
      <c r="A13" s="18" t="str">
        <f>IF('Lists'!A13="","",'Lists'!A13)</f>
        <v>Aluminium &amp; windows</v>
      </c>
      <c r="B13" s="13">
        <f>IF(A13="","",SUMIF('Construction budget'!$A$10:$A$209,A13,'Construction budget'!$D$10:$D$209))</f>
        <v>0</v>
      </c>
      <c r="C13" s="13">
        <f>IF(A13="","",SUMIF('Construction budget'!$A$10:$A$209,A13,'Construction budget'!$M$10:$M$209))</f>
        <v>0</v>
      </c>
      <c r="D13" s="13">
        <f>IF(A13="","",C13-B13)</f>
        <v>0</v>
      </c>
      <c r="E13" s="13">
        <f>IF(A13="","",SUMIF('Construction budget'!$A$10:$A$209,A13,'Construction budget'!$F$10:$F$209))</f>
        <v>0</v>
      </c>
    </row>
    <row r="14">
      <c r="A14" s="18" t="str">
        <f>IF('Lists'!A14="","",'Lists'!A14)</f>
        <v>Plaster &amp; paint</v>
      </c>
      <c r="B14" s="13">
        <f>IF(A14="","",SUMIF('Construction budget'!$A$10:$A$209,A14,'Construction budget'!$D$10:$D$209))</f>
        <v>0</v>
      </c>
      <c r="C14" s="13">
        <f>IF(A14="","",SUMIF('Construction budget'!$A$10:$A$209,A14,'Construction budget'!$M$10:$M$209))</f>
        <v>0</v>
      </c>
      <c r="D14" s="13">
        <f>IF(A14="","",C14-B14)</f>
        <v>0</v>
      </c>
      <c r="E14" s="13">
        <f>IF(A14="","",SUMIF('Construction budget'!$A$10:$A$209,A14,'Construction budget'!$F$10:$F$209))</f>
        <v>0</v>
      </c>
    </row>
    <row r="15">
      <c r="A15" s="18" t="str">
        <f>IF('Lists'!A15="","",'Lists'!A15)</f>
        <v>Flooring &amp; cladding</v>
      </c>
      <c r="B15" s="13">
        <f>IF(A15="","",SUMIF('Construction budget'!$A$10:$A$209,A15,'Construction budget'!$D$10:$D$209))</f>
        <v>0</v>
      </c>
      <c r="C15" s="13">
        <f>IF(A15="","",SUMIF('Construction budget'!$A$10:$A$209,A15,'Construction budget'!$M$10:$M$209))</f>
        <v>0</v>
      </c>
      <c r="D15" s="13">
        <f>IF(A15="","",C15-B15)</f>
        <v>0</v>
      </c>
      <c r="E15" s="13">
        <f>IF(A15="","",SUMIF('Construction budget'!$A$10:$A$209,A15,'Construction budget'!$F$10:$F$209))</f>
        <v>0</v>
      </c>
    </row>
    <row r="16">
      <c r="A16" s="18" t="str">
        <f>IF('Lists'!A16="","",'Lists'!A16)</f>
        <v>Kitchens &amp; carpentry</v>
      </c>
      <c r="B16" s="13">
        <f>IF(A16="","",SUMIF('Construction budget'!$A$10:$A$209,A16,'Construction budget'!$D$10:$D$209))</f>
        <v>0</v>
      </c>
      <c r="C16" s="13">
        <f>IF(A16="","",SUMIF('Construction budget'!$A$10:$A$209,A16,'Construction budget'!$M$10:$M$209))</f>
        <v>0</v>
      </c>
      <c r="D16" s="13">
        <f>IF(A16="","",C16-B16)</f>
        <v>0</v>
      </c>
      <c r="E16" s="13">
        <f>IF(A16="","",SUMIF('Construction budget'!$A$10:$A$209,A16,'Construction budget'!$F$10:$F$209))</f>
        <v>0</v>
      </c>
    </row>
    <row r="17">
      <c r="A17" s="18" t="str">
        <f>IF('Lists'!A17="","",'Lists'!A17)</f>
        <v>Lifts</v>
      </c>
      <c r="B17" s="13">
        <f>IF(A17="","",SUMIF('Construction budget'!$A$10:$A$209,A17,'Construction budget'!$D$10:$D$209))</f>
        <v>640000</v>
      </c>
      <c r="C17" s="13">
        <f>IF(A17="","",SUMIF('Construction budget'!$A$10:$A$209,A17,'Construction budget'!$M$10:$M$209))</f>
        <v>610000</v>
      </c>
      <c r="D17" s="13">
        <f>IF(A17="","",C17-B17)</f>
        <v>-30000</v>
      </c>
      <c r="E17" s="13">
        <f>IF(A17="","",SUMIF('Construction budget'!$A$10:$A$209,A17,'Construction budget'!$F$10:$F$209))</f>
        <v>120000</v>
      </c>
    </row>
    <row r="18">
      <c r="A18" s="18" t="str">
        <f>IF('Lists'!A18="","",'Lists'!A18)</f>
        <v>Air conditioning</v>
      </c>
      <c r="B18" s="13">
        <f>IF(A18="","",SUMIF('Construction budget'!$A$10:$A$209,A18,'Construction budget'!$D$10:$D$209))</f>
        <v>0</v>
      </c>
      <c r="C18" s="13">
        <f>IF(A18="","",SUMIF('Construction budget'!$A$10:$A$209,A18,'Construction budget'!$M$10:$M$209))</f>
        <v>0</v>
      </c>
      <c r="D18" s="13">
        <f>IF(A18="","",C18-B18)</f>
        <v>0</v>
      </c>
      <c r="E18" s="13">
        <f>IF(A18="","",SUMIF('Construction budget'!$A$10:$A$209,A18,'Construction budget'!$F$10:$F$209))</f>
        <v>0</v>
      </c>
    </row>
    <row r="19">
      <c r="A19" s="18" t="str">
        <f>IF('Lists'!A19="","",'Lists'!A19)</f>
        <v>Landscaping</v>
      </c>
      <c r="B19" s="13">
        <f>IF(A19="","",SUMIF('Construction budget'!$A$10:$A$209,A19,'Construction budget'!$D$10:$D$209))</f>
        <v>0</v>
      </c>
      <c r="C19" s="13">
        <f>IF(A19="","",SUMIF('Construction budget'!$A$10:$A$209,A19,'Construction budget'!$M$10:$M$209))</f>
        <v>0</v>
      </c>
      <c r="D19" s="13">
        <f>IF(A19="","",C19-B19)</f>
        <v>0</v>
      </c>
      <c r="E19" s="13">
        <f>IF(A19="","",SUMIF('Construction budget'!$A$10:$A$209,A19,'Construction budget'!$F$10:$F$209))</f>
        <v>0</v>
      </c>
    </row>
    <row r="20">
      <c r="A20" s="18" t="str">
        <f>IF('Lists'!A20="","",'Lists'!A20)</f>
        <v>Supervision &amp; PM</v>
      </c>
      <c r="B20" s="13">
        <f>IF(A20="","",SUMIF('Construction budget'!$A$10:$A$209,A20,'Construction budget'!$D$10:$D$209))</f>
        <v>0</v>
      </c>
      <c r="C20" s="13">
        <f>IF(A20="","",SUMIF('Construction budget'!$A$10:$A$209,A20,'Construction budget'!$M$10:$M$209))</f>
        <v>0</v>
      </c>
      <c r="D20" s="13">
        <f>IF(A20="","",C20-B20)</f>
        <v>0</v>
      </c>
      <c r="E20" s="13">
        <f>IF(A20="","",SUMIF('Construction budget'!$A$10:$A$209,A20,'Construction budget'!$F$10:$F$209))</f>
        <v>0</v>
      </c>
    </row>
    <row r="21">
      <c r="A21" s="18" t="str">
        <f>IF('Lists'!A21="","",'Lists'!A21)</f>
        <v>Finance &amp; bank</v>
      </c>
      <c r="B21" s="13">
        <f>IF(A21="","",SUMIF('Construction budget'!$A$10:$A$209,A21,'Construction budget'!$D$10:$D$209))</f>
        <v>0</v>
      </c>
      <c r="C21" s="13">
        <f>IF(A21="","",SUMIF('Construction budget'!$A$10:$A$209,A21,'Construction budget'!$M$10:$M$209))</f>
        <v>0</v>
      </c>
      <c r="D21" s="13">
        <f>IF(A21="","",C21-B21)</f>
        <v>0</v>
      </c>
      <c r="E21" s="13">
        <f>IF(A21="","",SUMIF('Construction budget'!$A$10:$A$209,A21,'Construction budget'!$F$10:$F$209))</f>
        <v>0</v>
      </c>
    </row>
    <row r="22">
      <c r="A22" s="18" t="str">
        <f>IF('Lists'!A22="","",'Lists'!A22)</f>
        <v>Insurance</v>
      </c>
      <c r="B22" s="13">
        <f>IF(A22="","",SUMIF('Construction budget'!$A$10:$A$209,A22,'Construction budget'!$D$10:$D$209))</f>
        <v>0</v>
      </c>
      <c r="C22" s="13">
        <f>IF(A22="","",SUMIF('Construction budget'!$A$10:$A$209,A22,'Construction budget'!$M$10:$M$209))</f>
        <v>0</v>
      </c>
      <c r="D22" s="13">
        <f>IF(A22="","",C22-B22)</f>
        <v>0</v>
      </c>
      <c r="E22" s="13">
        <f>IF(A22="","",SUMIF('Construction budget'!$A$10:$A$209,A22,'Construction budget'!$F$10:$F$209))</f>
        <v>0</v>
      </c>
    </row>
    <row r="23">
      <c r="A23" s="18" t="str">
        <f>IF('Lists'!A23="","",'Lists'!A23)</f>
        <v>Marketing &amp; sales</v>
      </c>
      <c r="B23" s="13">
        <f>IF(A23="","",SUMIF('Construction budget'!$A$10:$A$209,A23,'Construction budget'!$D$10:$D$209))</f>
        <v>0</v>
      </c>
      <c r="C23" s="13">
        <f>IF(A23="","",SUMIF('Construction budget'!$A$10:$A$209,A23,'Construction budget'!$M$10:$M$209))</f>
        <v>0</v>
      </c>
      <c r="D23" s="13">
        <f>IF(A23="","",C23-B23)</f>
        <v>0</v>
      </c>
      <c r="E23" s="13">
        <f>IF(A23="","",SUMIF('Construction budget'!$A$10:$A$209,A23,'Construction budget'!$F$10:$F$209))</f>
        <v>0</v>
      </c>
    </row>
    <row r="24">
      <c r="A24" s="18" t="str">
        <f>IF('Lists'!A24="","",'Lists'!A24)</f>
        <v>Legal</v>
      </c>
      <c r="B24" s="13">
        <f>IF(A24="","",SUMIF('Construction budget'!$A$10:$A$209,A24,'Construction budget'!$D$10:$D$209))</f>
        <v>0</v>
      </c>
      <c r="C24" s="13">
        <f>IF(A24="","",SUMIF('Construction budget'!$A$10:$A$209,A24,'Construction budget'!$M$10:$M$209))</f>
        <v>0</v>
      </c>
      <c r="D24" s="13">
        <f>IF(A24="","",C24-B24)</f>
        <v>0</v>
      </c>
      <c r="E24" s="13">
        <f>IF(A24="","",SUMIF('Construction budget'!$A$10:$A$209,A24,'Construction budget'!$F$10:$F$209))</f>
        <v>0</v>
      </c>
    </row>
    <row r="25">
      <c r="A25" s="18" t="str">
        <f>IF('Lists'!A25="","",'Lists'!A25)</f>
        <v>Contingency</v>
      </c>
      <c r="B25" s="13">
        <f>IF(A25="","",SUMIF('Construction budget'!$A$10:$A$209,A25,'Construction budget'!$D$10:$D$209))</f>
        <v>0</v>
      </c>
      <c r="C25" s="13">
        <f>IF(A25="","",SUMIF('Construction budget'!$A$10:$A$209,A25,'Construction budget'!$M$10:$M$209))</f>
        <v>0</v>
      </c>
      <c r="D25" s="13">
        <f>IF(A25="","",C25-B25)</f>
        <v>0</v>
      </c>
      <c r="E25" s="13">
        <f>IF(A25="","",SUMIF('Construction budget'!$A$10:$A$209,A25,'Construction budget'!$F$10:$F$209))</f>
        <v>0</v>
      </c>
    </row>
    <row r="26">
      <c r="A26" s="18" t="str">
        <f>IF('Lists'!A26="","",'Lists'!A26)</f>
        <v>Other</v>
      </c>
      <c r="B26" s="13">
        <f>IF(A26="","",SUMIF('Construction budget'!$A$10:$A$209,A26,'Construction budget'!$D$10:$D$209))</f>
        <v>0</v>
      </c>
      <c r="C26" s="13">
        <f>IF(A26="","",SUMIF('Construction budget'!$A$10:$A$209,A26,'Construction budget'!$M$10:$M$209))</f>
        <v>0</v>
      </c>
      <c r="D26" s="13">
        <f>IF(A26="","",C26-B26)</f>
        <v>0</v>
      </c>
      <c r="E26" s="13">
        <f>IF(A26="","",SUMIF('Construction budget'!$A$10:$A$209,A26,'Construction budget'!$F$10:$F$209))</f>
        <v>0</v>
      </c>
    </row>
    <row r="27">
      <c r="A27" s="18" t="str">
        <f>IF('Lists'!A27="","",'Lists'!A27)</f>
        <v/>
      </c>
      <c r="B27" s="13" t="str">
        <f>IF(A27="","",SUMIF('Construction budget'!$A$10:$A$209,A27,'Construction budget'!$D$10:$D$209))</f>
        <v/>
      </c>
      <c r="C27" s="13" t="str">
        <f>IF(A27="","",SUMIF('Construction budget'!$A$10:$A$209,A27,'Construction budget'!$M$10:$M$209))</f>
        <v/>
      </c>
      <c r="D27" s="13" t="str">
        <f>IF(A27="","",C27-B27)</f>
        <v/>
      </c>
      <c r="E27" s="13" t="str">
        <f>IF(A27="","",SUMIF('Construction budget'!$A$10:$A$209,A27,'Construction budget'!$F$10:$F$209))</f>
        <v/>
      </c>
    </row>
    <row r="28">
      <c r="A28" s="18" t="str">
        <f>IF('Lists'!A28="","",'Lists'!A28)</f>
        <v/>
      </c>
      <c r="B28" s="13" t="str">
        <f>IF(A28="","",SUMIF('Construction budget'!$A$10:$A$209,A28,'Construction budget'!$D$10:$D$209))</f>
        <v/>
      </c>
      <c r="C28" s="13" t="str">
        <f>IF(A28="","",SUMIF('Construction budget'!$A$10:$A$209,A28,'Construction budget'!$M$10:$M$209))</f>
        <v/>
      </c>
      <c r="D28" s="13" t="str">
        <f>IF(A28="","",C28-B28)</f>
        <v/>
      </c>
      <c r="E28" s="13" t="str">
        <f>IF(A28="","",SUMIF('Construction budget'!$A$10:$A$209,A28,'Construction budget'!$F$10:$F$209))</f>
        <v/>
      </c>
    </row>
    <row r="29">
      <c r="A29" s="18" t="str">
        <f>IF('Lists'!A29="","",'Lists'!A29)</f>
        <v/>
      </c>
      <c r="B29" s="13" t="str">
        <f>IF(A29="","",SUMIF('Construction budget'!$A$10:$A$209,A29,'Construction budget'!$D$10:$D$209))</f>
        <v/>
      </c>
      <c r="C29" s="13" t="str">
        <f>IF(A29="","",SUMIF('Construction budget'!$A$10:$A$209,A29,'Construction budget'!$M$10:$M$209))</f>
        <v/>
      </c>
      <c r="D29" s="13" t="str">
        <f>IF(A29="","",C29-B29)</f>
        <v/>
      </c>
      <c r="E29" s="13" t="str">
        <f>IF(A29="","",SUMIF('Construction budget'!$A$10:$A$209,A29,'Construction budget'!$F$10:$F$209))</f>
        <v/>
      </c>
    </row>
    <row r="30">
      <c r="A30" s="18" t="str">
        <f>IF('Lists'!A30="","",'Lists'!A30)</f>
        <v/>
      </c>
      <c r="B30" s="13" t="str">
        <f>IF(A30="","",SUMIF('Construction budget'!$A$10:$A$209,A30,'Construction budget'!$D$10:$D$209))</f>
        <v/>
      </c>
      <c r="C30" s="13" t="str">
        <f>IF(A30="","",SUMIF('Construction budget'!$A$10:$A$209,A30,'Construction budget'!$M$10:$M$209))</f>
        <v/>
      </c>
      <c r="D30" s="13" t="str">
        <f>IF(A30="","",C30-B30)</f>
        <v/>
      </c>
      <c r="E30" s="13" t="str">
        <f>IF(A30="","",SUMIF('Construction budget'!$A$10:$A$209,A30,'Construction budget'!$F$10:$F$209))</f>
        <v/>
      </c>
    </row>
    <row r="31">
      <c r="A31" s="18" t="str">
        <f>IF('Lists'!A31="","",'Lists'!A31)</f>
        <v/>
      </c>
      <c r="B31" s="13" t="str">
        <f>IF(A31="","",SUMIF('Construction budget'!$A$10:$A$209,A31,'Construction budget'!$D$10:$D$209))</f>
        <v/>
      </c>
      <c r="C31" s="13" t="str">
        <f>IF(A31="","",SUMIF('Construction budget'!$A$10:$A$209,A31,'Construction budget'!$M$10:$M$209))</f>
        <v/>
      </c>
      <c r="D31" s="13" t="str">
        <f>IF(A31="","",C31-B31)</f>
        <v/>
      </c>
      <c r="E31" s="13" t="str">
        <f>IF(A31="","",SUMIF('Construction budget'!$A$10:$A$209,A31,'Construction budget'!$F$10:$F$209))</f>
        <v/>
      </c>
    </row>
    <row r="32">
      <c r="A32" s="18" t="str">
        <f>IF('Lists'!A32="","",'Lists'!A32)</f>
        <v/>
      </c>
      <c r="B32" s="13" t="str">
        <f>IF(A32="","",SUMIF('Construction budget'!$A$10:$A$209,A32,'Construction budget'!$D$10:$D$209))</f>
        <v/>
      </c>
      <c r="C32" s="13" t="str">
        <f>IF(A32="","",SUMIF('Construction budget'!$A$10:$A$209,A32,'Construction budget'!$M$10:$M$209))</f>
        <v/>
      </c>
      <c r="D32" s="13" t="str">
        <f>IF(A32="","",C32-B32)</f>
        <v/>
      </c>
      <c r="E32" s="13" t="str">
        <f>IF(A32="","",SUMIF('Construction budget'!$A$10:$A$209,A32,'Construction budget'!$F$10:$F$209))</f>
        <v/>
      </c>
    </row>
    <row r="33">
      <c r="A33" s="18" t="str">
        <f>IF('Lists'!A33="","",'Lists'!A33)</f>
        <v/>
      </c>
      <c r="B33" s="13" t="str">
        <f>IF(A33="","",SUMIF('Construction budget'!$A$10:$A$209,A33,'Construction budget'!$D$10:$D$209))</f>
        <v/>
      </c>
      <c r="C33" s="13" t="str">
        <f>IF(A33="","",SUMIF('Construction budget'!$A$10:$A$209,A33,'Construction budget'!$M$10:$M$209))</f>
        <v/>
      </c>
      <c r="D33" s="13" t="str">
        <f>IF(A33="","",C33-B33)</f>
        <v/>
      </c>
      <c r="E33" s="13" t="str">
        <f>IF(A33="","",SUMIF('Construction budget'!$A$10:$A$209,A33,'Construction budget'!$F$10:$F$209))</f>
        <v/>
      </c>
    </row>
    <row r="34">
      <c r="A34" s="18" t="str">
        <f>IF('Lists'!A34="","",'Lists'!A34)</f>
        <v/>
      </c>
      <c r="B34" s="13" t="str">
        <f>IF(A34="","",SUMIF('Construction budget'!$A$10:$A$209,A34,'Construction budget'!$D$10:$D$209))</f>
        <v/>
      </c>
      <c r="C34" s="13" t="str">
        <f>IF(A34="","",SUMIF('Construction budget'!$A$10:$A$209,A34,'Construction budget'!$M$10:$M$209))</f>
        <v/>
      </c>
      <c r="D34" s="13" t="str">
        <f>IF(A34="","",C34-B34)</f>
        <v/>
      </c>
      <c r="E34" s="13" t="str">
        <f>IF(A34="","",SUMIF('Construction budget'!$A$10:$A$209,A34,'Construction budget'!$F$10:$F$209))</f>
        <v/>
      </c>
    </row>
    <row r="35">
      <c r="A35" s="18" t="str">
        <f>IF('Lists'!A35="","",'Lists'!A35)</f>
        <v/>
      </c>
      <c r="B35" s="13" t="str">
        <f>IF(A35="","",SUMIF('Construction budget'!$A$10:$A$209,A35,'Construction budget'!$D$10:$D$209))</f>
        <v/>
      </c>
      <c r="C35" s="13" t="str">
        <f>IF(A35="","",SUMIF('Construction budget'!$A$10:$A$209,A35,'Construction budget'!$M$10:$M$209))</f>
        <v/>
      </c>
      <c r="D35" s="13" t="str">
        <f>IF(A35="","",C35-B35)</f>
        <v/>
      </c>
      <c r="E35" s="13" t="str">
        <f>IF(A35="","",SUMIF('Construction budget'!$A$10:$A$209,A35,'Construction budget'!$F$10:$F$209))</f>
        <v/>
      </c>
    </row>
    <row r="36">
      <c r="A36" s="18" t="str">
        <f>IF('Lists'!A36="","",'Lists'!A36)</f>
        <v/>
      </c>
      <c r="B36" s="13" t="str">
        <f>IF(A36="","",SUMIF('Construction budget'!$A$10:$A$209,A36,'Construction budget'!$D$10:$D$209))</f>
        <v/>
      </c>
      <c r="C36" s="13" t="str">
        <f>IF(A36="","",SUMIF('Construction budget'!$A$10:$A$209,A36,'Construction budget'!$M$10:$M$209))</f>
        <v/>
      </c>
      <c r="D36" s="13" t="str">
        <f>IF(A36="","",C36-B36)</f>
        <v/>
      </c>
      <c r="E36" s="13" t="str">
        <f>IF(A36="","",SUMIF('Construction budget'!$A$10:$A$209,A36,'Construction budget'!$F$10:$F$209))</f>
        <v/>
      </c>
    </row>
    <row r="37">
      <c r="A37" s="18" t="str">
        <f>IF('Lists'!A37="","",'Lists'!A37)</f>
        <v/>
      </c>
      <c r="B37" s="13" t="str">
        <f>IF(A37="","",SUMIF('Construction budget'!$A$10:$A$209,A37,'Construction budget'!$D$10:$D$209))</f>
        <v/>
      </c>
      <c r="C37" s="13" t="str">
        <f>IF(A37="","",SUMIF('Construction budget'!$A$10:$A$209,A37,'Construction budget'!$M$10:$M$209))</f>
        <v/>
      </c>
      <c r="D37" s="13" t="str">
        <f>IF(A37="","",C37-B37)</f>
        <v/>
      </c>
      <c r="E37" s="13" t="str">
        <f>IF(A37="","",SUMIF('Construction budget'!$A$10:$A$209,A37,'Construction budget'!$F$10:$F$209))</f>
        <v/>
      </c>
    </row>
    <row r="38">
      <c r="A38" s="18" t="str">
        <f>IF('Lists'!A38="","",'Lists'!A38)</f>
        <v/>
      </c>
      <c r="B38" s="13" t="str">
        <f>IF(A38="","",SUMIF('Construction budget'!$A$10:$A$209,A38,'Construction budget'!$D$10:$D$209))</f>
        <v/>
      </c>
      <c r="C38" s="13" t="str">
        <f>IF(A38="","",SUMIF('Construction budget'!$A$10:$A$209,A38,'Construction budget'!$M$10:$M$209))</f>
        <v/>
      </c>
      <c r="D38" s="13" t="str">
        <f>IF(A38="","",C38-B38)</f>
        <v/>
      </c>
      <c r="E38" s="13" t="str">
        <f>IF(A38="","",SUMIF('Construction budget'!$A$10:$A$209,A38,'Construction budget'!$F$10:$F$209))</f>
        <v/>
      </c>
    </row>
    <row r="39">
      <c r="A39" s="18" t="str">
        <f>IF('Lists'!A39="","",'Lists'!A39)</f>
        <v/>
      </c>
      <c r="B39" s="13" t="str">
        <f>IF(A39="","",SUMIF('Construction budget'!$A$10:$A$209,A39,'Construction budget'!$D$10:$D$209))</f>
        <v/>
      </c>
      <c r="C39" s="13" t="str">
        <f>IF(A39="","",SUMIF('Construction budget'!$A$10:$A$209,A39,'Construction budget'!$M$10:$M$209))</f>
        <v/>
      </c>
      <c r="D39" s="13" t="str">
        <f>IF(A39="","",C39-B39)</f>
        <v/>
      </c>
      <c r="E39" s="13" t="str">
        <f>IF(A39="","",SUMIF('Construction budget'!$A$10:$A$209,A39,'Construction budget'!$F$10:$F$209))</f>
        <v/>
      </c>
    </row>
    <row r="41">
      <c r="A41" s="6" t="inlineStr">
        <is>
          <t>Total</t>
        </is>
      </c>
      <c r="B41" s="19">
        <f>SUM(B5:B39)</f>
        <v>19560000</v>
      </c>
      <c r="C41" s="19">
        <f>SUM(C5:C39)</f>
        <v>19850000</v>
      </c>
      <c r="D41" s="19">
        <f>SUM(D5:D39)</f>
        <v>290000</v>
      </c>
      <c r="E41" s="19">
        <f>SUM(E5:E39)</f>
        <v>13260000</v>
      </c>
    </row>
  </sheetData>
  <mergeCells count="2">
    <mergeCell ref="A2:E2"/>
    <mergeCell ref="A1:E1"/>
  </mergeCells>
  <conditionalFormatting sqref="D5:D39">
    <cfRule type="expression" priority="1" dxfId="3">
      <formula>AND(D5&lt;&gt;"",D5&gt;0)</formula>
    </cfRule>
  </conditionalFormatting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9"/>
  <sheetViews>
    <sheetView showGridLines="0" rightToLeft="0" zoomScale="100" workbookViewId="0">
      <selection activeCell="A1" sqref="A1"/>
    </sheetView>
  </sheetViews>
  <sheetFormatPr baseColWidth="8" defaultRowHeight="15"/>
  <cols>
    <col width="26" customWidth="1" min="1" max="1"/>
  </cols>
  <sheetData>
    <row r="1" ht="34" customHeight="1">
      <c r="A1" s="1" t="inlineStr">
        <is>
          <t>Dropdown lists</t>
        </is>
      </c>
      <c r="B1" s="2" t="n"/>
    </row>
    <row r="2" ht="44" customHeight="1">
      <c r="A2" s="3" t="inlineStr">
        <is>
          <t>Change, add or remove items — the dropdowns in the workbook update by themselves.</t>
        </is>
      </c>
    </row>
    <row r="4" ht="32" customHeight="1">
      <c r="A4" s="11" t="inlineStr">
        <is>
          <t>Categories</t>
        </is>
      </c>
    </row>
    <row r="5">
      <c r="A5" s="5" t="inlineStr">
        <is>
          <t>Land &amp; taxes</t>
        </is>
      </c>
    </row>
    <row r="6">
      <c r="A6" s="5" t="inlineStr">
        <is>
          <t>Design &amp; permits</t>
        </is>
      </c>
    </row>
    <row r="7">
      <c r="A7" s="5" t="inlineStr">
        <is>
          <t>Fees &amp; levies</t>
        </is>
      </c>
    </row>
    <row r="8">
      <c r="A8" s="5" t="inlineStr">
        <is>
          <t>Earthworks &amp; foundations</t>
        </is>
      </c>
    </row>
    <row r="9">
      <c r="A9" s="5" t="inlineStr">
        <is>
          <t>Structure</t>
        </is>
      </c>
    </row>
    <row r="10">
      <c r="A10" s="5" t="inlineStr">
        <is>
          <t>Plumbing</t>
        </is>
      </c>
    </row>
    <row r="11">
      <c r="A11" s="5" t="inlineStr">
        <is>
          <t>Electrical</t>
        </is>
      </c>
    </row>
    <row r="12">
      <c r="A12" s="5" t="inlineStr">
        <is>
          <t>Waterproofing</t>
        </is>
      </c>
    </row>
    <row r="13">
      <c r="A13" s="5" t="inlineStr">
        <is>
          <t>Aluminium &amp; windows</t>
        </is>
      </c>
    </row>
    <row r="14">
      <c r="A14" s="5" t="inlineStr">
        <is>
          <t>Plaster &amp; paint</t>
        </is>
      </c>
    </row>
    <row r="15">
      <c r="A15" s="5" t="inlineStr">
        <is>
          <t>Flooring &amp; cladding</t>
        </is>
      </c>
    </row>
    <row r="16">
      <c r="A16" s="5" t="inlineStr">
        <is>
          <t>Kitchens &amp; carpentry</t>
        </is>
      </c>
    </row>
    <row r="17">
      <c r="A17" s="5" t="inlineStr">
        <is>
          <t>Lifts</t>
        </is>
      </c>
    </row>
    <row r="18">
      <c r="A18" s="5" t="inlineStr">
        <is>
          <t>Air conditioning</t>
        </is>
      </c>
    </row>
    <row r="19">
      <c r="A19" s="5" t="inlineStr">
        <is>
          <t>Landscaping</t>
        </is>
      </c>
    </row>
    <row r="20">
      <c r="A20" s="5" t="inlineStr">
        <is>
          <t>Supervision &amp; PM</t>
        </is>
      </c>
    </row>
    <row r="21">
      <c r="A21" s="5" t="inlineStr">
        <is>
          <t>Finance &amp; bank</t>
        </is>
      </c>
    </row>
    <row r="22">
      <c r="A22" s="5" t="inlineStr">
        <is>
          <t>Insurance</t>
        </is>
      </c>
    </row>
    <row r="23">
      <c r="A23" s="5" t="inlineStr">
        <is>
          <t>Marketing &amp; sales</t>
        </is>
      </c>
    </row>
    <row r="24">
      <c r="A24" s="5" t="inlineStr">
        <is>
          <t>Legal</t>
        </is>
      </c>
    </row>
    <row r="25">
      <c r="A25" s="5" t="inlineStr">
        <is>
          <t>Contingency</t>
        </is>
      </c>
    </row>
    <row r="26">
      <c r="A26" s="5" t="inlineStr">
        <is>
          <t>Other</t>
        </is>
      </c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2026-10-14T14:13:37Z</dcterms:created>
  <dcterms:modified xmlns:dcterms="http://purl.org/dc/terms/" xmlns:xsi="http://www.w3.org/2001/XMLSchema-instance" xsi:type="dcterms:W3CDTF">2026-10-14T14:13:38Z</dcterms:modified>
</cp:coreProperties>
</file>