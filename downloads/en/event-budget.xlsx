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budget" sheetId="1" state="visible" r:id="rId1"/>
    <sheet xmlns:r="http://schemas.openxmlformats.org/officeDocument/2006/relationships" name="Lists" sheetId="2" state="visible" r:id="rId2"/>
  </sheets>
  <definedNames>
    <definedName name="EventCats">'Lists'!$A$5:$A$29</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Red]-#,##0"/>
  </numFmts>
  <fonts count="8">
    <font>
      <name val="Calibri"/>
      <family val="2"/>
      <color theme="1"/>
      <sz val="11"/>
      <scheme val="minor"/>
    </font>
    <font>
      <name val="Arial"/>
      <b val="1"/>
      <color rgb="00FFFFFF"/>
      <sz val="18"/>
    </font>
    <font>
      <name val="Arial"/>
      <color rgb="00666666"/>
      <sz val="10"/>
    </font>
    <font>
      <name val="Arial"/>
      <b val="1"/>
      <color rgb="00FFFFFF"/>
      <sz val="11"/>
    </font>
    <font>
      <name val="Arial"/>
      <color rgb="000000CC"/>
      <sz val="11"/>
    </font>
    <font>
      <name val="Arial"/>
      <b val="1"/>
      <color rgb="00222222"/>
      <sz val="11"/>
    </font>
    <font>
      <name val="Arial"/>
      <b val="1"/>
      <color rgb="00222222"/>
      <sz val="12"/>
    </font>
    <font>
      <name val="Arial"/>
      <color rgb="00222222"/>
      <sz val="11"/>
    </font>
  </fonts>
  <fills count="5">
    <fill>
      <patternFill/>
    </fill>
    <fill>
      <patternFill patternType="gray125"/>
    </fill>
    <fill>
      <patternFill patternType="solid">
        <fgColor rgb="001F5C4E"/>
      </patternFill>
    </fill>
    <fill>
      <patternFill patternType="solid">
        <fgColor rgb="00FFF9C4"/>
      </patternFill>
    </fill>
    <fill>
      <patternFill patternType="solid">
        <fgColor rgb="00E8F1EE"/>
      </patternFill>
    </fill>
  </fills>
  <borders count="5">
    <border>
      <left/>
      <right/>
      <top/>
      <bottom/>
      <diagonal/>
    </border>
    <border>
      <left style="thin">
        <color rgb="00D9DED9"/>
      </left>
      <right style="thin">
        <color rgb="00D9DED9"/>
      </right>
      <top style="thin">
        <color rgb="00D9DED9"/>
      </top>
      <bottom style="thin">
        <color rgb="00D9DED9"/>
      </bottom>
    </border>
    <border>
      <left/>
      <right/>
      <top style="thin">
        <color rgb="00D9DED9"/>
      </top>
      <bottom/>
      <diagonal/>
    </border>
    <border>
      <left/>
      <right style="thin">
        <color rgb="00D9DED9"/>
      </right>
      <top style="thin">
        <color rgb="00D9DED9"/>
      </top>
      <bottom/>
      <diagonal/>
    </border>
    <border>
      <left/>
      <right style="thin">
        <color rgb="00D9DED9"/>
      </right>
      <top style="thin">
        <color rgb="00D9DED9"/>
      </top>
      <bottom style="thin">
        <color rgb="00D9DED9"/>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readingOrder="1"/>
    </xf>
    <xf numFmtId="0" fontId="0" fillId="2" borderId="0" pivotButton="0" quotePrefix="0" xfId="0"/>
    <xf numFmtId="0" fontId="2" fillId="0" borderId="0" applyAlignment="1" pivotButton="0" quotePrefix="0" xfId="0">
      <alignment horizontal="left" vertical="center" wrapText="1" readingOrder="1"/>
    </xf>
    <xf numFmtId="0" fontId="5" fillId="0" borderId="1" applyAlignment="1" pivotButton="0" quotePrefix="0" xfId="0">
      <alignment horizontal="left" vertical="center" readingOrder="1"/>
    </xf>
    <xf numFmtId="0" fontId="4" fillId="3" borderId="1" applyAlignment="1" pivotButton="0" quotePrefix="0" xfId="0">
      <alignment horizontal="left" vertical="center" readingOrder="1"/>
    </xf>
    <xf numFmtId="0" fontId="0" fillId="0" borderId="4" pivotButton="0" quotePrefix="0" xfId="0"/>
    <xf numFmtId="0" fontId="5" fillId="4" borderId="1" applyAlignment="1" pivotButton="0" quotePrefix="0" xfId="0">
      <alignment horizontal="left" vertical="center" readingOrder="1"/>
    </xf>
    <xf numFmtId="166" fontId="6" fillId="4" borderId="1" applyAlignment="1" pivotButton="0" quotePrefix="0" xfId="0">
      <alignment vertical="center" readingOrder="1"/>
    </xf>
    <xf numFmtId="165" fontId="4" fillId="3" borderId="1" applyAlignment="1" pivotButton="0" quotePrefix="0" xfId="0">
      <alignment horizontal="left" vertical="center" readingOrder="1"/>
    </xf>
    <xf numFmtId="3" fontId="4" fillId="3" borderId="1" applyAlignment="1" pivotButton="0" quotePrefix="0" xfId="0">
      <alignment vertical="center" readingOrder="1"/>
    </xf>
    <xf numFmtId="166" fontId="4" fillId="3" borderId="1" applyAlignment="1" pivotButton="0" quotePrefix="0" xfId="0">
      <alignment vertical="center" readingOrder="1"/>
    </xf>
    <xf numFmtId="0" fontId="3" fillId="2" borderId="1" applyAlignment="1" pivotButton="0" quotePrefix="0" xfId="0">
      <alignment horizontal="center" vertical="center" wrapText="1" readingOrder="1"/>
    </xf>
    <xf numFmtId="0" fontId="4" fillId="3" borderId="1" applyAlignment="1" pivotButton="0" quotePrefix="0" xfId="0">
      <alignment horizontal="center" vertical="center" readingOrder="1"/>
    </xf>
    <xf numFmtId="166" fontId="7" fillId="0" borderId="1" applyAlignment="1" pivotButton="0" quotePrefix="0" xfId="0">
      <alignment vertical="center" readingOrder="1"/>
    </xf>
    <xf numFmtId="0" fontId="7" fillId="0" borderId="1" applyAlignment="1" pivotButton="0" quotePrefix="0" xfId="0">
      <alignment horizontal="center" vertical="center" readingOrder="1"/>
    </xf>
    <xf numFmtId="166" fontId="4" fillId="3" borderId="1" applyAlignment="1" pivotButton="0" quotePrefix="0" xfId="0">
      <alignment horizontal="left" vertical="center" readingOrder="1"/>
    </xf>
  </cellXfs>
  <cellStyles count="1">
    <cellStyle name="Normal" xfId="0" builtinId="0" hidden="0"/>
  </cellStyles>
  <dxfs count="4">
    <dxf>
      <font>
        <b val="1"/>
        <color rgb="00B42318"/>
      </font>
      <fill>
        <patternFill patternType="solid">
          <fgColor rgb="00FDE2E1"/>
          <bgColor rgb="00FDE2E1"/>
        </patternFill>
      </fill>
    </dxf>
    <dxf>
      <font>
        <b val="1"/>
        <color rgb="001E6B3A"/>
      </font>
      <fill>
        <patternFill patternType="solid">
          <fgColor rgb="00DCF2E3"/>
          <bgColor rgb="00DCF2E3"/>
        </patternFill>
      </fill>
    </dxf>
    <dxf>
      <font>
        <b val="1"/>
        <color rgb="008A5A00"/>
      </font>
      <fill>
        <patternFill patternType="solid">
          <fgColor rgb="00FFF1D6"/>
          <bgColor rgb="00FFF1D6"/>
        </patternFill>
      </fill>
    </dxf>
    <dxf>
      <font>
        <color rgb="008A5A00"/>
      </font>
      <fill>
        <patternFill patternType="solid">
          <fgColor rgb="00FFF1D6"/>
          <bgColor rgb="00FFF1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72"/>
  <sheetViews>
    <sheetView showGridLines="0" rightToLeft="0" zoomScale="100" workbookViewId="0">
      <pane xSplit="1" ySplit="12" topLeftCell="B13"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14" customWidth="1" min="3" max="3"/>
    <col width="14" customWidth="1" min="4" max="4"/>
    <col width="14" customWidth="1" min="5" max="5"/>
    <col width="14" customWidth="1" min="6" max="6"/>
    <col width="14" customWidth="1" min="7" max="7"/>
    <col width="13" customWidth="1" min="8" max="8"/>
    <col width="13" customWidth="1" min="9" max="9"/>
    <col width="24" customWidth="1" min="10" max="10"/>
  </cols>
  <sheetData>
    <row r="1" ht="34" customHeight="1">
      <c r="A1" s="1" t="inlineStr">
        <is>
          <t>Event budget — wedding, bar/bat mitzvah or company event</t>
        </is>
      </c>
      <c r="B1" s="2" t="n"/>
      <c r="C1" s="2" t="n"/>
      <c r="D1" s="2" t="n"/>
      <c r="E1" s="2" t="n"/>
      <c r="F1" s="2" t="n"/>
      <c r="G1" s="2" t="n"/>
      <c r="H1" s="2" t="n"/>
      <c r="I1" s="2" t="n"/>
      <c r="J1" s="2" t="n"/>
    </row>
    <row r="2" ht="30" customHeight="1">
      <c r="A2" s="3" t="inlineStr">
        <is>
          <t>Fill in the event details and, for each supplier, the quote, final price and what was paid. See what is left to pay, cost per guest and whether you're over budget.</t>
        </is>
      </c>
    </row>
    <row r="4">
      <c r="A4" s="4" t="inlineStr">
        <is>
          <t>Event</t>
        </is>
      </c>
      <c r="B4" s="5" t="inlineStr">
        <is>
          <t>Noa &amp; Daniel's wedding</t>
        </is>
      </c>
      <c r="C4" s="6" t="n"/>
      <c r="E4" s="7" t="inlineStr">
        <is>
          <t>Expected cost</t>
        </is>
      </c>
      <c r="F4" s="8">
        <f>SUM($E$13:$E$72)+SUMIF($E$13:$E$72,"",$D$13:$D$72)</f>
        <v>140900</v>
      </c>
      <c r="G4" s="7" t="inlineStr">
        <is>
          <t>Expected gifts</t>
        </is>
      </c>
      <c r="H4" s="8">
        <f>B6*B8</f>
        <v>112500</v>
      </c>
    </row>
    <row r="5">
      <c r="A5" s="4" t="inlineStr">
        <is>
          <t>Date</t>
        </is>
      </c>
      <c r="B5" s="9" t="n">
        <v>46428</v>
      </c>
      <c r="E5" s="7" t="inlineStr">
        <is>
          <t>Paid so far</t>
        </is>
      </c>
      <c r="F5" s="8">
        <f>SUM($F$13:$F$72)</f>
        <v>30900</v>
      </c>
      <c r="G5" s="7" t="inlineStr">
        <is>
          <t>Estimated balance</t>
        </is>
      </c>
      <c r="H5" s="8">
        <f>H4-F4</f>
        <v>-28400</v>
      </c>
    </row>
    <row r="6">
      <c r="A6" s="4" t="inlineStr">
        <is>
          <t>Guests</t>
        </is>
      </c>
      <c r="B6" s="10" t="n">
        <v>250</v>
      </c>
      <c r="E6" s="7" t="inlineStr">
        <is>
          <t>Left to pay</t>
        </is>
      </c>
      <c r="F6" s="8">
        <f>F4-F5</f>
        <v>110000</v>
      </c>
    </row>
    <row r="7">
      <c r="A7" s="4" t="inlineStr">
        <is>
          <t>Total budget</t>
        </is>
      </c>
      <c r="B7" s="11" t="n">
        <v>180000</v>
      </c>
      <c r="E7" s="7" t="inlineStr">
        <is>
          <t>vs budget</t>
        </is>
      </c>
      <c r="F7" s="8">
        <f>B7-F4</f>
        <v>39100</v>
      </c>
    </row>
    <row r="8">
      <c r="A8" s="4" t="inlineStr">
        <is>
          <t>Expected gift per guest (optional)</t>
        </is>
      </c>
      <c r="B8" s="11" t="n">
        <v>450</v>
      </c>
      <c r="E8" s="7" t="inlineStr">
        <is>
          <t>Cost per guest</t>
        </is>
      </c>
      <c r="F8" s="8">
        <f>IFERROR(F4/B6,0)</f>
        <v>563.6</v>
      </c>
    </row>
    <row r="12" ht="32" customHeight="1">
      <c r="A12" s="12" t="inlineStr">
        <is>
          <t>Category</t>
        </is>
      </c>
      <c r="B12" s="12" t="inlineStr">
        <is>
          <t>Supplier</t>
        </is>
      </c>
      <c r="C12" s="12" t="inlineStr">
        <is>
          <t>Phone</t>
        </is>
      </c>
      <c r="D12" s="12" t="inlineStr">
        <is>
          <t>Quote</t>
        </is>
      </c>
      <c r="E12" s="12" t="inlineStr">
        <is>
          <t>Final price</t>
        </is>
      </c>
      <c r="F12" s="12" t="inlineStr">
        <is>
          <t>Paid</t>
        </is>
      </c>
      <c r="G12" s="12" t="inlineStr">
        <is>
          <t>Balance</t>
        </is>
      </c>
      <c r="H12" s="12" t="inlineStr">
        <is>
          <t>Next payment</t>
        </is>
      </c>
      <c r="I12" s="12" t="inlineStr">
        <is>
          <t>Status</t>
        </is>
      </c>
      <c r="J12" s="12" t="inlineStr">
        <is>
          <t>Notes</t>
        </is>
      </c>
    </row>
    <row r="13">
      <c r="A13" s="5" t="inlineStr">
        <is>
          <t>Venue</t>
        </is>
      </c>
      <c r="B13" s="5" t="inlineStr">
        <is>
          <t>The Garden Venue</t>
        </is>
      </c>
      <c r="C13" s="13" t="inlineStr">
        <is>
          <t>03-0000000</t>
        </is>
      </c>
      <c r="D13" s="11" t="n">
        <v>60000</v>
      </c>
      <c r="E13" s="11" t="n">
        <v>58000</v>
      </c>
      <c r="F13" s="11" t="n">
        <v>15000</v>
      </c>
      <c r="G13" s="14">
        <f>IF(AND(D13="",E13=""),"",IF(E13="",D13,E13)-N(F13))</f>
        <v>43000</v>
      </c>
      <c r="H13" s="9" t="n">
        <v>46338</v>
      </c>
      <c r="I13" s="15" t="str">
        <f>IF(G13="","",IF(G13&lt;=0,"Paid",IF(N(F13)&gt;0,"Part paid","Not paid")))</f>
        <v>Part paid</v>
      </c>
      <c r="J13" s="5" t="n"/>
    </row>
    <row r="14">
      <c r="A14" s="5" t="inlineStr">
        <is>
          <t>Catering</t>
        </is>
      </c>
      <c r="B14" s="5" t="inlineStr">
        <is>
          <t>Flavours Catering</t>
        </is>
      </c>
      <c r="C14" s="13" t="inlineStr">
        <is>
          <t>050-0000000</t>
        </is>
      </c>
      <c r="D14" s="11" t="n">
        <v>55000</v>
      </c>
      <c r="E14" s="16" t="n"/>
      <c r="F14" s="11" t="n">
        <v>5000</v>
      </c>
      <c r="G14" s="14">
        <f>IF(AND(D14="",E14=""),"",IF(E14="",D14,E14)-N(F14))</f>
        <v>50000</v>
      </c>
      <c r="H14" s="9" t="n">
        <v>46368</v>
      </c>
      <c r="I14" s="15" t="str">
        <f>IF(G14="","",IF(G14&lt;=0,"Paid",IF(N(F14)&gt;0,"Part paid","Not paid")))</f>
        <v>Part paid</v>
      </c>
      <c r="J14" s="5" t="n"/>
    </row>
    <row r="15">
      <c r="A15" s="5" t="inlineStr">
        <is>
          <t>Photo &amp; video</t>
        </is>
      </c>
      <c r="B15" s="5" t="inlineStr">
        <is>
          <t>Photo studio</t>
        </is>
      </c>
      <c r="C15" s="13" t="inlineStr">
        <is>
          <t>052-0000000</t>
        </is>
      </c>
      <c r="D15" s="11" t="n">
        <v>12000</v>
      </c>
      <c r="E15" s="11" t="n">
        <v>11000</v>
      </c>
      <c r="F15" s="11" t="n">
        <v>3000</v>
      </c>
      <c r="G15" s="14">
        <f>IF(AND(D15="",E15=""),"",IF(E15="",D15,E15)-N(F15))</f>
        <v>8000</v>
      </c>
      <c r="H15" s="9" t="n">
        <v>46398</v>
      </c>
      <c r="I15" s="15" t="str">
        <f>IF(G15="","",IF(G15&lt;=0,"Paid",IF(N(F15)&gt;0,"Part paid","Not paid")))</f>
        <v>Part paid</v>
      </c>
      <c r="J15" s="5" t="n"/>
    </row>
    <row r="16">
      <c r="A16" s="5" t="inlineStr">
        <is>
          <t>Music / DJ</t>
        </is>
      </c>
      <c r="B16" s="5" t="inlineStr">
        <is>
          <t>DJ</t>
        </is>
      </c>
      <c r="C16" s="13" t="inlineStr">
        <is>
          <t>054-0000000</t>
        </is>
      </c>
      <c r="D16" s="11" t="n">
        <v>7000</v>
      </c>
      <c r="E16" s="11" t="n">
        <v>6500</v>
      </c>
      <c r="F16" s="11" t="n">
        <v>6500</v>
      </c>
      <c r="G16" s="14">
        <f>IF(AND(D16="",E16=""),"",IF(E16="",D16,E16)-N(F16))</f>
        <v>0</v>
      </c>
      <c r="H16" s="9" t="n"/>
      <c r="I16" s="15" t="str">
        <f>IF(G16="","",IF(G16&lt;=0,"Paid",IF(N(F16)&gt;0,"Part paid","Not paid")))</f>
        <v>Paid</v>
      </c>
      <c r="J16" s="5" t="n"/>
    </row>
    <row r="17">
      <c r="A17" s="5" t="inlineStr">
        <is>
          <t>Decor &amp; flowers</t>
        </is>
      </c>
      <c r="B17" s="5" t="inlineStr">
        <is>
          <t>Field Flowers</t>
        </is>
      </c>
      <c r="C17" s="13" t="inlineStr">
        <is>
          <t>053-0000000</t>
        </is>
      </c>
      <c r="D17" s="11" t="n">
        <v>9000</v>
      </c>
      <c r="E17" s="16" t="n"/>
      <c r="F17" s="11" t="n">
        <v>0</v>
      </c>
      <c r="G17" s="14">
        <f>IF(AND(D17="",E17=""),"",IF(E17="",D17,E17)-N(F17))</f>
        <v>9000</v>
      </c>
      <c r="H17" s="9" t="n"/>
      <c r="I17" s="15" t="str">
        <f>IF(G17="","",IF(G17&lt;=0,"Paid",IF(N(F17)&gt;0,"Part paid","Not paid")))</f>
        <v>Not paid</v>
      </c>
      <c r="J17" s="5" t="n"/>
    </row>
    <row r="18">
      <c r="A18" s="5" t="inlineStr">
        <is>
          <t>Invitations</t>
        </is>
      </c>
      <c r="B18" s="5" t="inlineStr">
        <is>
          <t>Print shop</t>
        </is>
      </c>
      <c r="C18" s="13" t="inlineStr"/>
      <c r="D18" s="11" t="n">
        <v>1500</v>
      </c>
      <c r="E18" s="11" t="n">
        <v>1400</v>
      </c>
      <c r="F18" s="11" t="n">
        <v>1400</v>
      </c>
      <c r="G18" s="14">
        <f>IF(AND(D18="",E18=""),"",IF(E18="",D18,E18)-N(F18))</f>
        <v>0</v>
      </c>
      <c r="H18" s="9" t="n"/>
      <c r="I18" s="15" t="str">
        <f>IF(G18="","",IF(G18&lt;=0,"Paid",IF(N(F18)&gt;0,"Part paid","Not paid")))</f>
        <v>Paid</v>
      </c>
      <c r="J18" s="5" t="n"/>
    </row>
    <row r="19">
      <c r="A19" s="5" t="n"/>
      <c r="B19" s="5" t="n"/>
      <c r="C19" s="13" t="n"/>
      <c r="D19" s="16" t="n"/>
      <c r="E19" s="16" t="n"/>
      <c r="F19" s="16" t="n"/>
      <c r="G19" s="14" t="str">
        <f>IF(AND(D19="",E19=""),"",IF(E19="",D19,E19)-N(F19))</f>
        <v/>
      </c>
      <c r="H19" s="9" t="n"/>
      <c r="I19" s="15" t="str">
        <f>IF(G19="","",IF(G19&lt;=0,"Paid",IF(N(F19)&gt;0,"Part paid","Not paid")))</f>
        <v/>
      </c>
      <c r="J19" s="5" t="n"/>
    </row>
    <row r="20">
      <c r="A20" s="5" t="n"/>
      <c r="B20" s="5" t="n"/>
      <c r="C20" s="13" t="n"/>
      <c r="D20" s="16" t="n"/>
      <c r="E20" s="16" t="n"/>
      <c r="F20" s="16" t="n"/>
      <c r="G20" s="14" t="str">
        <f>IF(AND(D20="",E20=""),"",IF(E20="",D20,E20)-N(F20))</f>
        <v/>
      </c>
      <c r="H20" s="9" t="n"/>
      <c r="I20" s="15" t="str">
        <f>IF(G20="","",IF(G20&lt;=0,"Paid",IF(N(F20)&gt;0,"Part paid","Not paid")))</f>
        <v/>
      </c>
      <c r="J20" s="5" t="n"/>
    </row>
    <row r="21">
      <c r="A21" s="5" t="n"/>
      <c r="B21" s="5" t="n"/>
      <c r="C21" s="13" t="n"/>
      <c r="D21" s="16" t="n"/>
      <c r="E21" s="16" t="n"/>
      <c r="F21" s="16" t="n"/>
      <c r="G21" s="14" t="str">
        <f>IF(AND(D21="",E21=""),"",IF(E21="",D21,E21)-N(F21))</f>
        <v/>
      </c>
      <c r="H21" s="9" t="n"/>
      <c r="I21" s="15" t="str">
        <f>IF(G21="","",IF(G21&lt;=0,"Paid",IF(N(F21)&gt;0,"Part paid","Not paid")))</f>
        <v/>
      </c>
      <c r="J21" s="5" t="n"/>
    </row>
    <row r="22">
      <c r="A22" s="5" t="n"/>
      <c r="B22" s="5" t="n"/>
      <c r="C22" s="13" t="n"/>
      <c r="D22" s="16" t="n"/>
      <c r="E22" s="16" t="n"/>
      <c r="F22" s="16" t="n"/>
      <c r="G22" s="14" t="str">
        <f>IF(AND(D22="",E22=""),"",IF(E22="",D22,E22)-N(F22))</f>
        <v/>
      </c>
      <c r="H22" s="9" t="n"/>
      <c r="I22" s="15" t="str">
        <f>IF(G22="","",IF(G22&lt;=0,"Paid",IF(N(F22)&gt;0,"Part paid","Not paid")))</f>
        <v/>
      </c>
      <c r="J22" s="5" t="n"/>
    </row>
    <row r="23">
      <c r="A23" s="5" t="n"/>
      <c r="B23" s="5" t="n"/>
      <c r="C23" s="13" t="n"/>
      <c r="D23" s="16" t="n"/>
      <c r="E23" s="16" t="n"/>
      <c r="F23" s="16" t="n"/>
      <c r="G23" s="14" t="str">
        <f>IF(AND(D23="",E23=""),"",IF(E23="",D23,E23)-N(F23))</f>
        <v/>
      </c>
      <c r="H23" s="9" t="n"/>
      <c r="I23" s="15" t="str">
        <f>IF(G23="","",IF(G23&lt;=0,"Paid",IF(N(F23)&gt;0,"Part paid","Not paid")))</f>
        <v/>
      </c>
      <c r="J23" s="5" t="n"/>
    </row>
    <row r="24">
      <c r="A24" s="5" t="n"/>
      <c r="B24" s="5" t="n"/>
      <c r="C24" s="13" t="n"/>
      <c r="D24" s="16" t="n"/>
      <c r="E24" s="16" t="n"/>
      <c r="F24" s="16" t="n"/>
      <c r="G24" s="14" t="str">
        <f>IF(AND(D24="",E24=""),"",IF(E24="",D24,E24)-N(F24))</f>
        <v/>
      </c>
      <c r="H24" s="9" t="n"/>
      <c r="I24" s="15" t="str">
        <f>IF(G24="","",IF(G24&lt;=0,"Paid",IF(N(F24)&gt;0,"Part paid","Not paid")))</f>
        <v/>
      </c>
      <c r="J24" s="5" t="n"/>
    </row>
    <row r="25">
      <c r="A25" s="5" t="n"/>
      <c r="B25" s="5" t="n"/>
      <c r="C25" s="13" t="n"/>
      <c r="D25" s="16" t="n"/>
      <c r="E25" s="16" t="n"/>
      <c r="F25" s="16" t="n"/>
      <c r="G25" s="14" t="str">
        <f>IF(AND(D25="",E25=""),"",IF(E25="",D25,E25)-N(F25))</f>
        <v/>
      </c>
      <c r="H25" s="9" t="n"/>
      <c r="I25" s="15" t="str">
        <f>IF(G25="","",IF(G25&lt;=0,"Paid",IF(N(F25)&gt;0,"Part paid","Not paid")))</f>
        <v/>
      </c>
      <c r="J25" s="5" t="n"/>
    </row>
    <row r="26">
      <c r="A26" s="5" t="n"/>
      <c r="B26" s="5" t="n"/>
      <c r="C26" s="13" t="n"/>
      <c r="D26" s="16" t="n"/>
      <c r="E26" s="16" t="n"/>
      <c r="F26" s="16" t="n"/>
      <c r="G26" s="14" t="str">
        <f>IF(AND(D26="",E26=""),"",IF(E26="",D26,E26)-N(F26))</f>
        <v/>
      </c>
      <c r="H26" s="9" t="n"/>
      <c r="I26" s="15" t="str">
        <f>IF(G26="","",IF(G26&lt;=0,"Paid",IF(N(F26)&gt;0,"Part paid","Not paid")))</f>
        <v/>
      </c>
      <c r="J26" s="5" t="n"/>
    </row>
    <row r="27">
      <c r="A27" s="5" t="n"/>
      <c r="B27" s="5" t="n"/>
      <c r="C27" s="13" t="n"/>
      <c r="D27" s="16" t="n"/>
      <c r="E27" s="16" t="n"/>
      <c r="F27" s="16" t="n"/>
      <c r="G27" s="14" t="str">
        <f>IF(AND(D27="",E27=""),"",IF(E27="",D27,E27)-N(F27))</f>
        <v/>
      </c>
      <c r="H27" s="9" t="n"/>
      <c r="I27" s="15" t="str">
        <f>IF(G27="","",IF(G27&lt;=0,"Paid",IF(N(F27)&gt;0,"Part paid","Not paid")))</f>
        <v/>
      </c>
      <c r="J27" s="5" t="n"/>
    </row>
    <row r="28">
      <c r="A28" s="5" t="n"/>
      <c r="B28" s="5" t="n"/>
      <c r="C28" s="13" t="n"/>
      <c r="D28" s="16" t="n"/>
      <c r="E28" s="16" t="n"/>
      <c r="F28" s="16" t="n"/>
      <c r="G28" s="14" t="str">
        <f>IF(AND(D28="",E28=""),"",IF(E28="",D28,E28)-N(F28))</f>
        <v/>
      </c>
      <c r="H28" s="9" t="n"/>
      <c r="I28" s="15" t="str">
        <f>IF(G28="","",IF(G28&lt;=0,"Paid",IF(N(F28)&gt;0,"Part paid","Not paid")))</f>
        <v/>
      </c>
      <c r="J28" s="5" t="n"/>
    </row>
    <row r="29">
      <c r="A29" s="5" t="n"/>
      <c r="B29" s="5" t="n"/>
      <c r="C29" s="13" t="n"/>
      <c r="D29" s="16" t="n"/>
      <c r="E29" s="16" t="n"/>
      <c r="F29" s="16" t="n"/>
      <c r="G29" s="14" t="str">
        <f>IF(AND(D29="",E29=""),"",IF(E29="",D29,E29)-N(F29))</f>
        <v/>
      </c>
      <c r="H29" s="9" t="n"/>
      <c r="I29" s="15" t="str">
        <f>IF(G29="","",IF(G29&lt;=0,"Paid",IF(N(F29)&gt;0,"Part paid","Not paid")))</f>
        <v/>
      </c>
      <c r="J29" s="5" t="n"/>
    </row>
    <row r="30">
      <c r="A30" s="5" t="n"/>
      <c r="B30" s="5" t="n"/>
      <c r="C30" s="13" t="n"/>
      <c r="D30" s="16" t="n"/>
      <c r="E30" s="16" t="n"/>
      <c r="F30" s="16" t="n"/>
      <c r="G30" s="14" t="str">
        <f>IF(AND(D30="",E30=""),"",IF(E30="",D30,E30)-N(F30))</f>
        <v/>
      </c>
      <c r="H30" s="9" t="n"/>
      <c r="I30" s="15" t="str">
        <f>IF(G30="","",IF(G30&lt;=0,"Paid",IF(N(F30)&gt;0,"Part paid","Not paid")))</f>
        <v/>
      </c>
      <c r="J30" s="5" t="n"/>
    </row>
    <row r="31">
      <c r="A31" s="5" t="n"/>
      <c r="B31" s="5" t="n"/>
      <c r="C31" s="13" t="n"/>
      <c r="D31" s="16" t="n"/>
      <c r="E31" s="16" t="n"/>
      <c r="F31" s="16" t="n"/>
      <c r="G31" s="14" t="str">
        <f>IF(AND(D31="",E31=""),"",IF(E31="",D31,E31)-N(F31))</f>
        <v/>
      </c>
      <c r="H31" s="9" t="n"/>
      <c r="I31" s="15" t="str">
        <f>IF(G31="","",IF(G31&lt;=0,"Paid",IF(N(F31)&gt;0,"Part paid","Not paid")))</f>
        <v/>
      </c>
      <c r="J31" s="5" t="n"/>
    </row>
    <row r="32">
      <c r="A32" s="5" t="n"/>
      <c r="B32" s="5" t="n"/>
      <c r="C32" s="13" t="n"/>
      <c r="D32" s="16" t="n"/>
      <c r="E32" s="16" t="n"/>
      <c r="F32" s="16" t="n"/>
      <c r="G32" s="14" t="str">
        <f>IF(AND(D32="",E32=""),"",IF(E32="",D32,E32)-N(F32))</f>
        <v/>
      </c>
      <c r="H32" s="9" t="n"/>
      <c r="I32" s="15" t="str">
        <f>IF(G32="","",IF(G32&lt;=0,"Paid",IF(N(F32)&gt;0,"Part paid","Not paid")))</f>
        <v/>
      </c>
      <c r="J32" s="5" t="n"/>
    </row>
    <row r="33">
      <c r="A33" s="5" t="n"/>
      <c r="B33" s="5" t="n"/>
      <c r="C33" s="13" t="n"/>
      <c r="D33" s="16" t="n"/>
      <c r="E33" s="16" t="n"/>
      <c r="F33" s="16" t="n"/>
      <c r="G33" s="14" t="str">
        <f>IF(AND(D33="",E33=""),"",IF(E33="",D33,E33)-N(F33))</f>
        <v/>
      </c>
      <c r="H33" s="9" t="n"/>
      <c r="I33" s="15" t="str">
        <f>IF(G33="","",IF(G33&lt;=0,"Paid",IF(N(F33)&gt;0,"Part paid","Not paid")))</f>
        <v/>
      </c>
      <c r="J33" s="5" t="n"/>
    </row>
    <row r="34">
      <c r="A34" s="5" t="n"/>
      <c r="B34" s="5" t="n"/>
      <c r="C34" s="13" t="n"/>
      <c r="D34" s="16" t="n"/>
      <c r="E34" s="16" t="n"/>
      <c r="F34" s="16" t="n"/>
      <c r="G34" s="14" t="str">
        <f>IF(AND(D34="",E34=""),"",IF(E34="",D34,E34)-N(F34))</f>
        <v/>
      </c>
      <c r="H34" s="9" t="n"/>
      <c r="I34" s="15" t="str">
        <f>IF(G34="","",IF(G34&lt;=0,"Paid",IF(N(F34)&gt;0,"Part paid","Not paid")))</f>
        <v/>
      </c>
      <c r="J34" s="5" t="n"/>
    </row>
    <row r="35">
      <c r="A35" s="5" t="n"/>
      <c r="B35" s="5" t="n"/>
      <c r="C35" s="13" t="n"/>
      <c r="D35" s="16" t="n"/>
      <c r="E35" s="16" t="n"/>
      <c r="F35" s="16" t="n"/>
      <c r="G35" s="14" t="str">
        <f>IF(AND(D35="",E35=""),"",IF(E35="",D35,E35)-N(F35))</f>
        <v/>
      </c>
      <c r="H35" s="9" t="n"/>
      <c r="I35" s="15" t="str">
        <f>IF(G35="","",IF(G35&lt;=0,"Paid",IF(N(F35)&gt;0,"Part paid","Not paid")))</f>
        <v/>
      </c>
      <c r="J35" s="5" t="n"/>
    </row>
    <row r="36">
      <c r="A36" s="5" t="n"/>
      <c r="B36" s="5" t="n"/>
      <c r="C36" s="13" t="n"/>
      <c r="D36" s="16" t="n"/>
      <c r="E36" s="16" t="n"/>
      <c r="F36" s="16" t="n"/>
      <c r="G36" s="14" t="str">
        <f>IF(AND(D36="",E36=""),"",IF(E36="",D36,E36)-N(F36))</f>
        <v/>
      </c>
      <c r="H36" s="9" t="n"/>
      <c r="I36" s="15" t="str">
        <f>IF(G36="","",IF(G36&lt;=0,"Paid",IF(N(F36)&gt;0,"Part paid","Not paid")))</f>
        <v/>
      </c>
      <c r="J36" s="5" t="n"/>
    </row>
    <row r="37">
      <c r="A37" s="5" t="n"/>
      <c r="B37" s="5" t="n"/>
      <c r="C37" s="13" t="n"/>
      <c r="D37" s="16" t="n"/>
      <c r="E37" s="16" t="n"/>
      <c r="F37" s="16" t="n"/>
      <c r="G37" s="14" t="str">
        <f>IF(AND(D37="",E37=""),"",IF(E37="",D37,E37)-N(F37))</f>
        <v/>
      </c>
      <c r="H37" s="9" t="n"/>
      <c r="I37" s="15" t="str">
        <f>IF(G37="","",IF(G37&lt;=0,"Paid",IF(N(F37)&gt;0,"Part paid","Not paid")))</f>
        <v/>
      </c>
      <c r="J37" s="5" t="n"/>
    </row>
    <row r="38">
      <c r="A38" s="5" t="n"/>
      <c r="B38" s="5" t="n"/>
      <c r="C38" s="13" t="n"/>
      <c r="D38" s="16" t="n"/>
      <c r="E38" s="16" t="n"/>
      <c r="F38" s="16" t="n"/>
      <c r="G38" s="14" t="str">
        <f>IF(AND(D38="",E38=""),"",IF(E38="",D38,E38)-N(F38))</f>
        <v/>
      </c>
      <c r="H38" s="9" t="n"/>
      <c r="I38" s="15" t="str">
        <f>IF(G38="","",IF(G38&lt;=0,"Paid",IF(N(F38)&gt;0,"Part paid","Not paid")))</f>
        <v/>
      </c>
      <c r="J38" s="5" t="n"/>
    </row>
    <row r="39">
      <c r="A39" s="5" t="n"/>
      <c r="B39" s="5" t="n"/>
      <c r="C39" s="13" t="n"/>
      <c r="D39" s="16" t="n"/>
      <c r="E39" s="16" t="n"/>
      <c r="F39" s="16" t="n"/>
      <c r="G39" s="14" t="str">
        <f>IF(AND(D39="",E39=""),"",IF(E39="",D39,E39)-N(F39))</f>
        <v/>
      </c>
      <c r="H39" s="9" t="n"/>
      <c r="I39" s="15" t="str">
        <f>IF(G39="","",IF(G39&lt;=0,"Paid",IF(N(F39)&gt;0,"Part paid","Not paid")))</f>
        <v/>
      </c>
      <c r="J39" s="5" t="n"/>
    </row>
    <row r="40">
      <c r="A40" s="5" t="n"/>
      <c r="B40" s="5" t="n"/>
      <c r="C40" s="13" t="n"/>
      <c r="D40" s="16" t="n"/>
      <c r="E40" s="16" t="n"/>
      <c r="F40" s="16" t="n"/>
      <c r="G40" s="14" t="str">
        <f>IF(AND(D40="",E40=""),"",IF(E40="",D40,E40)-N(F40))</f>
        <v/>
      </c>
      <c r="H40" s="9" t="n"/>
      <c r="I40" s="15" t="str">
        <f>IF(G40="","",IF(G40&lt;=0,"Paid",IF(N(F40)&gt;0,"Part paid","Not paid")))</f>
        <v/>
      </c>
      <c r="J40" s="5" t="n"/>
    </row>
    <row r="41">
      <c r="A41" s="5" t="n"/>
      <c r="B41" s="5" t="n"/>
      <c r="C41" s="13" t="n"/>
      <c r="D41" s="16" t="n"/>
      <c r="E41" s="16" t="n"/>
      <c r="F41" s="16" t="n"/>
      <c r="G41" s="14" t="str">
        <f>IF(AND(D41="",E41=""),"",IF(E41="",D41,E41)-N(F41))</f>
        <v/>
      </c>
      <c r="H41" s="9" t="n"/>
      <c r="I41" s="15" t="str">
        <f>IF(G41="","",IF(G41&lt;=0,"Paid",IF(N(F41)&gt;0,"Part paid","Not paid")))</f>
        <v/>
      </c>
      <c r="J41" s="5" t="n"/>
    </row>
    <row r="42">
      <c r="A42" s="5" t="n"/>
      <c r="B42" s="5" t="n"/>
      <c r="C42" s="13" t="n"/>
      <c r="D42" s="16" t="n"/>
      <c r="E42" s="16" t="n"/>
      <c r="F42" s="16" t="n"/>
      <c r="G42" s="14" t="str">
        <f>IF(AND(D42="",E42=""),"",IF(E42="",D42,E42)-N(F42))</f>
        <v/>
      </c>
      <c r="H42" s="9" t="n"/>
      <c r="I42" s="15" t="str">
        <f>IF(G42="","",IF(G42&lt;=0,"Paid",IF(N(F42)&gt;0,"Part paid","Not paid")))</f>
        <v/>
      </c>
      <c r="J42" s="5" t="n"/>
    </row>
    <row r="43">
      <c r="A43" s="5" t="n"/>
      <c r="B43" s="5" t="n"/>
      <c r="C43" s="13" t="n"/>
      <c r="D43" s="16" t="n"/>
      <c r="E43" s="16" t="n"/>
      <c r="F43" s="16" t="n"/>
      <c r="G43" s="14" t="str">
        <f>IF(AND(D43="",E43=""),"",IF(E43="",D43,E43)-N(F43))</f>
        <v/>
      </c>
      <c r="H43" s="9" t="n"/>
      <c r="I43" s="15" t="str">
        <f>IF(G43="","",IF(G43&lt;=0,"Paid",IF(N(F43)&gt;0,"Part paid","Not paid")))</f>
        <v/>
      </c>
      <c r="J43" s="5" t="n"/>
    </row>
    <row r="44">
      <c r="A44" s="5" t="n"/>
      <c r="B44" s="5" t="n"/>
      <c r="C44" s="13" t="n"/>
      <c r="D44" s="16" t="n"/>
      <c r="E44" s="16" t="n"/>
      <c r="F44" s="16" t="n"/>
      <c r="G44" s="14" t="str">
        <f>IF(AND(D44="",E44=""),"",IF(E44="",D44,E44)-N(F44))</f>
        <v/>
      </c>
      <c r="H44" s="9" t="n"/>
      <c r="I44" s="15" t="str">
        <f>IF(G44="","",IF(G44&lt;=0,"Paid",IF(N(F44)&gt;0,"Part paid","Not paid")))</f>
        <v/>
      </c>
      <c r="J44" s="5" t="n"/>
    </row>
    <row r="45">
      <c r="A45" s="5" t="n"/>
      <c r="B45" s="5" t="n"/>
      <c r="C45" s="13" t="n"/>
      <c r="D45" s="16" t="n"/>
      <c r="E45" s="16" t="n"/>
      <c r="F45" s="16" t="n"/>
      <c r="G45" s="14" t="str">
        <f>IF(AND(D45="",E45=""),"",IF(E45="",D45,E45)-N(F45))</f>
        <v/>
      </c>
      <c r="H45" s="9" t="n"/>
      <c r="I45" s="15" t="str">
        <f>IF(G45="","",IF(G45&lt;=0,"Paid",IF(N(F45)&gt;0,"Part paid","Not paid")))</f>
        <v/>
      </c>
      <c r="J45" s="5" t="n"/>
    </row>
    <row r="46">
      <c r="A46" s="5" t="n"/>
      <c r="B46" s="5" t="n"/>
      <c r="C46" s="13" t="n"/>
      <c r="D46" s="16" t="n"/>
      <c r="E46" s="16" t="n"/>
      <c r="F46" s="16" t="n"/>
      <c r="G46" s="14" t="str">
        <f>IF(AND(D46="",E46=""),"",IF(E46="",D46,E46)-N(F46))</f>
        <v/>
      </c>
      <c r="H46" s="9" t="n"/>
      <c r="I46" s="15" t="str">
        <f>IF(G46="","",IF(G46&lt;=0,"Paid",IF(N(F46)&gt;0,"Part paid","Not paid")))</f>
        <v/>
      </c>
      <c r="J46" s="5" t="n"/>
    </row>
    <row r="47">
      <c r="A47" s="5" t="n"/>
      <c r="B47" s="5" t="n"/>
      <c r="C47" s="13" t="n"/>
      <c r="D47" s="16" t="n"/>
      <c r="E47" s="16" t="n"/>
      <c r="F47" s="16" t="n"/>
      <c r="G47" s="14" t="str">
        <f>IF(AND(D47="",E47=""),"",IF(E47="",D47,E47)-N(F47))</f>
        <v/>
      </c>
      <c r="H47" s="9" t="n"/>
      <c r="I47" s="15" t="str">
        <f>IF(G47="","",IF(G47&lt;=0,"Paid",IF(N(F47)&gt;0,"Part paid","Not paid")))</f>
        <v/>
      </c>
      <c r="J47" s="5" t="n"/>
    </row>
    <row r="48">
      <c r="A48" s="5" t="n"/>
      <c r="B48" s="5" t="n"/>
      <c r="C48" s="13" t="n"/>
      <c r="D48" s="16" t="n"/>
      <c r="E48" s="16" t="n"/>
      <c r="F48" s="16" t="n"/>
      <c r="G48" s="14" t="str">
        <f>IF(AND(D48="",E48=""),"",IF(E48="",D48,E48)-N(F48))</f>
        <v/>
      </c>
      <c r="H48" s="9" t="n"/>
      <c r="I48" s="15" t="str">
        <f>IF(G48="","",IF(G48&lt;=0,"Paid",IF(N(F48)&gt;0,"Part paid","Not paid")))</f>
        <v/>
      </c>
      <c r="J48" s="5" t="n"/>
    </row>
    <row r="49">
      <c r="A49" s="5" t="n"/>
      <c r="B49" s="5" t="n"/>
      <c r="C49" s="13" t="n"/>
      <c r="D49" s="16" t="n"/>
      <c r="E49" s="16" t="n"/>
      <c r="F49" s="16" t="n"/>
      <c r="G49" s="14" t="str">
        <f>IF(AND(D49="",E49=""),"",IF(E49="",D49,E49)-N(F49))</f>
        <v/>
      </c>
      <c r="H49" s="9" t="n"/>
      <c r="I49" s="15" t="str">
        <f>IF(G49="","",IF(G49&lt;=0,"Paid",IF(N(F49)&gt;0,"Part paid","Not paid")))</f>
        <v/>
      </c>
      <c r="J49" s="5" t="n"/>
    </row>
    <row r="50">
      <c r="A50" s="5" t="n"/>
      <c r="B50" s="5" t="n"/>
      <c r="C50" s="13" t="n"/>
      <c r="D50" s="16" t="n"/>
      <c r="E50" s="16" t="n"/>
      <c r="F50" s="16" t="n"/>
      <c r="G50" s="14" t="str">
        <f>IF(AND(D50="",E50=""),"",IF(E50="",D50,E50)-N(F50))</f>
        <v/>
      </c>
      <c r="H50" s="9" t="n"/>
      <c r="I50" s="15" t="str">
        <f>IF(G50="","",IF(G50&lt;=0,"Paid",IF(N(F50)&gt;0,"Part paid","Not paid")))</f>
        <v/>
      </c>
      <c r="J50" s="5" t="n"/>
    </row>
    <row r="51">
      <c r="A51" s="5" t="n"/>
      <c r="B51" s="5" t="n"/>
      <c r="C51" s="13" t="n"/>
      <c r="D51" s="16" t="n"/>
      <c r="E51" s="16" t="n"/>
      <c r="F51" s="16" t="n"/>
      <c r="G51" s="14" t="str">
        <f>IF(AND(D51="",E51=""),"",IF(E51="",D51,E51)-N(F51))</f>
        <v/>
      </c>
      <c r="H51" s="9" t="n"/>
      <c r="I51" s="15" t="str">
        <f>IF(G51="","",IF(G51&lt;=0,"Paid",IF(N(F51)&gt;0,"Part paid","Not paid")))</f>
        <v/>
      </c>
      <c r="J51" s="5" t="n"/>
    </row>
    <row r="52">
      <c r="A52" s="5" t="n"/>
      <c r="B52" s="5" t="n"/>
      <c r="C52" s="13" t="n"/>
      <c r="D52" s="16" t="n"/>
      <c r="E52" s="16" t="n"/>
      <c r="F52" s="16" t="n"/>
      <c r="G52" s="14" t="str">
        <f>IF(AND(D52="",E52=""),"",IF(E52="",D52,E52)-N(F52))</f>
        <v/>
      </c>
      <c r="H52" s="9" t="n"/>
      <c r="I52" s="15" t="str">
        <f>IF(G52="","",IF(G52&lt;=0,"Paid",IF(N(F52)&gt;0,"Part paid","Not paid")))</f>
        <v/>
      </c>
      <c r="J52" s="5" t="n"/>
    </row>
    <row r="53">
      <c r="A53" s="5" t="n"/>
      <c r="B53" s="5" t="n"/>
      <c r="C53" s="13" t="n"/>
      <c r="D53" s="16" t="n"/>
      <c r="E53" s="16" t="n"/>
      <c r="F53" s="16" t="n"/>
      <c r="G53" s="14" t="str">
        <f>IF(AND(D53="",E53=""),"",IF(E53="",D53,E53)-N(F53))</f>
        <v/>
      </c>
      <c r="H53" s="9" t="n"/>
      <c r="I53" s="15" t="str">
        <f>IF(G53="","",IF(G53&lt;=0,"Paid",IF(N(F53)&gt;0,"Part paid","Not paid")))</f>
        <v/>
      </c>
      <c r="J53" s="5" t="n"/>
    </row>
    <row r="54">
      <c r="A54" s="5" t="n"/>
      <c r="B54" s="5" t="n"/>
      <c r="C54" s="13" t="n"/>
      <c r="D54" s="16" t="n"/>
      <c r="E54" s="16" t="n"/>
      <c r="F54" s="16" t="n"/>
      <c r="G54" s="14" t="str">
        <f>IF(AND(D54="",E54=""),"",IF(E54="",D54,E54)-N(F54))</f>
        <v/>
      </c>
      <c r="H54" s="9" t="n"/>
      <c r="I54" s="15" t="str">
        <f>IF(G54="","",IF(G54&lt;=0,"Paid",IF(N(F54)&gt;0,"Part paid","Not paid")))</f>
        <v/>
      </c>
      <c r="J54" s="5" t="n"/>
    </row>
    <row r="55">
      <c r="A55" s="5" t="n"/>
      <c r="B55" s="5" t="n"/>
      <c r="C55" s="13" t="n"/>
      <c r="D55" s="16" t="n"/>
      <c r="E55" s="16" t="n"/>
      <c r="F55" s="16" t="n"/>
      <c r="G55" s="14" t="str">
        <f>IF(AND(D55="",E55=""),"",IF(E55="",D55,E55)-N(F55))</f>
        <v/>
      </c>
      <c r="H55" s="9" t="n"/>
      <c r="I55" s="15" t="str">
        <f>IF(G55="","",IF(G55&lt;=0,"Paid",IF(N(F55)&gt;0,"Part paid","Not paid")))</f>
        <v/>
      </c>
      <c r="J55" s="5" t="n"/>
    </row>
    <row r="56">
      <c r="A56" s="5" t="n"/>
      <c r="B56" s="5" t="n"/>
      <c r="C56" s="13" t="n"/>
      <c r="D56" s="16" t="n"/>
      <c r="E56" s="16" t="n"/>
      <c r="F56" s="16" t="n"/>
      <c r="G56" s="14" t="str">
        <f>IF(AND(D56="",E56=""),"",IF(E56="",D56,E56)-N(F56))</f>
        <v/>
      </c>
      <c r="H56" s="9" t="n"/>
      <c r="I56" s="15" t="str">
        <f>IF(G56="","",IF(G56&lt;=0,"Paid",IF(N(F56)&gt;0,"Part paid","Not paid")))</f>
        <v/>
      </c>
      <c r="J56" s="5" t="n"/>
    </row>
    <row r="57">
      <c r="A57" s="5" t="n"/>
      <c r="B57" s="5" t="n"/>
      <c r="C57" s="13" t="n"/>
      <c r="D57" s="16" t="n"/>
      <c r="E57" s="16" t="n"/>
      <c r="F57" s="16" t="n"/>
      <c r="G57" s="14" t="str">
        <f>IF(AND(D57="",E57=""),"",IF(E57="",D57,E57)-N(F57))</f>
        <v/>
      </c>
      <c r="H57" s="9" t="n"/>
      <c r="I57" s="15" t="str">
        <f>IF(G57="","",IF(G57&lt;=0,"Paid",IF(N(F57)&gt;0,"Part paid","Not paid")))</f>
        <v/>
      </c>
      <c r="J57" s="5" t="n"/>
    </row>
    <row r="58">
      <c r="A58" s="5" t="n"/>
      <c r="B58" s="5" t="n"/>
      <c r="C58" s="13" t="n"/>
      <c r="D58" s="16" t="n"/>
      <c r="E58" s="16" t="n"/>
      <c r="F58" s="16" t="n"/>
      <c r="G58" s="14" t="str">
        <f>IF(AND(D58="",E58=""),"",IF(E58="",D58,E58)-N(F58))</f>
        <v/>
      </c>
      <c r="H58" s="9" t="n"/>
      <c r="I58" s="15" t="str">
        <f>IF(G58="","",IF(G58&lt;=0,"Paid",IF(N(F58)&gt;0,"Part paid","Not paid")))</f>
        <v/>
      </c>
      <c r="J58" s="5" t="n"/>
    </row>
    <row r="59">
      <c r="A59" s="5" t="n"/>
      <c r="B59" s="5" t="n"/>
      <c r="C59" s="13" t="n"/>
      <c r="D59" s="16" t="n"/>
      <c r="E59" s="16" t="n"/>
      <c r="F59" s="16" t="n"/>
      <c r="G59" s="14" t="str">
        <f>IF(AND(D59="",E59=""),"",IF(E59="",D59,E59)-N(F59))</f>
        <v/>
      </c>
      <c r="H59" s="9" t="n"/>
      <c r="I59" s="15" t="str">
        <f>IF(G59="","",IF(G59&lt;=0,"Paid",IF(N(F59)&gt;0,"Part paid","Not paid")))</f>
        <v/>
      </c>
      <c r="J59" s="5" t="n"/>
    </row>
    <row r="60">
      <c r="A60" s="5" t="n"/>
      <c r="B60" s="5" t="n"/>
      <c r="C60" s="13" t="n"/>
      <c r="D60" s="16" t="n"/>
      <c r="E60" s="16" t="n"/>
      <c r="F60" s="16" t="n"/>
      <c r="G60" s="14" t="str">
        <f>IF(AND(D60="",E60=""),"",IF(E60="",D60,E60)-N(F60))</f>
        <v/>
      </c>
      <c r="H60" s="9" t="n"/>
      <c r="I60" s="15" t="str">
        <f>IF(G60="","",IF(G60&lt;=0,"Paid",IF(N(F60)&gt;0,"Part paid","Not paid")))</f>
        <v/>
      </c>
      <c r="J60" s="5" t="n"/>
    </row>
    <row r="61">
      <c r="A61" s="5" t="n"/>
      <c r="B61" s="5" t="n"/>
      <c r="C61" s="13" t="n"/>
      <c r="D61" s="16" t="n"/>
      <c r="E61" s="16" t="n"/>
      <c r="F61" s="16" t="n"/>
      <c r="G61" s="14" t="str">
        <f>IF(AND(D61="",E61=""),"",IF(E61="",D61,E61)-N(F61))</f>
        <v/>
      </c>
      <c r="H61" s="9" t="n"/>
      <c r="I61" s="15" t="str">
        <f>IF(G61="","",IF(G61&lt;=0,"Paid",IF(N(F61)&gt;0,"Part paid","Not paid")))</f>
        <v/>
      </c>
      <c r="J61" s="5" t="n"/>
    </row>
    <row r="62">
      <c r="A62" s="5" t="n"/>
      <c r="B62" s="5" t="n"/>
      <c r="C62" s="13" t="n"/>
      <c r="D62" s="16" t="n"/>
      <c r="E62" s="16" t="n"/>
      <c r="F62" s="16" t="n"/>
      <c r="G62" s="14" t="str">
        <f>IF(AND(D62="",E62=""),"",IF(E62="",D62,E62)-N(F62))</f>
        <v/>
      </c>
      <c r="H62" s="9" t="n"/>
      <c r="I62" s="15" t="str">
        <f>IF(G62="","",IF(G62&lt;=0,"Paid",IF(N(F62)&gt;0,"Part paid","Not paid")))</f>
        <v/>
      </c>
      <c r="J62" s="5" t="n"/>
    </row>
    <row r="63">
      <c r="A63" s="5" t="n"/>
      <c r="B63" s="5" t="n"/>
      <c r="C63" s="13" t="n"/>
      <c r="D63" s="16" t="n"/>
      <c r="E63" s="16" t="n"/>
      <c r="F63" s="16" t="n"/>
      <c r="G63" s="14" t="str">
        <f>IF(AND(D63="",E63=""),"",IF(E63="",D63,E63)-N(F63))</f>
        <v/>
      </c>
      <c r="H63" s="9" t="n"/>
      <c r="I63" s="15" t="str">
        <f>IF(G63="","",IF(G63&lt;=0,"Paid",IF(N(F63)&gt;0,"Part paid","Not paid")))</f>
        <v/>
      </c>
      <c r="J63" s="5" t="n"/>
    </row>
    <row r="64">
      <c r="A64" s="5" t="n"/>
      <c r="B64" s="5" t="n"/>
      <c r="C64" s="13" t="n"/>
      <c r="D64" s="16" t="n"/>
      <c r="E64" s="16" t="n"/>
      <c r="F64" s="16" t="n"/>
      <c r="G64" s="14" t="str">
        <f>IF(AND(D64="",E64=""),"",IF(E64="",D64,E64)-N(F64))</f>
        <v/>
      </c>
      <c r="H64" s="9" t="n"/>
      <c r="I64" s="15" t="str">
        <f>IF(G64="","",IF(G64&lt;=0,"Paid",IF(N(F64)&gt;0,"Part paid","Not paid")))</f>
        <v/>
      </c>
      <c r="J64" s="5" t="n"/>
    </row>
    <row r="65">
      <c r="A65" s="5" t="n"/>
      <c r="B65" s="5" t="n"/>
      <c r="C65" s="13" t="n"/>
      <c r="D65" s="16" t="n"/>
      <c r="E65" s="16" t="n"/>
      <c r="F65" s="16" t="n"/>
      <c r="G65" s="14" t="str">
        <f>IF(AND(D65="",E65=""),"",IF(E65="",D65,E65)-N(F65))</f>
        <v/>
      </c>
      <c r="H65" s="9" t="n"/>
      <c r="I65" s="15" t="str">
        <f>IF(G65="","",IF(G65&lt;=0,"Paid",IF(N(F65)&gt;0,"Part paid","Not paid")))</f>
        <v/>
      </c>
      <c r="J65" s="5" t="n"/>
    </row>
    <row r="66">
      <c r="A66" s="5" t="n"/>
      <c r="B66" s="5" t="n"/>
      <c r="C66" s="13" t="n"/>
      <c r="D66" s="16" t="n"/>
      <c r="E66" s="16" t="n"/>
      <c r="F66" s="16" t="n"/>
      <c r="G66" s="14" t="str">
        <f>IF(AND(D66="",E66=""),"",IF(E66="",D66,E66)-N(F66))</f>
        <v/>
      </c>
      <c r="H66" s="9" t="n"/>
      <c r="I66" s="15" t="str">
        <f>IF(G66="","",IF(G66&lt;=0,"Paid",IF(N(F66)&gt;0,"Part paid","Not paid")))</f>
        <v/>
      </c>
      <c r="J66" s="5" t="n"/>
    </row>
    <row r="67">
      <c r="A67" s="5" t="n"/>
      <c r="B67" s="5" t="n"/>
      <c r="C67" s="13" t="n"/>
      <c r="D67" s="16" t="n"/>
      <c r="E67" s="16" t="n"/>
      <c r="F67" s="16" t="n"/>
      <c r="G67" s="14" t="str">
        <f>IF(AND(D67="",E67=""),"",IF(E67="",D67,E67)-N(F67))</f>
        <v/>
      </c>
      <c r="H67" s="9" t="n"/>
      <c r="I67" s="15" t="str">
        <f>IF(G67="","",IF(G67&lt;=0,"Paid",IF(N(F67)&gt;0,"Part paid","Not paid")))</f>
        <v/>
      </c>
      <c r="J67" s="5" t="n"/>
    </row>
    <row r="68">
      <c r="A68" s="5" t="n"/>
      <c r="B68" s="5" t="n"/>
      <c r="C68" s="13" t="n"/>
      <c r="D68" s="16" t="n"/>
      <c r="E68" s="16" t="n"/>
      <c r="F68" s="16" t="n"/>
      <c r="G68" s="14" t="str">
        <f>IF(AND(D68="",E68=""),"",IF(E68="",D68,E68)-N(F68))</f>
        <v/>
      </c>
      <c r="H68" s="9" t="n"/>
      <c r="I68" s="15" t="str">
        <f>IF(G68="","",IF(G68&lt;=0,"Paid",IF(N(F68)&gt;0,"Part paid","Not paid")))</f>
        <v/>
      </c>
      <c r="J68" s="5" t="n"/>
    </row>
    <row r="69">
      <c r="A69" s="5" t="n"/>
      <c r="B69" s="5" t="n"/>
      <c r="C69" s="13" t="n"/>
      <c r="D69" s="16" t="n"/>
      <c r="E69" s="16" t="n"/>
      <c r="F69" s="16" t="n"/>
      <c r="G69" s="14" t="str">
        <f>IF(AND(D69="",E69=""),"",IF(E69="",D69,E69)-N(F69))</f>
        <v/>
      </c>
      <c r="H69" s="9" t="n"/>
      <c r="I69" s="15" t="str">
        <f>IF(G69="","",IF(G69&lt;=0,"Paid",IF(N(F69)&gt;0,"Part paid","Not paid")))</f>
        <v/>
      </c>
      <c r="J69" s="5" t="n"/>
    </row>
    <row r="70">
      <c r="A70" s="5" t="n"/>
      <c r="B70" s="5" t="n"/>
      <c r="C70" s="13" t="n"/>
      <c r="D70" s="16" t="n"/>
      <c r="E70" s="16" t="n"/>
      <c r="F70" s="16" t="n"/>
      <c r="G70" s="14" t="str">
        <f>IF(AND(D70="",E70=""),"",IF(E70="",D70,E70)-N(F70))</f>
        <v/>
      </c>
      <c r="H70" s="9" t="n"/>
      <c r="I70" s="15" t="str">
        <f>IF(G70="","",IF(G70&lt;=0,"Paid",IF(N(F70)&gt;0,"Part paid","Not paid")))</f>
        <v/>
      </c>
      <c r="J70" s="5" t="n"/>
    </row>
    <row r="71">
      <c r="A71" s="5" t="n"/>
      <c r="B71" s="5" t="n"/>
      <c r="C71" s="13" t="n"/>
      <c r="D71" s="16" t="n"/>
      <c r="E71" s="16" t="n"/>
      <c r="F71" s="16" t="n"/>
      <c r="G71" s="14" t="str">
        <f>IF(AND(D71="",E71=""),"",IF(E71="",D71,E71)-N(F71))</f>
        <v/>
      </c>
      <c r="H71" s="9" t="n"/>
      <c r="I71" s="15" t="str">
        <f>IF(G71="","",IF(G71&lt;=0,"Paid",IF(N(F71)&gt;0,"Part paid","Not paid")))</f>
        <v/>
      </c>
      <c r="J71" s="5" t="n"/>
    </row>
    <row r="72">
      <c r="A72" s="5" t="n"/>
      <c r="B72" s="5" t="n"/>
      <c r="C72" s="13" t="n"/>
      <c r="D72" s="16" t="n"/>
      <c r="E72" s="16" t="n"/>
      <c r="F72" s="16" t="n"/>
      <c r="G72" s="14" t="str">
        <f>IF(AND(D72="",E72=""),"",IF(E72="",D72,E72)-N(F72))</f>
        <v/>
      </c>
      <c r="H72" s="9" t="n"/>
      <c r="I72" s="15" t="str">
        <f>IF(G72="","",IF(G72&lt;=0,"Paid",IF(N(F72)&gt;0,"Part paid","Not paid")))</f>
        <v/>
      </c>
      <c r="J72" s="5" t="n"/>
    </row>
  </sheetData>
  <mergeCells count="3">
    <mergeCell ref="A1:J1"/>
    <mergeCell ref="B4:C4"/>
    <mergeCell ref="A2:J2"/>
  </mergeCells>
  <conditionalFormatting sqref="F7">
    <cfRule type="cellIs" priority="1" operator="lessThan" dxfId="0">
      <formula>0</formula>
    </cfRule>
  </conditionalFormatting>
  <conditionalFormatting sqref="H5">
    <cfRule type="cellIs" priority="2" operator="lessThan" dxfId="0">
      <formula>0</formula>
    </cfRule>
  </conditionalFormatting>
  <conditionalFormatting sqref="I13:I72">
    <cfRule type="expression" priority="3" dxfId="1">
      <formula>I13="Paid"</formula>
    </cfRule>
    <cfRule type="expression" priority="4" dxfId="2">
      <formula>I13="Part paid"</formula>
    </cfRule>
    <cfRule type="expression" priority="5" dxfId="0">
      <formula>I13="Not paid"</formula>
    </cfRule>
  </conditionalFormatting>
  <conditionalFormatting sqref="H13:H72">
    <cfRule type="expression" priority="6" dxfId="3">
      <formula>AND(H13&lt;&gt;"",H13&lt;=TODAY()+7,G13&gt;0)</formula>
    </cfRule>
  </conditionalFormatting>
  <dataValidations count="2">
    <dataValidation sqref="A13:A72" showDropDown="0" showInputMessage="0" showErrorMessage="0" allowBlank="1" errorTitle="Not in the list" error="Pick from the list (you can edit it on the Lists sheet)" type="list" errorStyle="warning">
      <formula1>=EventCats</formula1>
    </dataValidation>
    <dataValidation sqref="D13:F72" showDropDown="0" showInputMessage="0" showErrorMessage="0" allowBlank="1" error="Enter a number" type="decimal" errorStyle="warning" operator="greaterThanOrEqual">
      <formula1>0</formula1>
    </dataValidation>
  </dataValidations>
  <printOptions horizontalCentered="1"/>
  <pageMargins left="0.4" right="0.4"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B29"/>
  <sheetViews>
    <sheetView showGridLines="0" rightToLeft="0" zoomScale="100" workbookViewId="0">
      <selection activeCell="A1" sqref="A1"/>
    </sheetView>
  </sheetViews>
  <sheetFormatPr baseColWidth="8" defaultRowHeight="15"/>
  <cols>
    <col width="26" customWidth="1" min="1" max="1"/>
  </cols>
  <sheetData>
    <row r="1" ht="34" customHeight="1">
      <c r="A1" s="1" t="inlineStr">
        <is>
          <t>Dropdown lists</t>
        </is>
      </c>
      <c r="B1" s="2" t="n"/>
    </row>
    <row r="2" ht="44" customHeight="1">
      <c r="A2" s="3" t="inlineStr">
        <is>
          <t>Change, add or remove items — the dropdowns in the workbook update by themselves.</t>
        </is>
      </c>
    </row>
    <row r="4" ht="32" customHeight="1">
      <c r="A4" s="12" t="inlineStr">
        <is>
          <t>Categories</t>
        </is>
      </c>
    </row>
    <row r="5">
      <c r="A5" s="5" t="inlineStr">
        <is>
          <t>Venue</t>
        </is>
      </c>
    </row>
    <row r="6">
      <c r="A6" s="5" t="inlineStr">
        <is>
          <t>Catering</t>
        </is>
      </c>
    </row>
    <row r="7">
      <c r="A7" s="5" t="inlineStr">
        <is>
          <t>Photo &amp; video</t>
        </is>
      </c>
    </row>
    <row r="8">
      <c r="A8" s="5" t="inlineStr">
        <is>
          <t>Music / DJ</t>
        </is>
      </c>
    </row>
    <row r="9">
      <c r="A9" s="5" t="inlineStr">
        <is>
          <t>Decor &amp; flowers</t>
        </is>
      </c>
    </row>
    <row r="10">
      <c r="A10" s="5" t="inlineStr">
        <is>
          <t>Invitations</t>
        </is>
      </c>
    </row>
    <row r="11">
      <c r="A11" s="5" t="inlineStr">
        <is>
          <t>Outfits &amp; make-up</t>
        </is>
      </c>
    </row>
    <row r="12">
      <c r="A12" s="5" t="inlineStr">
        <is>
          <t>Officiant</t>
        </is>
      </c>
    </row>
    <row r="13">
      <c r="A13" s="5" t="inlineStr">
        <is>
          <t>Transport</t>
        </is>
      </c>
    </row>
    <row r="14">
      <c r="A14" s="5" t="inlineStr">
        <is>
          <t>Guest favours</t>
        </is>
      </c>
    </row>
    <row r="15">
      <c r="A15" s="5" t="inlineStr">
        <is>
          <t>Drinks &amp; bar</t>
        </is>
      </c>
    </row>
    <row r="16">
      <c r="A16" s="5" t="inlineStr">
        <is>
          <t>Other</t>
        </is>
      </c>
    </row>
    <row r="17">
      <c r="A17" s="5" t="n"/>
    </row>
    <row r="18">
      <c r="A18" s="5" t="n"/>
    </row>
    <row r="19">
      <c r="A19" s="5" t="n"/>
    </row>
    <row r="20">
      <c r="A20" s="5" t="n"/>
    </row>
    <row r="21">
      <c r="A21" s="5" t="n"/>
    </row>
    <row r="22">
      <c r="A22" s="5" t="n"/>
    </row>
    <row r="23">
      <c r="A23" s="5" t="n"/>
    </row>
    <row r="24">
      <c r="A24" s="5" t="n"/>
    </row>
    <row r="25">
      <c r="A25" s="5" t="n"/>
    </row>
    <row r="26">
      <c r="A26" s="5" t="n"/>
    </row>
    <row r="27">
      <c r="A27" s="5" t="n"/>
    </row>
    <row r="28">
      <c r="A28" s="5" t="n"/>
    </row>
    <row r="29">
      <c r="A29" s="5" t="n"/>
    </row>
  </sheetData>
  <mergeCells count="2">
    <mergeCell ref="A2:B2"/>
    <mergeCell ref="A1:B1"/>
  </mergeCells>
  <printOptions horizontalCentered="1"/>
  <pageMargins left="0.4" right="0.4"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2026-10-13T06:02:37Z</dcterms:created>
  <dcterms:modified xmlns:dcterms="http://purl.org/dc/terms/" xmlns:xsi="http://www.w3.org/2001/XMLSchema-instance" xsi:type="dcterms:W3CDTF">2026-10-13T06:02:37Z</dcterms:modified>
</cp:coreProperties>
</file>