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נקודת איזו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<sst xmlns="http://schemas.openxmlformats.org/spreadsheetml/2006/main" count="16" uniqueCount="16">
  <si>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ניתוח נקודת איזון ותמחור</t>
  </si>
  <si>
    <t xml:space="preserve">מלאו את שלושת התאים הצהובים (הוצאות קבועות, עלות משתנה ליחידה, מחיר מכירה) — כל שאר הגיליון מתעדכן אוטומטית.</t>
  </si>
  <si>
    <t xml:space="preserve">נתוני יסוד</t>
  </si>
  <si>
    <t xml:space="preserve">הוצאות קבועות חודשיות (₪)</t>
  </si>
  <si>
    <t xml:space="preserve">עלות משתנה ליחידה (₪)</t>
  </si>
  <si>
    <t xml:space="preserve">מחיר מכירה ליחידה (₪)</t>
  </si>
  <si>
    <t xml:space="preserve">תוצאות</t>
  </si>
  <si>
    <t xml:space="preserve">רווח תרומה ליחידה (₪)</t>
  </si>
  <si>
    <t xml:space="preserve">שיעור רווח תרומה</t>
  </si>
  <si>
    <t xml:space="preserve">נקודת איזון (יחידות)</t>
  </si>
  <si>
    <t xml:space="preserve">נקודת איזון (הכנסות בש"ח)</t>
  </si>
  <si>
    <t xml:space="preserve">תרחישי מכירה</t>
  </si>
  <si>
    <t xml:space="preserve">יחידות שנמכרו</t>
  </si>
  <si>
    <t xml:space="preserve">הכנסות (₪)</t>
  </si>
  <si>
    <t xml:space="preserve">עלות משתנה כוללת (₪)</t>
  </si>
  <si>
    <t xml:space="preserve">רווח/הפסד (₪)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</si>
</sst>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₪&quot;"/>
    <numFmt numFmtId="166" formatCode="0.0%"/>
    <numFmt numFmtId="167" formatCode="0"/>
    <numFmt numFmtId="168" formatCode="#,##0&quot; ₪&quot;;\(#,##0&quot; ₪)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3"/>
      <color rgb="FF1F5C4E"/>
      <name val="Arial"/>
      <family val="0"/>
      <charset val="1"/>
    </font>
    <font>
      <sz val="11"/>
      <color rgb="FF22222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0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2.65" hidden="false" customHeight="false" outlineLevel="0" collapsed="false">
      <c r="A2" s="2" t="s">
        <v>1</v>
      </c>
      <c r="B2" s="2"/>
      <c r="C2" s="2"/>
      <c r="D2" s="2"/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12000</v>
      </c>
    </row>
    <row r="6" customFormat="false" ht="15" hidden="false" customHeight="false" outlineLevel="0" collapsed="false">
      <c r="A6" s="4" t="s">
        <v>4</v>
      </c>
      <c r="B6" s="5" t="n">
        <v>45</v>
      </c>
    </row>
    <row r="7" customFormat="false" ht="15" hidden="false" customHeight="false" outlineLevel="0" collapsed="false">
      <c r="A7" s="4" t="s">
        <v>5</v>
      </c>
      <c r="B7" s="5" t="n">
        <v>85</v>
      </c>
    </row>
    <row r="9" customFormat="false" ht="16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  <c r="B10" s="6" t="n">
        <f aca="false">B7-B6</f>
        <v>40</v>
      </c>
    </row>
    <row r="11" customFormat="false" ht="15" hidden="false" customHeight="false" outlineLevel="0" collapsed="false">
      <c r="A11" s="4" t="s">
        <v>8</v>
      </c>
      <c r="B11" s="7" t="n">
        <f aca="false">B10/B7</f>
        <v>0.470588235294118</v>
      </c>
    </row>
    <row r="12" customFormat="false" ht="15" hidden="false" customHeight="false" outlineLevel="0" collapsed="false">
      <c r="A12" s="8" t="s">
        <v>9</v>
      </c>
      <c r="B12" s="9" t="n">
        <f aca="false">B5/B10</f>
        <v>300</v>
      </c>
    </row>
    <row r="13" customFormat="false" ht="15" hidden="false" customHeight="false" outlineLevel="0" collapsed="false">
      <c r="A13" s="8" t="s">
        <v>10</v>
      </c>
      <c r="B13" s="10" t="n">
        <f aca="false">B12*B7</f>
        <v>25500</v>
      </c>
    </row>
    <row r="15" customFormat="false" ht="16.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11" t="s">
        <v>12</v>
      </c>
      <c r="B16" s="11" t="s">
        <v>13</v>
      </c>
      <c r="C16" s="11" t="s">
        <v>14</v>
      </c>
      <c r="D16" s="11" t="s">
        <v>15</v>
      </c>
    </row>
    <row r="17" customFormat="false" ht="15" hidden="false" customHeight="false" outlineLevel="0" collapsed="false">
      <c r="A17" s="4" t="n">
        <v>0</v>
      </c>
      <c r="B17" s="12" t="n">
        <f aca="false">A17*$B$7</f>
        <v>0</v>
      </c>
      <c r="C17" s="12" t="n">
        <f aca="false">A17*$B$6</f>
        <v>0</v>
      </c>
      <c r="D17" s="13" t="n">
        <f aca="false">B17-C17-$B$5</f>
        <v>-12000</v>
      </c>
    </row>
    <row r="18" customFormat="false" ht="15" hidden="false" customHeight="false" outlineLevel="0" collapsed="false">
      <c r="A18" s="4" t="n">
        <f aca="false">ROUND(B12*0.5,0)</f>
        <v>150</v>
      </c>
      <c r="B18" s="12" t="n">
        <f aca="false">A18*$B$7</f>
        <v>12750</v>
      </c>
      <c r="C18" s="12" t="n">
        <f aca="false">A18*$B$6</f>
        <v>6750</v>
      </c>
      <c r="D18" s="13" t="n">
        <f aca="false">B18-C18-$B$5</f>
        <v>-6000</v>
      </c>
    </row>
    <row r="19" customFormat="false" ht="15" hidden="false" customHeight="false" outlineLevel="0" collapsed="false">
      <c r="A19" s="4" t="n">
        <f aca="false">ROUND(B12*1,0)</f>
        <v>300</v>
      </c>
      <c r="B19" s="12" t="n">
        <f aca="false">A19*$B$7</f>
        <v>25500</v>
      </c>
      <c r="C19" s="12" t="n">
        <f aca="false">A19*$B$6</f>
        <v>13500</v>
      </c>
      <c r="D19" s="13" t="n">
        <f aca="false">B19-C19-$B$5</f>
        <v>0</v>
      </c>
    </row>
    <row r="20" customFormat="false" ht="15" hidden="false" customHeight="false" outlineLevel="0" collapsed="false">
      <c r="A20" s="4" t="n">
        <f aca="false">ROUND(B12*1.5,0)</f>
        <v>450</v>
      </c>
      <c r="B20" s="12" t="n">
        <f aca="false">A20*$B$7</f>
        <v>38250</v>
      </c>
      <c r="C20" s="12" t="n">
        <f aca="false">A20*$B$6</f>
        <v>20250</v>
      </c>
      <c r="D20" s="13" t="n">
        <f aca="false">B20-C20-$B$5</f>
        <v>6000</v>
      </c>
    </row>
    <row r="21" customFormat="false" ht="15" hidden="false" customHeight="false" outlineLevel="0" collapsed="false">
      <c r="A21" s="4" t="n">
        <f aca="false">ROUND(B12*2,0)</f>
        <v>600</v>
      </c>
      <c r="B21" s="12" t="n">
        <f aca="false">A21*$B$7</f>
        <v>51000</v>
      </c>
      <c r="C21" s="12" t="n">
        <f aca="false">A21*$B$6</f>
        <v>27000</v>
      </c>
      <c r="D21" s="13" t="n">
        <f aca="false">B21-C21-$B$5</f>
        <v>12000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2026-09-14T13:01:36Z</dcterms:created>
  <dc:creator>openpyxl</dc:creator>
  <dc:description/>
  <dc:language>en-US</dc:language>
  <cp:lastModifiedBy/>
  <dcterms:modified xsi:type="dcterms:W3CDTF">2026-09-14T13:01:36Z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