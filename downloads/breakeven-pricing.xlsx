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קודת איזו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₪&quot;;[Red]-#,##0 &quot;₪&quot;"/>
    <numFmt numFmtId="165" formatCode="#,##0.00 &quot;₪&quot;;[Red]-#,##0.00 &quot;₪&quot;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1F5C4E"/>
      <sz val="12"/>
    </font>
    <font>
      <name val="Arial"/>
      <color rgb="00222222"/>
      <sz val="11"/>
    </font>
    <font>
      <name val="Arial"/>
      <color rgb="000000CC"/>
      <sz val="11"/>
    </font>
    <font>
      <name val="Arial"/>
      <color rgb="00B42318"/>
      <sz val="11"/>
    </font>
    <font>
      <name val="Arial"/>
      <b val="1"/>
      <color rgb="00222222"/>
      <sz val="11"/>
    </font>
    <font>
      <name val="Arial"/>
      <b val="1"/>
      <color rgb="00FFFFFF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6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/>
      <top style="thin">
        <color rgb="00D9DED9"/>
      </top>
      <bottom style="thin">
        <color rgb="00D9DED9"/>
      </bottom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0" borderId="0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readingOrder="2"/>
    </xf>
    <xf numFmtId="164" fontId="5" fillId="3" borderId="1" applyAlignment="1" pivotButton="0" quotePrefix="0" xfId="0">
      <alignment vertical="center" readingOrder="2"/>
    </xf>
    <xf numFmtId="165" fontId="5" fillId="3" borderId="1" applyAlignment="1" pivotButton="0" quotePrefix="0" xfId="0">
      <alignment vertical="center" readingOrder="2"/>
    </xf>
    <xf numFmtId="0" fontId="6" fillId="0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165" fontId="4" fillId="0" borderId="1" applyAlignment="1" pivotButton="0" quotePrefix="0" xfId="0">
      <alignment vertical="center" readingOrder="2"/>
    </xf>
    <xf numFmtId="166" fontId="4" fillId="0" borderId="1" applyAlignment="1" pivotButton="0" quotePrefix="0" xfId="0">
      <alignment vertical="center" readingOrder="2"/>
    </xf>
    <xf numFmtId="0" fontId="7" fillId="0" borderId="1" applyAlignment="1" pivotButton="0" quotePrefix="0" xfId="0">
      <alignment horizontal="right" vertical="center" readingOrder="2"/>
    </xf>
    <xf numFmtId="3" fontId="7" fillId="4" borderId="1" applyAlignment="1" pivotButton="0" quotePrefix="0" xfId="0">
      <alignment vertical="center" readingOrder="2"/>
    </xf>
    <xf numFmtId="164" fontId="4" fillId="0" borderId="1" applyAlignment="1" pivotButton="0" quotePrefix="0" xfId="0">
      <alignment vertical="center" readingOrder="2"/>
    </xf>
    <xf numFmtId="3" fontId="4" fillId="0" borderId="1" applyAlignment="1" pivotButton="0" quotePrefix="0" xfId="0">
      <alignment vertical="center" readingOrder="2"/>
    </xf>
    <xf numFmtId="0" fontId="8" fillId="2" borderId="1" applyAlignment="1" pivotButton="0" quotePrefix="0" xfId="0">
      <alignment horizontal="center" vertical="center" wrapText="1" readingOrder="2"/>
    </xf>
    <xf numFmtId="164" fontId="7" fillId="0" borderId="1" applyAlignment="1" pivotButton="0" quotePrefix="0" xfId="0">
      <alignment vertical="center" readingOrder="2"/>
    </xf>
    <xf numFmtId="0" fontId="4" fillId="0" borderId="1" applyAlignment="1" pivotButton="0" quotePrefix="0" xfId="0">
      <alignment horizontal="center" vertical="center" readingOrder="2"/>
    </xf>
    <xf numFmtId="3" fontId="5" fillId="3" borderId="1" applyAlignment="1" pivotButton="0" quotePrefix="0" xfId="0">
      <alignment vertical="center" readingOrder="2"/>
    </xf>
    <xf numFmtId="0" fontId="9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dxfs count="2"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rightToLeft="1" zoomScale="10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20" customWidth="1" min="4" max="4"/>
    <col width="18" customWidth="1" min="5" max="5"/>
  </cols>
  <sheetData>
    <row r="1" ht="34" customHeight="1">
      <c r="A1" s="1" t="inlineStr">
        <is>
          <t>נקודת איזון ותמחור</t>
        </is>
      </c>
      <c r="B1" s="2" t="n"/>
      <c r="C1" s="2" t="n"/>
      <c r="D1" s="2" t="n"/>
      <c r="E1" s="2" t="n"/>
    </row>
    <row r="2" ht="30" customHeight="1">
      <c r="A2" s="3" t="inlineStr">
        <is>
          <t>ממלאים ארבעה תאים צהובים — הגיליון מחשב כמה צריך למכור כדי לא להפסיד, וכמה כדי להגיע לרווח שאתם רוצים.</t>
        </is>
      </c>
    </row>
    <row r="4">
      <c r="A4" s="4" t="inlineStr">
        <is>
          <t>נתוני יסוד</t>
        </is>
      </c>
    </row>
    <row r="5">
      <c r="A5" s="5" t="inlineStr">
        <is>
          <t>הוצאות קבועות בחודש (₪)</t>
        </is>
      </c>
      <c r="B5" s="6" t="n">
        <v>12000</v>
      </c>
    </row>
    <row r="6">
      <c r="A6" s="5" t="inlineStr">
        <is>
          <t>עלות משתנה ליחידה / ללקוח (₪)</t>
        </is>
      </c>
      <c r="B6" s="7" t="n">
        <v>45</v>
      </c>
    </row>
    <row r="7">
      <c r="A7" s="5" t="inlineStr">
        <is>
          <t>מחיר מכירה ליחידה (לפני מע״מ) (₪)</t>
        </is>
      </c>
      <c r="B7" s="7" t="n">
        <v>85</v>
      </c>
      <c r="C7" s="8" t="str">
        <f>IF(B7&lt;=B6,"⚠ המחיר לא מכסה את העלות ליחידה — אין נקודת איזון","")</f>
        <v/>
      </c>
      <c r="D7" s="9" t="n"/>
      <c r="E7" s="10" t="n"/>
    </row>
    <row r="8">
      <c r="A8" s="5" t="inlineStr">
        <is>
          <t>רווח חודשי שאתם רוצים (₪)</t>
        </is>
      </c>
      <c r="B8" s="6" t="n">
        <v>8000</v>
      </c>
    </row>
    <row r="10">
      <c r="A10" s="4" t="inlineStr">
        <is>
          <t>תוצאות</t>
        </is>
      </c>
    </row>
    <row r="11">
      <c r="A11" s="5" t="inlineStr">
        <is>
          <t>רווח תרומה ליחידה (₪)</t>
        </is>
      </c>
      <c r="B11" s="11">
        <f>B7-B6</f>
        <v>40</v>
      </c>
    </row>
    <row r="12">
      <c r="A12" s="5" t="inlineStr">
        <is>
          <t>שיעור רווח תרומה</t>
        </is>
      </c>
      <c r="B12" s="12">
        <f>IFERROR(B11/B7,0)</f>
        <v>0.470588235294118</v>
      </c>
    </row>
    <row r="13">
      <c r="A13" s="13" t="inlineStr">
        <is>
          <t>נקודת איזון — יחידות בחודש</t>
        </is>
      </c>
      <c r="B13" s="14">
        <f>IF(B11&lt;=0,"—",ROUNDUP(B5/B11,0))</f>
        <v>300</v>
      </c>
    </row>
    <row r="14">
      <c r="A14" s="5" t="inlineStr">
        <is>
          <t>נקודת איזון — מחזור בחודש (₪)</t>
        </is>
      </c>
      <c r="B14" s="15">
        <f>IF(B11&lt;=0,"—",B13*B7)</f>
        <v>25500</v>
      </c>
    </row>
    <row r="15">
      <c r="A15" s="13" t="inlineStr">
        <is>
          <t>יחידות לרווח היעד</t>
        </is>
      </c>
      <c r="B15" s="14">
        <f>IF(B11&lt;=0,"—",ROUNDUP((B5+B8)/B11,0))</f>
        <v>500</v>
      </c>
    </row>
    <row r="16">
      <c r="A16" s="5" t="inlineStr">
        <is>
          <t>מחזור לרווח היעד (₪)</t>
        </is>
      </c>
      <c r="B16" s="15">
        <f>IF(B11&lt;=0,"—",B15*B7)</f>
        <v>42500</v>
      </c>
    </row>
    <row r="17">
      <c r="A17" s="5" t="inlineStr">
        <is>
          <t>ביום עבודה (22 ימים בחודש) — יחידות לרווח היעד</t>
        </is>
      </c>
      <c r="B17" s="16">
        <f>IF(B11&lt;=0,"—",ROUNDUP(B15/22,0))</f>
        <v>23</v>
      </c>
    </row>
    <row r="19">
      <c r="A19" s="4" t="inlineStr">
        <is>
          <t>תרחישי מכירה</t>
        </is>
      </c>
    </row>
    <row r="20" ht="32" customHeight="1">
      <c r="A20" s="17" t="inlineStr">
        <is>
          <t>יחידות שנמכרו</t>
        </is>
      </c>
      <c r="B20" s="17" t="inlineStr">
        <is>
          <t>מחזור (₪)</t>
        </is>
      </c>
      <c r="C20" s="17" t="inlineStr">
        <is>
          <t>עלות משתנה (₪)</t>
        </is>
      </c>
      <c r="D20" s="17" t="inlineStr">
        <is>
          <t>רווח / הפסד (₪)</t>
        </is>
      </c>
      <c r="E20" s="17" t="inlineStr">
        <is>
          <t>מצב</t>
        </is>
      </c>
    </row>
    <row r="21">
      <c r="A21" s="16">
        <f>IF(ISNUMBER($B$13),ROUND($B$13*0.25,0),25)</f>
        <v>75</v>
      </c>
      <c r="B21" s="15">
        <f>A21*$B$7</f>
        <v>6375</v>
      </c>
      <c r="C21" s="15">
        <f>A21*$B$6</f>
        <v>3375</v>
      </c>
      <c r="D21" s="18">
        <f>B21-C21-$B$5</f>
        <v>-9000</v>
      </c>
      <c r="E21" s="19" t="str">
        <f>IF(D21&gt;=0,"רווח","הפסד")</f>
        <v>הפסד</v>
      </c>
    </row>
    <row r="22">
      <c r="A22" s="16">
        <f>IF(ISNUMBER($B$13),ROUND($B$13*0.5,0),50)</f>
        <v>150</v>
      </c>
      <c r="B22" s="15">
        <f>A22*$B$7</f>
        <v>12750</v>
      </c>
      <c r="C22" s="15">
        <f>A22*$B$6</f>
        <v>6750</v>
      </c>
      <c r="D22" s="18">
        <f>B22-C22-$B$5</f>
        <v>-6000</v>
      </c>
      <c r="E22" s="19" t="str">
        <f>IF(D22&gt;=0,"רווח","הפסד")</f>
        <v>הפסד</v>
      </c>
    </row>
    <row r="23">
      <c r="A23" s="16">
        <f>IF(ISNUMBER($B$13),ROUND($B$13*0.75,0),75)</f>
        <v>225</v>
      </c>
      <c r="B23" s="15">
        <f>A23*$B$7</f>
        <v>19125</v>
      </c>
      <c r="C23" s="15">
        <f>A23*$B$6</f>
        <v>10125</v>
      </c>
      <c r="D23" s="18">
        <f>B23-C23-$B$5</f>
        <v>-3000</v>
      </c>
      <c r="E23" s="19" t="str">
        <f>IF(D23&gt;=0,"רווח","הפסד")</f>
        <v>הפסד</v>
      </c>
    </row>
    <row r="24">
      <c r="A24" s="16">
        <f>IF(ISNUMBER($B$13),ROUND($B$13*1,0),100)</f>
        <v>300</v>
      </c>
      <c r="B24" s="15">
        <f>A24*$B$7</f>
        <v>25500</v>
      </c>
      <c r="C24" s="15">
        <f>A24*$B$6</f>
        <v>13500</v>
      </c>
      <c r="D24" s="18">
        <f>B24-C24-$B$5</f>
        <v>0</v>
      </c>
      <c r="E24" s="19" t="str">
        <f>IF(D24&gt;=0,"רווח","הפסד")</f>
        <v>רווח</v>
      </c>
    </row>
    <row r="25">
      <c r="A25" s="16">
        <f>IF(ISNUMBER($B$13),ROUND($B$13*1.25,0),125)</f>
        <v>375</v>
      </c>
      <c r="B25" s="15">
        <f>A25*$B$7</f>
        <v>31875</v>
      </c>
      <c r="C25" s="15">
        <f>A25*$B$6</f>
        <v>16875</v>
      </c>
      <c r="D25" s="18">
        <f>B25-C25-$B$5</f>
        <v>3000</v>
      </c>
      <c r="E25" s="19" t="str">
        <f>IF(D25&gt;=0,"רווח","הפסד")</f>
        <v>רווח</v>
      </c>
    </row>
    <row r="26">
      <c r="A26" s="16">
        <f>IF(ISNUMBER($B$13),ROUND($B$13*1.5,0),150)</f>
        <v>450</v>
      </c>
      <c r="B26" s="15">
        <f>A26*$B$7</f>
        <v>38250</v>
      </c>
      <c r="C26" s="15">
        <f>A26*$B$6</f>
        <v>20250</v>
      </c>
      <c r="D26" s="18">
        <f>B26-C26-$B$5</f>
        <v>6000</v>
      </c>
      <c r="E26" s="19" t="str">
        <f>IF(D26&gt;=0,"רווח","הפסד")</f>
        <v>רווח</v>
      </c>
    </row>
    <row r="27">
      <c r="A27" s="16">
        <f>IF(ISNUMBER($B$13),ROUND($B$13*2,0),200)</f>
        <v>600</v>
      </c>
      <c r="B27" s="15">
        <f>A27*$B$7</f>
        <v>51000</v>
      </c>
      <c r="C27" s="15">
        <f>A27*$B$6</f>
        <v>27000</v>
      </c>
      <c r="D27" s="18">
        <f>B27-C27-$B$5</f>
        <v>12000</v>
      </c>
      <c r="E27" s="19" t="str">
        <f>IF(D27&gt;=0,"רווח","הפסד")</f>
        <v>רווח</v>
      </c>
    </row>
    <row r="28">
      <c r="A28" s="20" t="n">
        <v>500</v>
      </c>
      <c r="B28" s="15">
        <f>A28*$B$7</f>
        <v>42500</v>
      </c>
      <c r="C28" s="15">
        <f>A28*$B$6</f>
        <v>22500</v>
      </c>
      <c r="D28" s="18">
        <f>B28-C28-$B$5</f>
        <v>8000</v>
      </c>
      <c r="E28" s="19" t="str">
        <f>IF(D28&gt;=0,"רווח","הפסד")</f>
        <v>רווח</v>
      </c>
    </row>
    <row r="29" ht="28" customHeight="1">
      <c r="A29" s="21" t="inlineStr">
        <is>
          <t>השורה האחרונה: הקלידו כל כמות שתרצו לבדוק.</t>
        </is>
      </c>
    </row>
  </sheetData>
  <mergeCells count="4">
    <mergeCell ref="A2:E2"/>
    <mergeCell ref="C7:E7"/>
    <mergeCell ref="A1:E1"/>
    <mergeCell ref="A29:E29"/>
  </mergeCells>
  <conditionalFormatting sqref="D21:D28">
    <cfRule type="cellIs" priority="1" operator="lessThan" dxfId="0">
      <formula>0</formula>
    </cfRule>
  </conditionalFormatting>
  <conditionalFormatting sqref="E21:E28">
    <cfRule type="expression" priority="2" dxfId="1">
      <formula>E21="רווח"</formula>
    </cfRule>
    <cfRule type="expression" priority="3" dxfId="0">
      <formula>E21="הפסד"</formula>
    </cfRule>
  </conditionalFormatting>
  <dataValidations count="1">
    <dataValidation sqref="B5:B8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2026-10-13T06:02:02Z</dcterms:created>
  <dcterms:modified xmlns:dcterms="http://purl.org/dc/terms/" xmlns:xsi="http://www.w3.org/2001/XMLSchema-instance" xsi:type="dcterms:W3CDTF">2026-10-13T06:02:02Z</dcterms:modified>
</cp:coreProperties>
</file>