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יומן" sheetId="1" state="visible" r:id="rId1"/>
    <sheet xmlns:r="http://schemas.openxmlformats.org/officeDocument/2006/relationships" name="סיכום חודשי" sheetId="2" state="visible" r:id="rId2"/>
    <sheet xmlns:r="http://schemas.openxmlformats.org/officeDocument/2006/relationships" name="לפי קטגוריה" sheetId="3" state="visible" r:id="rId3"/>
    <sheet xmlns:r="http://schemas.openxmlformats.org/officeDocument/2006/relationships" name="הגדרות" sheetId="4" state="visible" r:id="rId4"/>
    <sheet xmlns:r="http://schemas.openxmlformats.org/officeDocument/2006/relationships" name="רשימות" sheetId="5" state="visible" r:id="rId5"/>
  </sheets>
  <definedNames>
    <definedName name="TaxRate">'הגדרות'!$B$8</definedName>
    <definedName name="Year">'הגדרות'!$B$5</definedName>
    <definedName name="IncCats">'רשימות'!$A$5:$A$24</definedName>
    <definedName name="ExpCats">'רשימות'!$B$5:$B$34</definedName>
    <definedName name="_xlnm._FilterDatabase" localSheetId="0" hidden="1">'יומן'!$A$7:$K$1007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₪&quot;;[Red]-#,##0 &quot;₪&quot;"/>
    <numFmt numFmtId="165" formatCode="yyyy-mm-dd"/>
    <numFmt numFmtId="166" formatCode="dd/mm/yyyy"/>
    <numFmt numFmtId="167" formatCode="#,##0.00 &quot;₪&quot;;[Red]-#,##0.00 &quot;₪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readingOrder="2"/>
    </xf>
    <xf numFmtId="0" fontId="0" fillId="0" borderId="4" pivotButton="0" quotePrefix="0" xfId="0"/>
    <xf numFmtId="164" fontId="7" fillId="4" borderId="1" applyAlignment="1" pivotButton="0" quotePrefix="0" xfId="0">
      <alignment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166" fontId="4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center" vertical="center" readingOrder="2"/>
    </xf>
    <xf numFmtId="0" fontId="4" fillId="3" borderId="1" applyAlignment="1" pivotButton="0" quotePrefix="0" xfId="0">
      <alignment horizontal="right" vertical="center" readingOrder="2"/>
    </xf>
    <xf numFmtId="167" fontId="4" fillId="3" borderId="1" applyAlignment="1" pivotButton="0" quotePrefix="0" xfId="0">
      <alignment vertical="center" readingOrder="2"/>
    </xf>
    <xf numFmtId="167" fontId="8" fillId="0" borderId="1" applyAlignment="1" pivotButton="0" quotePrefix="0" xfId="0">
      <alignment vertical="center" readingOrder="2"/>
    </xf>
    <xf numFmtId="1" fontId="8" fillId="0" borderId="1" applyAlignment="1" pivotButton="0" quotePrefix="0" xfId="0">
      <alignment horizontal="center" vertical="center" readingOrder="2"/>
    </xf>
    <xf numFmtId="167" fontId="4" fillId="3" borderId="1" applyAlignment="1" pivotButton="0" quotePrefix="0" xfId="0">
      <alignment horizontal="right" vertical="center" readingOrder="2"/>
    </xf>
    <xf numFmtId="0" fontId="3" fillId="0" borderId="1" applyAlignment="1" pivotButton="0" quotePrefix="0" xfId="0">
      <alignment horizontal="right" vertical="center" readingOrder="2"/>
    </xf>
    <xf numFmtId="164" fontId="8" fillId="0" borderId="1" applyAlignment="1" pivotButton="0" quotePrefix="0" xfId="0">
      <alignment vertical="center" readingOrder="2"/>
    </xf>
    <xf numFmtId="164" fontId="3" fillId="0" borderId="1" applyAlignment="1" pivotButton="0" quotePrefix="0" xfId="0">
      <alignment vertical="center" readingOrder="2"/>
    </xf>
    <xf numFmtId="9" fontId="8" fillId="0" borderId="1" applyAlignment="1" pivotButton="0" quotePrefix="0" xfId="0">
      <alignment vertical="center" readingOrder="2"/>
    </xf>
    <xf numFmtId="164" fontId="3" fillId="4" borderId="1" applyAlignment="1" pivotButton="0" quotePrefix="0" xfId="0">
      <alignment vertical="center" readingOrder="2"/>
    </xf>
    <xf numFmtId="9" fontId="3" fillId="4" borderId="1" applyAlignment="1" pivotButton="0" quotePrefix="0" xfId="0">
      <alignment vertical="center" readingOrder="2"/>
    </xf>
    <xf numFmtId="0" fontId="8" fillId="0" borderId="1" applyAlignment="1" pivotButton="0" quotePrefix="0" xfId="0">
      <alignment horizontal="right" vertical="center" readingOrder="2"/>
    </xf>
    <xf numFmtId="1" fontId="4" fillId="3" borderId="1" applyAlignment="1" pivotButton="0" quotePrefix="0" xfId="0">
      <alignment vertical="center" readingOrder="2"/>
    </xf>
    <xf numFmtId="9" fontId="4" fillId="3" borderId="1" applyAlignment="1" pivotButton="0" quotePrefix="0" xfId="0">
      <alignment vertical="center" readingOrder="2"/>
    </xf>
    <xf numFmtId="0" fontId="5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הכנסות מול הוצאות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'סיכום חודשי'!B4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'סיכום חודשי'!$A$5:$A$16</f>
            </numRef>
          </cat>
          <val>
            <numRef>
              <f>'סיכום חודשי'!$B$5:$B$16</f>
            </numRef>
          </val>
        </ser>
        <ser>
          <idx val="1"/>
          <order val="1"/>
          <tx>
            <strRef>
              <f>'סיכום חודשי'!C4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'סיכום חודשי'!$A$5:$A$16</f>
            </numRef>
          </cat>
          <val>
            <numRef>
              <f>'סיכום חודשי'!$C$5:$C$16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7"/>
  <sheetViews>
    <sheetView showGridLines="0" rightToLeft="1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28" customWidth="1" min="4" max="4"/>
    <col width="20" customWidth="1" min="5" max="5"/>
    <col width="13" customWidth="1" min="6" max="6"/>
    <col width="15" customWidth="1" min="7" max="7"/>
    <col width="12" customWidth="1" min="8" max="8"/>
    <col width="12" customWidth="1" min="9" max="9"/>
    <col width="15" customWidth="1" min="10" max="10"/>
    <col width="8" customWidth="1" min="11" max="11"/>
  </cols>
  <sheetData>
    <row r="1" ht="34" customHeight="1">
      <c r="A1" s="1" t="inlineStr">
        <is>
          <t>יומן הכנסות והוצאות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כל תנועה בשורה: תאריך, הכנסה או הוצאה, קטגוריה וסכום ששולם (כולל מע״מ). ״כולל מע״מ?״ = לא, למשל על הוצאה בלי חשבונית מס. כל הסיכומים בגיליון ״סיכום חודשי״.</t>
        </is>
      </c>
    </row>
    <row r="4">
      <c r="A4" s="4" t="inlineStr">
        <is>
          <t>הכנסות השנה (לפני מע״מ)</t>
        </is>
      </c>
      <c r="B4" s="5" t="n"/>
      <c r="C4" s="6">
        <f>SUMIFS($J$8:$J$1007,$B$8:$B$1007,"הכנסה",$K$8:$K$1007,Year)</f>
        <v>17000</v>
      </c>
      <c r="D4" s="4" t="inlineStr">
        <is>
          <t>הוצאות השנה (לפני מע״מ)</t>
        </is>
      </c>
      <c r="E4" s="6">
        <f>SUMIFS($J$8:$J$1007,$B$8:$B$1007,"הוצאה",$K$8:$K$1007,Year)</f>
        <v>7159</v>
      </c>
      <c r="F4" s="4" t="inlineStr">
        <is>
          <t>רווח</t>
        </is>
      </c>
      <c r="G4" s="6">
        <f>C4-E4</f>
        <v>9841</v>
      </c>
    </row>
    <row r="7" ht="32" customHeight="1">
      <c r="A7" s="7" t="inlineStr">
        <is>
          <t>תאריך</t>
        </is>
      </c>
      <c r="B7" s="7" t="inlineStr">
        <is>
          <t>סוג</t>
        </is>
      </c>
      <c r="C7" s="7" t="inlineStr">
        <is>
          <t>קטגוריה</t>
        </is>
      </c>
      <c r="D7" s="7" t="inlineStr">
        <is>
          <t>תיאור</t>
        </is>
      </c>
      <c r="E7" s="7" t="inlineStr">
        <is>
          <t>לקוח / ספק</t>
        </is>
      </c>
      <c r="F7" s="7" t="inlineStr">
        <is>
          <t>מס׳ חשבונית</t>
        </is>
      </c>
      <c r="G7" s="7" t="inlineStr">
        <is>
          <t>סכום ששולם (₪)</t>
        </is>
      </c>
      <c r="H7" s="7" t="inlineStr">
        <is>
          <t>כולל מע״מ?</t>
        </is>
      </c>
      <c r="I7" s="7" t="inlineStr">
        <is>
          <t>מע״מ (₪)</t>
        </is>
      </c>
      <c r="J7" s="7" t="inlineStr">
        <is>
          <t>לפני מע״מ (₪)</t>
        </is>
      </c>
      <c r="K7" s="7" t="inlineStr">
        <is>
          <t>שנה</t>
        </is>
      </c>
    </row>
    <row r="8">
      <c r="A8" s="8" t="n">
        <v>46389</v>
      </c>
      <c r="B8" s="9" t="inlineStr">
        <is>
          <t>הכנסה</t>
        </is>
      </c>
      <c r="C8" s="10" t="inlineStr">
        <is>
          <t>שירותים</t>
        </is>
      </c>
      <c r="D8" s="10" t="inlineStr">
        <is>
          <t>ריטיינר חודשי</t>
        </is>
      </c>
      <c r="E8" s="10" t="inlineStr">
        <is>
          <t>לקוח א׳</t>
        </is>
      </c>
      <c r="F8" s="10" t="inlineStr">
        <is>
          <t>1001</t>
        </is>
      </c>
      <c r="G8" s="11" t="n">
        <v>4720</v>
      </c>
      <c r="H8" s="9" t="inlineStr">
        <is>
          <t>כן</t>
        </is>
      </c>
      <c r="I8" s="12">
        <f>IF(G8="","",IF(H8="לא",0,ROUND(G8*TaxRate/(1+TaxRate),2)))</f>
        <v>720</v>
      </c>
      <c r="J8" s="12">
        <f>IF(G8="","",G8-I8)</f>
        <v>4000</v>
      </c>
      <c r="K8" s="13">
        <f>IF(A8="","",YEAR(A8))</f>
        <v>2027</v>
      </c>
    </row>
    <row r="9">
      <c r="A9" s="8" t="n">
        <v>46390</v>
      </c>
      <c r="B9" s="9" t="inlineStr">
        <is>
          <t>הוצאה</t>
        </is>
      </c>
      <c r="C9" s="10" t="inlineStr">
        <is>
          <t>שכירות</t>
        </is>
      </c>
      <c r="D9" s="10" t="inlineStr">
        <is>
          <t>שכירות סטודיו</t>
        </is>
      </c>
      <c r="E9" s="10" t="inlineStr">
        <is>
          <t>בעל הנכס</t>
        </is>
      </c>
      <c r="F9" s="10" t="inlineStr"/>
      <c r="G9" s="11" t="n">
        <v>3000</v>
      </c>
      <c r="H9" s="9" t="inlineStr">
        <is>
          <t>לא</t>
        </is>
      </c>
      <c r="I9" s="12">
        <f>IF(G9="","",IF(H9="לא",0,ROUND(G9*TaxRate/(1+TaxRate),2)))</f>
        <v>0</v>
      </c>
      <c r="J9" s="12">
        <f>IF(G9="","",G9-I9)</f>
        <v>3000</v>
      </c>
      <c r="K9" s="13">
        <f>IF(A9="","",YEAR(A9))</f>
        <v>2027</v>
      </c>
    </row>
    <row r="10">
      <c r="A10" s="8" t="n">
        <v>46396</v>
      </c>
      <c r="B10" s="9" t="inlineStr">
        <is>
          <t>הכנסה</t>
        </is>
      </c>
      <c r="C10" s="10" t="inlineStr">
        <is>
          <t>מכירות</t>
        </is>
      </c>
      <c r="D10" s="10" t="inlineStr">
        <is>
          <t>הזמנה מהאתר</t>
        </is>
      </c>
      <c r="E10" s="10" t="inlineStr">
        <is>
          <t>לקוח ב׳</t>
        </is>
      </c>
      <c r="F10" s="10" t="inlineStr">
        <is>
          <t>1002</t>
        </is>
      </c>
      <c r="G10" s="11" t="n">
        <v>1180</v>
      </c>
      <c r="H10" s="9" t="inlineStr">
        <is>
          <t>כן</t>
        </is>
      </c>
      <c r="I10" s="12">
        <f>IF(G10="","",IF(H10="לא",0,ROUND(G10*TaxRate/(1+TaxRate),2)))</f>
        <v>180</v>
      </c>
      <c r="J10" s="12">
        <f>IF(G10="","",G10-I10)</f>
        <v>1000</v>
      </c>
      <c r="K10" s="13">
        <f>IF(A10="","",YEAR(A10))</f>
        <v>2027</v>
      </c>
    </row>
    <row r="11">
      <c r="A11" s="8" t="n">
        <v>46399</v>
      </c>
      <c r="B11" s="9" t="inlineStr">
        <is>
          <t>הוצאה</t>
        </is>
      </c>
      <c r="C11" s="10" t="inlineStr">
        <is>
          <t>שיווק ופרסום</t>
        </is>
      </c>
      <c r="D11" s="10" t="inlineStr">
        <is>
          <t>קמפיין ממומן</t>
        </is>
      </c>
      <c r="E11" s="10" t="inlineStr">
        <is>
          <t>Meta</t>
        </is>
      </c>
      <c r="F11" s="10" t="inlineStr"/>
      <c r="G11" s="11" t="n">
        <v>590</v>
      </c>
      <c r="H11" s="9" t="inlineStr">
        <is>
          <t>כן</t>
        </is>
      </c>
      <c r="I11" s="12">
        <f>IF(G11="","",IF(H11="לא",0,ROUND(G11*TaxRate/(1+TaxRate),2)))</f>
        <v>90</v>
      </c>
      <c r="J11" s="12">
        <f>IF(G11="","",G11-I11)</f>
        <v>500</v>
      </c>
      <c r="K11" s="13">
        <f>IF(A11="","",YEAR(A11))</f>
        <v>2027</v>
      </c>
    </row>
    <row r="12">
      <c r="A12" s="8" t="n">
        <v>46407</v>
      </c>
      <c r="B12" s="9" t="inlineStr">
        <is>
          <t>הוצאה</t>
        </is>
      </c>
      <c r="C12" s="10" t="inlineStr">
        <is>
          <t>תוכנות ומנויים</t>
        </is>
      </c>
      <c r="D12" s="10" t="inlineStr">
        <is>
          <t>מנוי חודשי</t>
        </is>
      </c>
      <c r="E12" s="10" t="inlineStr">
        <is>
          <t>Canva</t>
        </is>
      </c>
      <c r="F12" s="10" t="inlineStr"/>
      <c r="G12" s="11" t="n">
        <v>59</v>
      </c>
      <c r="H12" s="9" t="inlineStr">
        <is>
          <t>לא</t>
        </is>
      </c>
      <c r="I12" s="12">
        <f>IF(G12="","",IF(H12="לא",0,ROUND(G12*TaxRate/(1+TaxRate),2)))</f>
        <v>0</v>
      </c>
      <c r="J12" s="12">
        <f>IF(G12="","",G12-I12)</f>
        <v>59</v>
      </c>
      <c r="K12" s="13">
        <f>IF(A12="","",YEAR(A12))</f>
        <v>2027</v>
      </c>
    </row>
    <row r="13">
      <c r="A13" s="8" t="n">
        <v>46415</v>
      </c>
      <c r="B13" s="9" t="inlineStr">
        <is>
          <t>הכנסה</t>
        </is>
      </c>
      <c r="C13" s="10" t="inlineStr">
        <is>
          <t>שירותים</t>
        </is>
      </c>
      <c r="D13" s="10" t="inlineStr">
        <is>
          <t>פרויקט עיצוב</t>
        </is>
      </c>
      <c r="E13" s="10" t="inlineStr">
        <is>
          <t>לקוח ג׳</t>
        </is>
      </c>
      <c r="F13" s="10" t="inlineStr">
        <is>
          <t>1003</t>
        </is>
      </c>
      <c r="G13" s="11" t="n">
        <v>7080</v>
      </c>
      <c r="H13" s="9" t="inlineStr">
        <is>
          <t>כן</t>
        </is>
      </c>
      <c r="I13" s="12">
        <f>IF(G13="","",IF(H13="לא",0,ROUND(G13*TaxRate/(1+TaxRate),2)))</f>
        <v>1080</v>
      </c>
      <c r="J13" s="12">
        <f>IF(G13="","",G13-I13)</f>
        <v>6000</v>
      </c>
      <c r="K13" s="13">
        <f>IF(A13="","",YEAR(A13))</f>
        <v>2027</v>
      </c>
    </row>
    <row r="14">
      <c r="A14" s="8" t="n">
        <v>46420</v>
      </c>
      <c r="B14" s="9" t="inlineStr">
        <is>
          <t>הכנסה</t>
        </is>
      </c>
      <c r="C14" s="10" t="inlineStr">
        <is>
          <t>שירותים</t>
        </is>
      </c>
      <c r="D14" s="10" t="inlineStr">
        <is>
          <t>ריטיינר חודשי</t>
        </is>
      </c>
      <c r="E14" s="10" t="inlineStr">
        <is>
          <t>לקוח א׳</t>
        </is>
      </c>
      <c r="F14" s="10" t="inlineStr">
        <is>
          <t>1004</t>
        </is>
      </c>
      <c r="G14" s="11" t="n">
        <v>4720</v>
      </c>
      <c r="H14" s="9" t="inlineStr">
        <is>
          <t>כן</t>
        </is>
      </c>
      <c r="I14" s="12">
        <f>IF(G14="","",IF(H14="לא",0,ROUND(G14*TaxRate/(1+TaxRate),2)))</f>
        <v>720</v>
      </c>
      <c r="J14" s="12">
        <f>IF(G14="","",G14-I14)</f>
        <v>4000</v>
      </c>
      <c r="K14" s="13">
        <f>IF(A14="","",YEAR(A14))</f>
        <v>2027</v>
      </c>
    </row>
    <row r="15">
      <c r="A15" s="8" t="n">
        <v>46421</v>
      </c>
      <c r="B15" s="9" t="inlineStr">
        <is>
          <t>הוצאה</t>
        </is>
      </c>
      <c r="C15" s="10" t="inlineStr">
        <is>
          <t>שכירות</t>
        </is>
      </c>
      <c r="D15" s="10" t="inlineStr">
        <is>
          <t>שכירות סטודיו</t>
        </is>
      </c>
      <c r="E15" s="10" t="inlineStr">
        <is>
          <t>בעל הנכס</t>
        </is>
      </c>
      <c r="F15" s="10" t="inlineStr"/>
      <c r="G15" s="11" t="n">
        <v>3000</v>
      </c>
      <c r="H15" s="9" t="inlineStr">
        <is>
          <t>לא</t>
        </is>
      </c>
      <c r="I15" s="12">
        <f>IF(G15="","",IF(H15="לא",0,ROUND(G15*TaxRate/(1+TaxRate),2)))</f>
        <v>0</v>
      </c>
      <c r="J15" s="12">
        <f>IF(G15="","",G15-I15)</f>
        <v>3000</v>
      </c>
      <c r="K15" s="13">
        <f>IF(A15="","",YEAR(A15))</f>
        <v>2027</v>
      </c>
    </row>
    <row r="16">
      <c r="A16" s="8" t="n">
        <v>46433</v>
      </c>
      <c r="B16" s="9" t="inlineStr">
        <is>
          <t>הוצאה</t>
        </is>
      </c>
      <c r="C16" s="10" t="inlineStr">
        <is>
          <t>ייעוץ מקצועי</t>
        </is>
      </c>
      <c r="D16" s="10" t="inlineStr">
        <is>
          <t>רואה חשבון</t>
        </is>
      </c>
      <c r="E16" s="10" t="inlineStr">
        <is>
          <t>משרד רו״ח</t>
        </is>
      </c>
      <c r="F16" s="10" t="inlineStr"/>
      <c r="G16" s="11" t="n">
        <v>708</v>
      </c>
      <c r="H16" s="9" t="inlineStr">
        <is>
          <t>כן</t>
        </is>
      </c>
      <c r="I16" s="12">
        <f>IF(G16="","",IF(H16="לא",0,ROUND(G16*TaxRate/(1+TaxRate),2)))</f>
        <v>108</v>
      </c>
      <c r="J16" s="12">
        <f>IF(G16="","",G16-I16)</f>
        <v>600</v>
      </c>
      <c r="K16" s="13">
        <f>IF(A16="","",YEAR(A16))</f>
        <v>2027</v>
      </c>
    </row>
    <row r="17">
      <c r="A17" s="8" t="n">
        <v>46439</v>
      </c>
      <c r="B17" s="9" t="inlineStr">
        <is>
          <t>הכנסה</t>
        </is>
      </c>
      <c r="C17" s="10" t="inlineStr">
        <is>
          <t>מכירות</t>
        </is>
      </c>
      <c r="D17" s="10" t="inlineStr">
        <is>
          <t>הזמנה מהאתר</t>
        </is>
      </c>
      <c r="E17" s="10" t="inlineStr">
        <is>
          <t>לקוח ד׳</t>
        </is>
      </c>
      <c r="F17" s="10" t="inlineStr">
        <is>
          <t>1005</t>
        </is>
      </c>
      <c r="G17" s="11" t="n">
        <v>2360</v>
      </c>
      <c r="H17" s="9" t="inlineStr">
        <is>
          <t>כן</t>
        </is>
      </c>
      <c r="I17" s="12">
        <f>IF(G17="","",IF(H17="לא",0,ROUND(G17*TaxRate/(1+TaxRate),2)))</f>
        <v>360</v>
      </c>
      <c r="J17" s="12">
        <f>IF(G17="","",G17-I17)</f>
        <v>2000</v>
      </c>
      <c r="K17" s="13">
        <f>IF(A17="","",YEAR(A17))</f>
        <v>2027</v>
      </c>
    </row>
    <row r="18">
      <c r="A18" s="8" t="n"/>
      <c r="B18" s="9" t="n"/>
      <c r="C18" s="10" t="n"/>
      <c r="D18" s="10" t="n"/>
      <c r="E18" s="10" t="n"/>
      <c r="F18" s="10" t="n"/>
      <c r="G18" s="14" t="n"/>
      <c r="H18" s="9" t="n"/>
      <c r="I18" s="12" t="str">
        <f>IF(G18="","",IF(H18="לא",0,ROUND(G18*TaxRate/(1+TaxRate),2)))</f>
        <v/>
      </c>
      <c r="J18" s="12" t="str">
        <f>IF(G18="","",G18-I18)</f>
        <v/>
      </c>
      <c r="K18" s="13" t="str">
        <f>IF(A18="","",YEAR(A18))</f>
        <v/>
      </c>
    </row>
    <row r="19">
      <c r="A19" s="8" t="n"/>
      <c r="B19" s="9" t="n"/>
      <c r="C19" s="10" t="n"/>
      <c r="D19" s="10" t="n"/>
      <c r="E19" s="10" t="n"/>
      <c r="F19" s="10" t="n"/>
      <c r="G19" s="14" t="n"/>
      <c r="H19" s="9" t="n"/>
      <c r="I19" s="12" t="str">
        <f>IF(G19="","",IF(H19="לא",0,ROUND(G19*TaxRate/(1+TaxRate),2)))</f>
        <v/>
      </c>
      <c r="J19" s="12" t="str">
        <f>IF(G19="","",G19-I19)</f>
        <v/>
      </c>
      <c r="K19" s="13" t="str">
        <f>IF(A19="","",YEAR(A19))</f>
        <v/>
      </c>
    </row>
    <row r="20">
      <c r="A20" s="8" t="n"/>
      <c r="B20" s="9" t="n"/>
      <c r="C20" s="10" t="n"/>
      <c r="D20" s="10" t="n"/>
      <c r="E20" s="10" t="n"/>
      <c r="F20" s="10" t="n"/>
      <c r="G20" s="14" t="n"/>
      <c r="H20" s="9" t="n"/>
      <c r="I20" s="12" t="str">
        <f>IF(G20="","",IF(H20="לא",0,ROUND(G20*TaxRate/(1+TaxRate),2)))</f>
        <v/>
      </c>
      <c r="J20" s="12" t="str">
        <f>IF(G20="","",G20-I20)</f>
        <v/>
      </c>
      <c r="K20" s="13" t="str">
        <f>IF(A20="","",YEAR(A20))</f>
        <v/>
      </c>
    </row>
    <row r="21">
      <c r="A21" s="8" t="n"/>
      <c r="B21" s="9" t="n"/>
      <c r="C21" s="10" t="n"/>
      <c r="D21" s="10" t="n"/>
      <c r="E21" s="10" t="n"/>
      <c r="F21" s="10" t="n"/>
      <c r="G21" s="14" t="n"/>
      <c r="H21" s="9" t="n"/>
      <c r="I21" s="12" t="str">
        <f>IF(G21="","",IF(H21="לא",0,ROUND(G21*TaxRate/(1+TaxRate),2)))</f>
        <v/>
      </c>
      <c r="J21" s="12" t="str">
        <f>IF(G21="","",G21-I21)</f>
        <v/>
      </c>
      <c r="K21" s="13" t="str">
        <f>IF(A21="","",YEAR(A21))</f>
        <v/>
      </c>
    </row>
    <row r="22">
      <c r="A22" s="8" t="n"/>
      <c r="B22" s="9" t="n"/>
      <c r="C22" s="10" t="n"/>
      <c r="D22" s="10" t="n"/>
      <c r="E22" s="10" t="n"/>
      <c r="F22" s="10" t="n"/>
      <c r="G22" s="14" t="n"/>
      <c r="H22" s="9" t="n"/>
      <c r="I22" s="12" t="str">
        <f>IF(G22="","",IF(H22="לא",0,ROUND(G22*TaxRate/(1+TaxRate),2)))</f>
        <v/>
      </c>
      <c r="J22" s="12" t="str">
        <f>IF(G22="","",G22-I22)</f>
        <v/>
      </c>
      <c r="K22" s="13" t="str">
        <f>IF(A22="","",YEAR(A22))</f>
        <v/>
      </c>
    </row>
    <row r="23">
      <c r="A23" s="8" t="n"/>
      <c r="B23" s="9" t="n"/>
      <c r="C23" s="10" t="n"/>
      <c r="D23" s="10" t="n"/>
      <c r="E23" s="10" t="n"/>
      <c r="F23" s="10" t="n"/>
      <c r="G23" s="14" t="n"/>
      <c r="H23" s="9" t="n"/>
      <c r="I23" s="12" t="str">
        <f>IF(G23="","",IF(H23="לא",0,ROUND(G23*TaxRate/(1+TaxRate),2)))</f>
        <v/>
      </c>
      <c r="J23" s="12" t="str">
        <f>IF(G23="","",G23-I23)</f>
        <v/>
      </c>
      <c r="K23" s="13" t="str">
        <f>IF(A23="","",YEAR(A23))</f>
        <v/>
      </c>
    </row>
    <row r="24">
      <c r="A24" s="8" t="n"/>
      <c r="B24" s="9" t="n"/>
      <c r="C24" s="10" t="n"/>
      <c r="D24" s="10" t="n"/>
      <c r="E24" s="10" t="n"/>
      <c r="F24" s="10" t="n"/>
      <c r="G24" s="14" t="n"/>
      <c r="H24" s="9" t="n"/>
      <c r="I24" s="12" t="str">
        <f>IF(G24="","",IF(H24="לא",0,ROUND(G24*TaxRate/(1+TaxRate),2)))</f>
        <v/>
      </c>
      <c r="J24" s="12" t="str">
        <f>IF(G24="","",G24-I24)</f>
        <v/>
      </c>
      <c r="K24" s="13" t="str">
        <f>IF(A24="","",YEAR(A24))</f>
        <v/>
      </c>
    </row>
    <row r="25">
      <c r="A25" s="8" t="n"/>
      <c r="B25" s="9" t="n"/>
      <c r="C25" s="10" t="n"/>
      <c r="D25" s="10" t="n"/>
      <c r="E25" s="10" t="n"/>
      <c r="F25" s="10" t="n"/>
      <c r="G25" s="14" t="n"/>
      <c r="H25" s="9" t="n"/>
      <c r="I25" s="12" t="str">
        <f>IF(G25="","",IF(H25="לא",0,ROUND(G25*TaxRate/(1+TaxRate),2)))</f>
        <v/>
      </c>
      <c r="J25" s="12" t="str">
        <f>IF(G25="","",G25-I25)</f>
        <v/>
      </c>
      <c r="K25" s="13" t="str">
        <f>IF(A25="","",YEAR(A25))</f>
        <v/>
      </c>
    </row>
    <row r="26">
      <c r="A26" s="8" t="n"/>
      <c r="B26" s="9" t="n"/>
      <c r="C26" s="10" t="n"/>
      <c r="D26" s="10" t="n"/>
      <c r="E26" s="10" t="n"/>
      <c r="F26" s="10" t="n"/>
      <c r="G26" s="14" t="n"/>
      <c r="H26" s="9" t="n"/>
      <c r="I26" s="12" t="str">
        <f>IF(G26="","",IF(H26="לא",0,ROUND(G26*TaxRate/(1+TaxRate),2)))</f>
        <v/>
      </c>
      <c r="J26" s="12" t="str">
        <f>IF(G26="","",G26-I26)</f>
        <v/>
      </c>
      <c r="K26" s="13" t="str">
        <f>IF(A26="","",YEAR(A26))</f>
        <v/>
      </c>
    </row>
    <row r="27">
      <c r="A27" s="8" t="n"/>
      <c r="B27" s="9" t="n"/>
      <c r="C27" s="10" t="n"/>
      <c r="D27" s="10" t="n"/>
      <c r="E27" s="10" t="n"/>
      <c r="F27" s="10" t="n"/>
      <c r="G27" s="14" t="n"/>
      <c r="H27" s="9" t="n"/>
      <c r="I27" s="12" t="str">
        <f>IF(G27="","",IF(H27="לא",0,ROUND(G27*TaxRate/(1+TaxRate),2)))</f>
        <v/>
      </c>
      <c r="J27" s="12" t="str">
        <f>IF(G27="","",G27-I27)</f>
        <v/>
      </c>
      <c r="K27" s="13" t="str">
        <f>IF(A27="","",YEAR(A27))</f>
        <v/>
      </c>
    </row>
    <row r="28">
      <c r="A28" s="8" t="n"/>
      <c r="B28" s="9" t="n"/>
      <c r="C28" s="10" t="n"/>
      <c r="D28" s="10" t="n"/>
      <c r="E28" s="10" t="n"/>
      <c r="F28" s="10" t="n"/>
      <c r="G28" s="14" t="n"/>
      <c r="H28" s="9" t="n"/>
      <c r="I28" s="12" t="str">
        <f>IF(G28="","",IF(H28="לא",0,ROUND(G28*TaxRate/(1+TaxRate),2)))</f>
        <v/>
      </c>
      <c r="J28" s="12" t="str">
        <f>IF(G28="","",G28-I28)</f>
        <v/>
      </c>
      <c r="K28" s="13" t="str">
        <f>IF(A28="","",YEAR(A28))</f>
        <v/>
      </c>
    </row>
    <row r="29">
      <c r="A29" s="8" t="n"/>
      <c r="B29" s="9" t="n"/>
      <c r="C29" s="10" t="n"/>
      <c r="D29" s="10" t="n"/>
      <c r="E29" s="10" t="n"/>
      <c r="F29" s="10" t="n"/>
      <c r="G29" s="14" t="n"/>
      <c r="H29" s="9" t="n"/>
      <c r="I29" s="12" t="str">
        <f>IF(G29="","",IF(H29="לא",0,ROUND(G29*TaxRate/(1+TaxRate),2)))</f>
        <v/>
      </c>
      <c r="J29" s="12" t="str">
        <f>IF(G29="","",G29-I29)</f>
        <v/>
      </c>
      <c r="K29" s="13" t="str">
        <f>IF(A29="","",YEAR(A29))</f>
        <v/>
      </c>
    </row>
    <row r="30">
      <c r="A30" s="8" t="n"/>
      <c r="B30" s="9" t="n"/>
      <c r="C30" s="10" t="n"/>
      <c r="D30" s="10" t="n"/>
      <c r="E30" s="10" t="n"/>
      <c r="F30" s="10" t="n"/>
      <c r="G30" s="14" t="n"/>
      <c r="H30" s="9" t="n"/>
      <c r="I30" s="12" t="str">
        <f>IF(G30="","",IF(H30="לא",0,ROUND(G30*TaxRate/(1+TaxRate),2)))</f>
        <v/>
      </c>
      <c r="J30" s="12" t="str">
        <f>IF(G30="","",G30-I30)</f>
        <v/>
      </c>
      <c r="K30" s="13" t="str">
        <f>IF(A30="","",YEAR(A30))</f>
        <v/>
      </c>
    </row>
    <row r="31">
      <c r="A31" s="8" t="n"/>
      <c r="B31" s="9" t="n"/>
      <c r="C31" s="10" t="n"/>
      <c r="D31" s="10" t="n"/>
      <c r="E31" s="10" t="n"/>
      <c r="F31" s="10" t="n"/>
      <c r="G31" s="14" t="n"/>
      <c r="H31" s="9" t="n"/>
      <c r="I31" s="12" t="str">
        <f>IF(G31="","",IF(H31="לא",0,ROUND(G31*TaxRate/(1+TaxRate),2)))</f>
        <v/>
      </c>
      <c r="J31" s="12" t="str">
        <f>IF(G31="","",G31-I31)</f>
        <v/>
      </c>
      <c r="K31" s="13" t="str">
        <f>IF(A31="","",YEAR(A31))</f>
        <v/>
      </c>
    </row>
    <row r="32">
      <c r="A32" s="8" t="n"/>
      <c r="B32" s="9" t="n"/>
      <c r="C32" s="10" t="n"/>
      <c r="D32" s="10" t="n"/>
      <c r="E32" s="10" t="n"/>
      <c r="F32" s="10" t="n"/>
      <c r="G32" s="14" t="n"/>
      <c r="H32" s="9" t="n"/>
      <c r="I32" s="12" t="str">
        <f>IF(G32="","",IF(H32="לא",0,ROUND(G32*TaxRate/(1+TaxRate),2)))</f>
        <v/>
      </c>
      <c r="J32" s="12" t="str">
        <f>IF(G32="","",G32-I32)</f>
        <v/>
      </c>
      <c r="K32" s="13" t="str">
        <f>IF(A32="","",YEAR(A32))</f>
        <v/>
      </c>
    </row>
    <row r="33">
      <c r="A33" s="8" t="n"/>
      <c r="B33" s="9" t="n"/>
      <c r="C33" s="10" t="n"/>
      <c r="D33" s="10" t="n"/>
      <c r="E33" s="10" t="n"/>
      <c r="F33" s="10" t="n"/>
      <c r="G33" s="14" t="n"/>
      <c r="H33" s="9" t="n"/>
      <c r="I33" s="12" t="str">
        <f>IF(G33="","",IF(H33="לא",0,ROUND(G33*TaxRate/(1+TaxRate),2)))</f>
        <v/>
      </c>
      <c r="J33" s="12" t="str">
        <f>IF(G33="","",G33-I33)</f>
        <v/>
      </c>
      <c r="K33" s="13" t="str">
        <f>IF(A33="","",YEAR(A33))</f>
        <v/>
      </c>
    </row>
    <row r="34">
      <c r="A34" s="8" t="n"/>
      <c r="B34" s="9" t="n"/>
      <c r="C34" s="10" t="n"/>
      <c r="D34" s="10" t="n"/>
      <c r="E34" s="10" t="n"/>
      <c r="F34" s="10" t="n"/>
      <c r="G34" s="14" t="n"/>
      <c r="H34" s="9" t="n"/>
      <c r="I34" s="12" t="str">
        <f>IF(G34="","",IF(H34="לא",0,ROUND(G34*TaxRate/(1+TaxRate),2)))</f>
        <v/>
      </c>
      <c r="J34" s="12" t="str">
        <f>IF(G34="","",G34-I34)</f>
        <v/>
      </c>
      <c r="K34" s="13" t="str">
        <f>IF(A34="","",YEAR(A34))</f>
        <v/>
      </c>
    </row>
    <row r="35">
      <c r="A35" s="8" t="n"/>
      <c r="B35" s="9" t="n"/>
      <c r="C35" s="10" t="n"/>
      <c r="D35" s="10" t="n"/>
      <c r="E35" s="10" t="n"/>
      <c r="F35" s="10" t="n"/>
      <c r="G35" s="14" t="n"/>
      <c r="H35" s="9" t="n"/>
      <c r="I35" s="12" t="str">
        <f>IF(G35="","",IF(H35="לא",0,ROUND(G35*TaxRate/(1+TaxRate),2)))</f>
        <v/>
      </c>
      <c r="J35" s="12" t="str">
        <f>IF(G35="","",G35-I35)</f>
        <v/>
      </c>
      <c r="K35" s="13" t="str">
        <f>IF(A35="","",YEAR(A35))</f>
        <v/>
      </c>
    </row>
    <row r="36">
      <c r="A36" s="8" t="n"/>
      <c r="B36" s="9" t="n"/>
      <c r="C36" s="10" t="n"/>
      <c r="D36" s="10" t="n"/>
      <c r="E36" s="10" t="n"/>
      <c r="F36" s="10" t="n"/>
      <c r="G36" s="14" t="n"/>
      <c r="H36" s="9" t="n"/>
      <c r="I36" s="12" t="str">
        <f>IF(G36="","",IF(H36="לא",0,ROUND(G36*TaxRate/(1+TaxRate),2)))</f>
        <v/>
      </c>
      <c r="J36" s="12" t="str">
        <f>IF(G36="","",G36-I36)</f>
        <v/>
      </c>
      <c r="K36" s="13" t="str">
        <f>IF(A36="","",YEAR(A36))</f>
        <v/>
      </c>
    </row>
    <row r="37">
      <c r="A37" s="8" t="n"/>
      <c r="B37" s="9" t="n"/>
      <c r="C37" s="10" t="n"/>
      <c r="D37" s="10" t="n"/>
      <c r="E37" s="10" t="n"/>
      <c r="F37" s="10" t="n"/>
      <c r="G37" s="14" t="n"/>
      <c r="H37" s="9" t="n"/>
      <c r="I37" s="12" t="str">
        <f>IF(G37="","",IF(H37="לא",0,ROUND(G37*TaxRate/(1+TaxRate),2)))</f>
        <v/>
      </c>
      <c r="J37" s="12" t="str">
        <f>IF(G37="","",G37-I37)</f>
        <v/>
      </c>
      <c r="K37" s="13" t="str">
        <f>IF(A37="","",YEAR(A37))</f>
        <v/>
      </c>
    </row>
    <row r="38">
      <c r="A38" s="8" t="n"/>
      <c r="B38" s="9" t="n"/>
      <c r="C38" s="10" t="n"/>
      <c r="D38" s="10" t="n"/>
      <c r="E38" s="10" t="n"/>
      <c r="F38" s="10" t="n"/>
      <c r="G38" s="14" t="n"/>
      <c r="H38" s="9" t="n"/>
      <c r="I38" s="12" t="str">
        <f>IF(G38="","",IF(H38="לא",0,ROUND(G38*TaxRate/(1+TaxRate),2)))</f>
        <v/>
      </c>
      <c r="J38" s="12" t="str">
        <f>IF(G38="","",G38-I38)</f>
        <v/>
      </c>
      <c r="K38" s="13" t="str">
        <f>IF(A38="","",YEAR(A38))</f>
        <v/>
      </c>
    </row>
    <row r="39">
      <c r="A39" s="8" t="n"/>
      <c r="B39" s="9" t="n"/>
      <c r="C39" s="10" t="n"/>
      <c r="D39" s="10" t="n"/>
      <c r="E39" s="10" t="n"/>
      <c r="F39" s="10" t="n"/>
      <c r="G39" s="14" t="n"/>
      <c r="H39" s="9" t="n"/>
      <c r="I39" s="12" t="str">
        <f>IF(G39="","",IF(H39="לא",0,ROUND(G39*TaxRate/(1+TaxRate),2)))</f>
        <v/>
      </c>
      <c r="J39" s="12" t="str">
        <f>IF(G39="","",G39-I39)</f>
        <v/>
      </c>
      <c r="K39" s="13" t="str">
        <f>IF(A39="","",YEAR(A39))</f>
        <v/>
      </c>
    </row>
    <row r="40">
      <c r="A40" s="8" t="n"/>
      <c r="B40" s="9" t="n"/>
      <c r="C40" s="10" t="n"/>
      <c r="D40" s="10" t="n"/>
      <c r="E40" s="10" t="n"/>
      <c r="F40" s="10" t="n"/>
      <c r="G40" s="14" t="n"/>
      <c r="H40" s="9" t="n"/>
      <c r="I40" s="12" t="str">
        <f>IF(G40="","",IF(H40="לא",0,ROUND(G40*TaxRate/(1+TaxRate),2)))</f>
        <v/>
      </c>
      <c r="J40" s="12" t="str">
        <f>IF(G40="","",G40-I40)</f>
        <v/>
      </c>
      <c r="K40" s="13" t="str">
        <f>IF(A40="","",YEAR(A40))</f>
        <v/>
      </c>
    </row>
    <row r="41">
      <c r="A41" s="8" t="n"/>
      <c r="B41" s="9" t="n"/>
      <c r="C41" s="10" t="n"/>
      <c r="D41" s="10" t="n"/>
      <c r="E41" s="10" t="n"/>
      <c r="F41" s="10" t="n"/>
      <c r="G41" s="14" t="n"/>
      <c r="H41" s="9" t="n"/>
      <c r="I41" s="12" t="str">
        <f>IF(G41="","",IF(H41="לא",0,ROUND(G41*TaxRate/(1+TaxRate),2)))</f>
        <v/>
      </c>
      <c r="J41" s="12" t="str">
        <f>IF(G41="","",G41-I41)</f>
        <v/>
      </c>
      <c r="K41" s="13" t="str">
        <f>IF(A41="","",YEAR(A41))</f>
        <v/>
      </c>
    </row>
    <row r="42">
      <c r="A42" s="8" t="n"/>
      <c r="B42" s="9" t="n"/>
      <c r="C42" s="10" t="n"/>
      <c r="D42" s="10" t="n"/>
      <c r="E42" s="10" t="n"/>
      <c r="F42" s="10" t="n"/>
      <c r="G42" s="14" t="n"/>
      <c r="H42" s="9" t="n"/>
      <c r="I42" s="12" t="str">
        <f>IF(G42="","",IF(H42="לא",0,ROUND(G42*TaxRate/(1+TaxRate),2)))</f>
        <v/>
      </c>
      <c r="J42" s="12" t="str">
        <f>IF(G42="","",G42-I42)</f>
        <v/>
      </c>
      <c r="K42" s="13" t="str">
        <f>IF(A42="","",YEAR(A42))</f>
        <v/>
      </c>
    </row>
    <row r="43">
      <c r="A43" s="8" t="n"/>
      <c r="B43" s="9" t="n"/>
      <c r="C43" s="10" t="n"/>
      <c r="D43" s="10" t="n"/>
      <c r="E43" s="10" t="n"/>
      <c r="F43" s="10" t="n"/>
      <c r="G43" s="14" t="n"/>
      <c r="H43" s="9" t="n"/>
      <c r="I43" s="12" t="str">
        <f>IF(G43="","",IF(H43="לא",0,ROUND(G43*TaxRate/(1+TaxRate),2)))</f>
        <v/>
      </c>
      <c r="J43" s="12" t="str">
        <f>IF(G43="","",G43-I43)</f>
        <v/>
      </c>
      <c r="K43" s="13" t="str">
        <f>IF(A43="","",YEAR(A43))</f>
        <v/>
      </c>
    </row>
    <row r="44">
      <c r="A44" s="8" t="n"/>
      <c r="B44" s="9" t="n"/>
      <c r="C44" s="10" t="n"/>
      <c r="D44" s="10" t="n"/>
      <c r="E44" s="10" t="n"/>
      <c r="F44" s="10" t="n"/>
      <c r="G44" s="14" t="n"/>
      <c r="H44" s="9" t="n"/>
      <c r="I44" s="12" t="str">
        <f>IF(G44="","",IF(H44="לא",0,ROUND(G44*TaxRate/(1+TaxRate),2)))</f>
        <v/>
      </c>
      <c r="J44" s="12" t="str">
        <f>IF(G44="","",G44-I44)</f>
        <v/>
      </c>
      <c r="K44" s="13" t="str">
        <f>IF(A44="","",YEAR(A44))</f>
        <v/>
      </c>
    </row>
    <row r="45">
      <c r="A45" s="8" t="n"/>
      <c r="B45" s="9" t="n"/>
      <c r="C45" s="10" t="n"/>
      <c r="D45" s="10" t="n"/>
      <c r="E45" s="10" t="n"/>
      <c r="F45" s="10" t="n"/>
      <c r="G45" s="14" t="n"/>
      <c r="H45" s="9" t="n"/>
      <c r="I45" s="12" t="str">
        <f>IF(G45="","",IF(H45="לא",0,ROUND(G45*TaxRate/(1+TaxRate),2)))</f>
        <v/>
      </c>
      <c r="J45" s="12" t="str">
        <f>IF(G45="","",G45-I45)</f>
        <v/>
      </c>
      <c r="K45" s="13" t="str">
        <f>IF(A45="","",YEAR(A45))</f>
        <v/>
      </c>
    </row>
    <row r="46">
      <c r="A46" s="8" t="n"/>
      <c r="B46" s="9" t="n"/>
      <c r="C46" s="10" t="n"/>
      <c r="D46" s="10" t="n"/>
      <c r="E46" s="10" t="n"/>
      <c r="F46" s="10" t="n"/>
      <c r="G46" s="14" t="n"/>
      <c r="H46" s="9" t="n"/>
      <c r="I46" s="12" t="str">
        <f>IF(G46="","",IF(H46="לא",0,ROUND(G46*TaxRate/(1+TaxRate),2)))</f>
        <v/>
      </c>
      <c r="J46" s="12" t="str">
        <f>IF(G46="","",G46-I46)</f>
        <v/>
      </c>
      <c r="K46" s="13" t="str">
        <f>IF(A46="","",YEAR(A46))</f>
        <v/>
      </c>
    </row>
    <row r="47">
      <c r="A47" s="8" t="n"/>
      <c r="B47" s="9" t="n"/>
      <c r="C47" s="10" t="n"/>
      <c r="D47" s="10" t="n"/>
      <c r="E47" s="10" t="n"/>
      <c r="F47" s="10" t="n"/>
      <c r="G47" s="14" t="n"/>
      <c r="H47" s="9" t="n"/>
      <c r="I47" s="12" t="str">
        <f>IF(G47="","",IF(H47="לא",0,ROUND(G47*TaxRate/(1+TaxRate),2)))</f>
        <v/>
      </c>
      <c r="J47" s="12" t="str">
        <f>IF(G47="","",G47-I47)</f>
        <v/>
      </c>
      <c r="K47" s="13" t="str">
        <f>IF(A47="","",YEAR(A47))</f>
        <v/>
      </c>
    </row>
    <row r="48">
      <c r="A48" s="8" t="n"/>
      <c r="B48" s="9" t="n"/>
      <c r="C48" s="10" t="n"/>
      <c r="D48" s="10" t="n"/>
      <c r="E48" s="10" t="n"/>
      <c r="F48" s="10" t="n"/>
      <c r="G48" s="14" t="n"/>
      <c r="H48" s="9" t="n"/>
      <c r="I48" s="12" t="str">
        <f>IF(G48="","",IF(H48="לא",0,ROUND(G48*TaxRate/(1+TaxRate),2)))</f>
        <v/>
      </c>
      <c r="J48" s="12" t="str">
        <f>IF(G48="","",G48-I48)</f>
        <v/>
      </c>
      <c r="K48" s="13" t="str">
        <f>IF(A48="","",YEAR(A48))</f>
        <v/>
      </c>
    </row>
    <row r="49">
      <c r="A49" s="8" t="n"/>
      <c r="B49" s="9" t="n"/>
      <c r="C49" s="10" t="n"/>
      <c r="D49" s="10" t="n"/>
      <c r="E49" s="10" t="n"/>
      <c r="F49" s="10" t="n"/>
      <c r="G49" s="14" t="n"/>
      <c r="H49" s="9" t="n"/>
      <c r="I49" s="12" t="str">
        <f>IF(G49="","",IF(H49="לא",0,ROUND(G49*TaxRate/(1+TaxRate),2)))</f>
        <v/>
      </c>
      <c r="J49" s="12" t="str">
        <f>IF(G49="","",G49-I49)</f>
        <v/>
      </c>
      <c r="K49" s="13" t="str">
        <f>IF(A49="","",YEAR(A49))</f>
        <v/>
      </c>
    </row>
    <row r="50">
      <c r="A50" s="8" t="n"/>
      <c r="B50" s="9" t="n"/>
      <c r="C50" s="10" t="n"/>
      <c r="D50" s="10" t="n"/>
      <c r="E50" s="10" t="n"/>
      <c r="F50" s="10" t="n"/>
      <c r="G50" s="14" t="n"/>
      <c r="H50" s="9" t="n"/>
      <c r="I50" s="12" t="str">
        <f>IF(G50="","",IF(H50="לא",0,ROUND(G50*TaxRate/(1+TaxRate),2)))</f>
        <v/>
      </c>
      <c r="J50" s="12" t="str">
        <f>IF(G50="","",G50-I50)</f>
        <v/>
      </c>
      <c r="K50" s="13" t="str">
        <f>IF(A50="","",YEAR(A50))</f>
        <v/>
      </c>
    </row>
    <row r="51">
      <c r="A51" s="8" t="n"/>
      <c r="B51" s="9" t="n"/>
      <c r="C51" s="10" t="n"/>
      <c r="D51" s="10" t="n"/>
      <c r="E51" s="10" t="n"/>
      <c r="F51" s="10" t="n"/>
      <c r="G51" s="14" t="n"/>
      <c r="H51" s="9" t="n"/>
      <c r="I51" s="12" t="str">
        <f>IF(G51="","",IF(H51="לא",0,ROUND(G51*TaxRate/(1+TaxRate),2)))</f>
        <v/>
      </c>
      <c r="J51" s="12" t="str">
        <f>IF(G51="","",G51-I51)</f>
        <v/>
      </c>
      <c r="K51" s="13" t="str">
        <f>IF(A51="","",YEAR(A51))</f>
        <v/>
      </c>
    </row>
    <row r="52">
      <c r="A52" s="8" t="n"/>
      <c r="B52" s="9" t="n"/>
      <c r="C52" s="10" t="n"/>
      <c r="D52" s="10" t="n"/>
      <c r="E52" s="10" t="n"/>
      <c r="F52" s="10" t="n"/>
      <c r="G52" s="14" t="n"/>
      <c r="H52" s="9" t="n"/>
      <c r="I52" s="12" t="str">
        <f>IF(G52="","",IF(H52="לא",0,ROUND(G52*TaxRate/(1+TaxRate),2)))</f>
        <v/>
      </c>
      <c r="J52" s="12" t="str">
        <f>IF(G52="","",G52-I52)</f>
        <v/>
      </c>
      <c r="K52" s="13" t="str">
        <f>IF(A52="","",YEAR(A52))</f>
        <v/>
      </c>
    </row>
    <row r="53">
      <c r="A53" s="8" t="n"/>
      <c r="B53" s="9" t="n"/>
      <c r="C53" s="10" t="n"/>
      <c r="D53" s="10" t="n"/>
      <c r="E53" s="10" t="n"/>
      <c r="F53" s="10" t="n"/>
      <c r="G53" s="14" t="n"/>
      <c r="H53" s="9" t="n"/>
      <c r="I53" s="12" t="str">
        <f>IF(G53="","",IF(H53="לא",0,ROUND(G53*TaxRate/(1+TaxRate),2)))</f>
        <v/>
      </c>
      <c r="J53" s="12" t="str">
        <f>IF(G53="","",G53-I53)</f>
        <v/>
      </c>
      <c r="K53" s="13" t="str">
        <f>IF(A53="","",YEAR(A53))</f>
        <v/>
      </c>
    </row>
    <row r="54">
      <c r="A54" s="8" t="n"/>
      <c r="B54" s="9" t="n"/>
      <c r="C54" s="10" t="n"/>
      <c r="D54" s="10" t="n"/>
      <c r="E54" s="10" t="n"/>
      <c r="F54" s="10" t="n"/>
      <c r="G54" s="14" t="n"/>
      <c r="H54" s="9" t="n"/>
      <c r="I54" s="12" t="str">
        <f>IF(G54="","",IF(H54="לא",0,ROUND(G54*TaxRate/(1+TaxRate),2)))</f>
        <v/>
      </c>
      <c r="J54" s="12" t="str">
        <f>IF(G54="","",G54-I54)</f>
        <v/>
      </c>
      <c r="K54" s="13" t="str">
        <f>IF(A54="","",YEAR(A54))</f>
        <v/>
      </c>
    </row>
    <row r="55">
      <c r="A55" s="8" t="n"/>
      <c r="B55" s="9" t="n"/>
      <c r="C55" s="10" t="n"/>
      <c r="D55" s="10" t="n"/>
      <c r="E55" s="10" t="n"/>
      <c r="F55" s="10" t="n"/>
      <c r="G55" s="14" t="n"/>
      <c r="H55" s="9" t="n"/>
      <c r="I55" s="12" t="str">
        <f>IF(G55="","",IF(H55="לא",0,ROUND(G55*TaxRate/(1+TaxRate),2)))</f>
        <v/>
      </c>
      <c r="J55" s="12" t="str">
        <f>IF(G55="","",G55-I55)</f>
        <v/>
      </c>
      <c r="K55" s="13" t="str">
        <f>IF(A55="","",YEAR(A55))</f>
        <v/>
      </c>
    </row>
    <row r="56">
      <c r="A56" s="8" t="n"/>
      <c r="B56" s="9" t="n"/>
      <c r="C56" s="10" t="n"/>
      <c r="D56" s="10" t="n"/>
      <c r="E56" s="10" t="n"/>
      <c r="F56" s="10" t="n"/>
      <c r="G56" s="14" t="n"/>
      <c r="H56" s="9" t="n"/>
      <c r="I56" s="12" t="str">
        <f>IF(G56="","",IF(H56="לא",0,ROUND(G56*TaxRate/(1+TaxRate),2)))</f>
        <v/>
      </c>
      <c r="J56" s="12" t="str">
        <f>IF(G56="","",G56-I56)</f>
        <v/>
      </c>
      <c r="K56" s="13" t="str">
        <f>IF(A56="","",YEAR(A56))</f>
        <v/>
      </c>
    </row>
    <row r="57">
      <c r="A57" s="8" t="n"/>
      <c r="B57" s="9" t="n"/>
      <c r="C57" s="10" t="n"/>
      <c r="D57" s="10" t="n"/>
      <c r="E57" s="10" t="n"/>
      <c r="F57" s="10" t="n"/>
      <c r="G57" s="14" t="n"/>
      <c r="H57" s="9" t="n"/>
      <c r="I57" s="12" t="str">
        <f>IF(G57="","",IF(H57="לא",0,ROUND(G57*TaxRate/(1+TaxRate),2)))</f>
        <v/>
      </c>
      <c r="J57" s="12" t="str">
        <f>IF(G57="","",G57-I57)</f>
        <v/>
      </c>
      <c r="K57" s="13" t="str">
        <f>IF(A57="","",YEAR(A57))</f>
        <v/>
      </c>
    </row>
    <row r="58">
      <c r="A58" s="8" t="n"/>
      <c r="B58" s="9" t="n"/>
      <c r="C58" s="10" t="n"/>
      <c r="D58" s="10" t="n"/>
      <c r="E58" s="10" t="n"/>
      <c r="F58" s="10" t="n"/>
      <c r="G58" s="14" t="n"/>
      <c r="H58" s="9" t="n"/>
      <c r="I58" s="12" t="str">
        <f>IF(G58="","",IF(H58="לא",0,ROUND(G58*TaxRate/(1+TaxRate),2)))</f>
        <v/>
      </c>
      <c r="J58" s="12" t="str">
        <f>IF(G58="","",G58-I58)</f>
        <v/>
      </c>
      <c r="K58" s="13" t="str">
        <f>IF(A58="","",YEAR(A58))</f>
        <v/>
      </c>
    </row>
    <row r="59">
      <c r="A59" s="8" t="n"/>
      <c r="B59" s="9" t="n"/>
      <c r="C59" s="10" t="n"/>
      <c r="D59" s="10" t="n"/>
      <c r="E59" s="10" t="n"/>
      <c r="F59" s="10" t="n"/>
      <c r="G59" s="14" t="n"/>
      <c r="H59" s="9" t="n"/>
      <c r="I59" s="12" t="str">
        <f>IF(G59="","",IF(H59="לא",0,ROUND(G59*TaxRate/(1+TaxRate),2)))</f>
        <v/>
      </c>
      <c r="J59" s="12" t="str">
        <f>IF(G59="","",G59-I59)</f>
        <v/>
      </c>
      <c r="K59" s="13" t="str">
        <f>IF(A59="","",YEAR(A59))</f>
        <v/>
      </c>
    </row>
    <row r="60">
      <c r="A60" s="8" t="n"/>
      <c r="B60" s="9" t="n"/>
      <c r="C60" s="10" t="n"/>
      <c r="D60" s="10" t="n"/>
      <c r="E60" s="10" t="n"/>
      <c r="F60" s="10" t="n"/>
      <c r="G60" s="14" t="n"/>
      <c r="H60" s="9" t="n"/>
      <c r="I60" s="12" t="str">
        <f>IF(G60="","",IF(H60="לא",0,ROUND(G60*TaxRate/(1+TaxRate),2)))</f>
        <v/>
      </c>
      <c r="J60" s="12" t="str">
        <f>IF(G60="","",G60-I60)</f>
        <v/>
      </c>
      <c r="K60" s="13" t="str">
        <f>IF(A60="","",YEAR(A60))</f>
        <v/>
      </c>
    </row>
    <row r="61">
      <c r="A61" s="8" t="n"/>
      <c r="B61" s="9" t="n"/>
      <c r="C61" s="10" t="n"/>
      <c r="D61" s="10" t="n"/>
      <c r="E61" s="10" t="n"/>
      <c r="F61" s="10" t="n"/>
      <c r="G61" s="14" t="n"/>
      <c r="H61" s="9" t="n"/>
      <c r="I61" s="12" t="str">
        <f>IF(G61="","",IF(H61="לא",0,ROUND(G61*TaxRate/(1+TaxRate),2)))</f>
        <v/>
      </c>
      <c r="J61" s="12" t="str">
        <f>IF(G61="","",G61-I61)</f>
        <v/>
      </c>
      <c r="K61" s="13" t="str">
        <f>IF(A61="","",YEAR(A61))</f>
        <v/>
      </c>
    </row>
    <row r="62">
      <c r="A62" s="8" t="n"/>
      <c r="B62" s="9" t="n"/>
      <c r="C62" s="10" t="n"/>
      <c r="D62" s="10" t="n"/>
      <c r="E62" s="10" t="n"/>
      <c r="F62" s="10" t="n"/>
      <c r="G62" s="14" t="n"/>
      <c r="H62" s="9" t="n"/>
      <c r="I62" s="12" t="str">
        <f>IF(G62="","",IF(H62="לא",0,ROUND(G62*TaxRate/(1+TaxRate),2)))</f>
        <v/>
      </c>
      <c r="J62" s="12" t="str">
        <f>IF(G62="","",G62-I62)</f>
        <v/>
      </c>
      <c r="K62" s="13" t="str">
        <f>IF(A62="","",YEAR(A62))</f>
        <v/>
      </c>
    </row>
    <row r="63">
      <c r="A63" s="8" t="n"/>
      <c r="B63" s="9" t="n"/>
      <c r="C63" s="10" t="n"/>
      <c r="D63" s="10" t="n"/>
      <c r="E63" s="10" t="n"/>
      <c r="F63" s="10" t="n"/>
      <c r="G63" s="14" t="n"/>
      <c r="H63" s="9" t="n"/>
      <c r="I63" s="12" t="str">
        <f>IF(G63="","",IF(H63="לא",0,ROUND(G63*TaxRate/(1+TaxRate),2)))</f>
        <v/>
      </c>
      <c r="J63" s="12" t="str">
        <f>IF(G63="","",G63-I63)</f>
        <v/>
      </c>
      <c r="K63" s="13" t="str">
        <f>IF(A63="","",YEAR(A63))</f>
        <v/>
      </c>
    </row>
    <row r="64">
      <c r="A64" s="8" t="n"/>
      <c r="B64" s="9" t="n"/>
      <c r="C64" s="10" t="n"/>
      <c r="D64" s="10" t="n"/>
      <c r="E64" s="10" t="n"/>
      <c r="F64" s="10" t="n"/>
      <c r="G64" s="14" t="n"/>
      <c r="H64" s="9" t="n"/>
      <c r="I64" s="12" t="str">
        <f>IF(G64="","",IF(H64="לא",0,ROUND(G64*TaxRate/(1+TaxRate),2)))</f>
        <v/>
      </c>
      <c r="J64" s="12" t="str">
        <f>IF(G64="","",G64-I64)</f>
        <v/>
      </c>
      <c r="K64" s="13" t="str">
        <f>IF(A64="","",YEAR(A64))</f>
        <v/>
      </c>
    </row>
    <row r="65">
      <c r="A65" s="8" t="n"/>
      <c r="B65" s="9" t="n"/>
      <c r="C65" s="10" t="n"/>
      <c r="D65" s="10" t="n"/>
      <c r="E65" s="10" t="n"/>
      <c r="F65" s="10" t="n"/>
      <c r="G65" s="14" t="n"/>
      <c r="H65" s="9" t="n"/>
      <c r="I65" s="12" t="str">
        <f>IF(G65="","",IF(H65="לא",0,ROUND(G65*TaxRate/(1+TaxRate),2)))</f>
        <v/>
      </c>
      <c r="J65" s="12" t="str">
        <f>IF(G65="","",G65-I65)</f>
        <v/>
      </c>
      <c r="K65" s="13" t="str">
        <f>IF(A65="","",YEAR(A65))</f>
        <v/>
      </c>
    </row>
    <row r="66">
      <c r="A66" s="8" t="n"/>
      <c r="B66" s="9" t="n"/>
      <c r="C66" s="10" t="n"/>
      <c r="D66" s="10" t="n"/>
      <c r="E66" s="10" t="n"/>
      <c r="F66" s="10" t="n"/>
      <c r="G66" s="14" t="n"/>
      <c r="H66" s="9" t="n"/>
      <c r="I66" s="12" t="str">
        <f>IF(G66="","",IF(H66="לא",0,ROUND(G66*TaxRate/(1+TaxRate),2)))</f>
        <v/>
      </c>
      <c r="J66" s="12" t="str">
        <f>IF(G66="","",G66-I66)</f>
        <v/>
      </c>
      <c r="K66" s="13" t="str">
        <f>IF(A66="","",YEAR(A66))</f>
        <v/>
      </c>
    </row>
    <row r="67">
      <c r="A67" s="8" t="n"/>
      <c r="B67" s="9" t="n"/>
      <c r="C67" s="10" t="n"/>
      <c r="D67" s="10" t="n"/>
      <c r="E67" s="10" t="n"/>
      <c r="F67" s="10" t="n"/>
      <c r="G67" s="14" t="n"/>
      <c r="H67" s="9" t="n"/>
      <c r="I67" s="12" t="str">
        <f>IF(G67="","",IF(H67="לא",0,ROUND(G67*TaxRate/(1+TaxRate),2)))</f>
        <v/>
      </c>
      <c r="J67" s="12" t="str">
        <f>IF(G67="","",G67-I67)</f>
        <v/>
      </c>
      <c r="K67" s="13" t="str">
        <f>IF(A67="","",YEAR(A67))</f>
        <v/>
      </c>
    </row>
    <row r="68">
      <c r="A68" s="8" t="n"/>
      <c r="B68" s="9" t="n"/>
      <c r="C68" s="10" t="n"/>
      <c r="D68" s="10" t="n"/>
      <c r="E68" s="10" t="n"/>
      <c r="F68" s="10" t="n"/>
      <c r="G68" s="14" t="n"/>
      <c r="H68" s="9" t="n"/>
      <c r="I68" s="12" t="str">
        <f>IF(G68="","",IF(H68="לא",0,ROUND(G68*TaxRate/(1+TaxRate),2)))</f>
        <v/>
      </c>
      <c r="J68" s="12" t="str">
        <f>IF(G68="","",G68-I68)</f>
        <v/>
      </c>
      <c r="K68" s="13" t="str">
        <f>IF(A68="","",YEAR(A68))</f>
        <v/>
      </c>
    </row>
    <row r="69">
      <c r="A69" s="8" t="n"/>
      <c r="B69" s="9" t="n"/>
      <c r="C69" s="10" t="n"/>
      <c r="D69" s="10" t="n"/>
      <c r="E69" s="10" t="n"/>
      <c r="F69" s="10" t="n"/>
      <c r="G69" s="14" t="n"/>
      <c r="H69" s="9" t="n"/>
      <c r="I69" s="12" t="str">
        <f>IF(G69="","",IF(H69="לא",0,ROUND(G69*TaxRate/(1+TaxRate),2)))</f>
        <v/>
      </c>
      <c r="J69" s="12" t="str">
        <f>IF(G69="","",G69-I69)</f>
        <v/>
      </c>
      <c r="K69" s="13" t="str">
        <f>IF(A69="","",YEAR(A69))</f>
        <v/>
      </c>
    </row>
    <row r="70">
      <c r="A70" s="8" t="n"/>
      <c r="B70" s="9" t="n"/>
      <c r="C70" s="10" t="n"/>
      <c r="D70" s="10" t="n"/>
      <c r="E70" s="10" t="n"/>
      <c r="F70" s="10" t="n"/>
      <c r="G70" s="14" t="n"/>
      <c r="H70" s="9" t="n"/>
      <c r="I70" s="12" t="str">
        <f>IF(G70="","",IF(H70="לא",0,ROUND(G70*TaxRate/(1+TaxRate),2)))</f>
        <v/>
      </c>
      <c r="J70" s="12" t="str">
        <f>IF(G70="","",G70-I70)</f>
        <v/>
      </c>
      <c r="K70" s="13" t="str">
        <f>IF(A70="","",YEAR(A70))</f>
        <v/>
      </c>
    </row>
    <row r="71">
      <c r="A71" s="8" t="n"/>
      <c r="B71" s="9" t="n"/>
      <c r="C71" s="10" t="n"/>
      <c r="D71" s="10" t="n"/>
      <c r="E71" s="10" t="n"/>
      <c r="F71" s="10" t="n"/>
      <c r="G71" s="14" t="n"/>
      <c r="H71" s="9" t="n"/>
      <c r="I71" s="12" t="str">
        <f>IF(G71="","",IF(H71="לא",0,ROUND(G71*TaxRate/(1+TaxRate),2)))</f>
        <v/>
      </c>
      <c r="J71" s="12" t="str">
        <f>IF(G71="","",G71-I71)</f>
        <v/>
      </c>
      <c r="K71" s="13" t="str">
        <f>IF(A71="","",YEAR(A71))</f>
        <v/>
      </c>
    </row>
    <row r="72">
      <c r="A72" s="8" t="n"/>
      <c r="B72" s="9" t="n"/>
      <c r="C72" s="10" t="n"/>
      <c r="D72" s="10" t="n"/>
      <c r="E72" s="10" t="n"/>
      <c r="F72" s="10" t="n"/>
      <c r="G72" s="14" t="n"/>
      <c r="H72" s="9" t="n"/>
      <c r="I72" s="12" t="str">
        <f>IF(G72="","",IF(H72="לא",0,ROUND(G72*TaxRate/(1+TaxRate),2)))</f>
        <v/>
      </c>
      <c r="J72" s="12" t="str">
        <f>IF(G72="","",G72-I72)</f>
        <v/>
      </c>
      <c r="K72" s="13" t="str">
        <f>IF(A72="","",YEAR(A72))</f>
        <v/>
      </c>
    </row>
    <row r="73">
      <c r="A73" s="8" t="n"/>
      <c r="B73" s="9" t="n"/>
      <c r="C73" s="10" t="n"/>
      <c r="D73" s="10" t="n"/>
      <c r="E73" s="10" t="n"/>
      <c r="F73" s="10" t="n"/>
      <c r="G73" s="14" t="n"/>
      <c r="H73" s="9" t="n"/>
      <c r="I73" s="12" t="str">
        <f>IF(G73="","",IF(H73="לא",0,ROUND(G73*TaxRate/(1+TaxRate),2)))</f>
        <v/>
      </c>
      <c r="J73" s="12" t="str">
        <f>IF(G73="","",G73-I73)</f>
        <v/>
      </c>
      <c r="K73" s="13" t="str">
        <f>IF(A73="","",YEAR(A73))</f>
        <v/>
      </c>
    </row>
    <row r="74">
      <c r="A74" s="8" t="n"/>
      <c r="B74" s="9" t="n"/>
      <c r="C74" s="10" t="n"/>
      <c r="D74" s="10" t="n"/>
      <c r="E74" s="10" t="n"/>
      <c r="F74" s="10" t="n"/>
      <c r="G74" s="14" t="n"/>
      <c r="H74" s="9" t="n"/>
      <c r="I74" s="12" t="str">
        <f>IF(G74="","",IF(H74="לא",0,ROUND(G74*TaxRate/(1+TaxRate),2)))</f>
        <v/>
      </c>
      <c r="J74" s="12" t="str">
        <f>IF(G74="","",G74-I74)</f>
        <v/>
      </c>
      <c r="K74" s="13" t="str">
        <f>IF(A74="","",YEAR(A74))</f>
        <v/>
      </c>
    </row>
    <row r="75">
      <c r="A75" s="8" t="n"/>
      <c r="B75" s="9" t="n"/>
      <c r="C75" s="10" t="n"/>
      <c r="D75" s="10" t="n"/>
      <c r="E75" s="10" t="n"/>
      <c r="F75" s="10" t="n"/>
      <c r="G75" s="14" t="n"/>
      <c r="H75" s="9" t="n"/>
      <c r="I75" s="12" t="str">
        <f>IF(G75="","",IF(H75="לא",0,ROUND(G75*TaxRate/(1+TaxRate),2)))</f>
        <v/>
      </c>
      <c r="J75" s="12" t="str">
        <f>IF(G75="","",G75-I75)</f>
        <v/>
      </c>
      <c r="K75" s="13" t="str">
        <f>IF(A75="","",YEAR(A75))</f>
        <v/>
      </c>
    </row>
    <row r="76">
      <c r="A76" s="8" t="n"/>
      <c r="B76" s="9" t="n"/>
      <c r="C76" s="10" t="n"/>
      <c r="D76" s="10" t="n"/>
      <c r="E76" s="10" t="n"/>
      <c r="F76" s="10" t="n"/>
      <c r="G76" s="14" t="n"/>
      <c r="H76" s="9" t="n"/>
      <c r="I76" s="12" t="str">
        <f>IF(G76="","",IF(H76="לא",0,ROUND(G76*TaxRate/(1+TaxRate),2)))</f>
        <v/>
      </c>
      <c r="J76" s="12" t="str">
        <f>IF(G76="","",G76-I76)</f>
        <v/>
      </c>
      <c r="K76" s="13" t="str">
        <f>IF(A76="","",YEAR(A76))</f>
        <v/>
      </c>
    </row>
    <row r="77">
      <c r="A77" s="8" t="n"/>
      <c r="B77" s="9" t="n"/>
      <c r="C77" s="10" t="n"/>
      <c r="D77" s="10" t="n"/>
      <c r="E77" s="10" t="n"/>
      <c r="F77" s="10" t="n"/>
      <c r="G77" s="14" t="n"/>
      <c r="H77" s="9" t="n"/>
      <c r="I77" s="12" t="str">
        <f>IF(G77="","",IF(H77="לא",0,ROUND(G77*TaxRate/(1+TaxRate),2)))</f>
        <v/>
      </c>
      <c r="J77" s="12" t="str">
        <f>IF(G77="","",G77-I77)</f>
        <v/>
      </c>
      <c r="K77" s="13" t="str">
        <f>IF(A77="","",YEAR(A77))</f>
        <v/>
      </c>
    </row>
    <row r="78">
      <c r="A78" s="8" t="n"/>
      <c r="B78" s="9" t="n"/>
      <c r="C78" s="10" t="n"/>
      <c r="D78" s="10" t="n"/>
      <c r="E78" s="10" t="n"/>
      <c r="F78" s="10" t="n"/>
      <c r="G78" s="14" t="n"/>
      <c r="H78" s="9" t="n"/>
      <c r="I78" s="12" t="str">
        <f>IF(G78="","",IF(H78="לא",0,ROUND(G78*TaxRate/(1+TaxRate),2)))</f>
        <v/>
      </c>
      <c r="J78" s="12" t="str">
        <f>IF(G78="","",G78-I78)</f>
        <v/>
      </c>
      <c r="K78" s="13" t="str">
        <f>IF(A78="","",YEAR(A78))</f>
        <v/>
      </c>
    </row>
    <row r="79">
      <c r="A79" s="8" t="n"/>
      <c r="B79" s="9" t="n"/>
      <c r="C79" s="10" t="n"/>
      <c r="D79" s="10" t="n"/>
      <c r="E79" s="10" t="n"/>
      <c r="F79" s="10" t="n"/>
      <c r="G79" s="14" t="n"/>
      <c r="H79" s="9" t="n"/>
      <c r="I79" s="12" t="str">
        <f>IF(G79="","",IF(H79="לא",0,ROUND(G79*TaxRate/(1+TaxRate),2)))</f>
        <v/>
      </c>
      <c r="J79" s="12" t="str">
        <f>IF(G79="","",G79-I79)</f>
        <v/>
      </c>
      <c r="K79" s="13" t="str">
        <f>IF(A79="","",YEAR(A79))</f>
        <v/>
      </c>
    </row>
    <row r="80">
      <c r="A80" s="8" t="n"/>
      <c r="B80" s="9" t="n"/>
      <c r="C80" s="10" t="n"/>
      <c r="D80" s="10" t="n"/>
      <c r="E80" s="10" t="n"/>
      <c r="F80" s="10" t="n"/>
      <c r="G80" s="14" t="n"/>
      <c r="H80" s="9" t="n"/>
      <c r="I80" s="12" t="str">
        <f>IF(G80="","",IF(H80="לא",0,ROUND(G80*TaxRate/(1+TaxRate),2)))</f>
        <v/>
      </c>
      <c r="J80" s="12" t="str">
        <f>IF(G80="","",G80-I80)</f>
        <v/>
      </c>
      <c r="K80" s="13" t="str">
        <f>IF(A80="","",YEAR(A80))</f>
        <v/>
      </c>
    </row>
    <row r="81">
      <c r="A81" s="8" t="n"/>
      <c r="B81" s="9" t="n"/>
      <c r="C81" s="10" t="n"/>
      <c r="D81" s="10" t="n"/>
      <c r="E81" s="10" t="n"/>
      <c r="F81" s="10" t="n"/>
      <c r="G81" s="14" t="n"/>
      <c r="H81" s="9" t="n"/>
      <c r="I81" s="12" t="str">
        <f>IF(G81="","",IF(H81="לא",0,ROUND(G81*TaxRate/(1+TaxRate),2)))</f>
        <v/>
      </c>
      <c r="J81" s="12" t="str">
        <f>IF(G81="","",G81-I81)</f>
        <v/>
      </c>
      <c r="K81" s="13" t="str">
        <f>IF(A81="","",YEAR(A81))</f>
        <v/>
      </c>
    </row>
    <row r="82">
      <c r="A82" s="8" t="n"/>
      <c r="B82" s="9" t="n"/>
      <c r="C82" s="10" t="n"/>
      <c r="D82" s="10" t="n"/>
      <c r="E82" s="10" t="n"/>
      <c r="F82" s="10" t="n"/>
      <c r="G82" s="14" t="n"/>
      <c r="H82" s="9" t="n"/>
      <c r="I82" s="12" t="str">
        <f>IF(G82="","",IF(H82="לא",0,ROUND(G82*TaxRate/(1+TaxRate),2)))</f>
        <v/>
      </c>
      <c r="J82" s="12" t="str">
        <f>IF(G82="","",G82-I82)</f>
        <v/>
      </c>
      <c r="K82" s="13" t="str">
        <f>IF(A82="","",YEAR(A82))</f>
        <v/>
      </c>
    </row>
    <row r="83">
      <c r="A83" s="8" t="n"/>
      <c r="B83" s="9" t="n"/>
      <c r="C83" s="10" t="n"/>
      <c r="D83" s="10" t="n"/>
      <c r="E83" s="10" t="n"/>
      <c r="F83" s="10" t="n"/>
      <c r="G83" s="14" t="n"/>
      <c r="H83" s="9" t="n"/>
      <c r="I83" s="12" t="str">
        <f>IF(G83="","",IF(H83="לא",0,ROUND(G83*TaxRate/(1+TaxRate),2)))</f>
        <v/>
      </c>
      <c r="J83" s="12" t="str">
        <f>IF(G83="","",G83-I83)</f>
        <v/>
      </c>
      <c r="K83" s="13" t="str">
        <f>IF(A83="","",YEAR(A83))</f>
        <v/>
      </c>
    </row>
    <row r="84">
      <c r="A84" s="8" t="n"/>
      <c r="B84" s="9" t="n"/>
      <c r="C84" s="10" t="n"/>
      <c r="D84" s="10" t="n"/>
      <c r="E84" s="10" t="n"/>
      <c r="F84" s="10" t="n"/>
      <c r="G84" s="14" t="n"/>
      <c r="H84" s="9" t="n"/>
      <c r="I84" s="12" t="str">
        <f>IF(G84="","",IF(H84="לא",0,ROUND(G84*TaxRate/(1+TaxRate),2)))</f>
        <v/>
      </c>
      <c r="J84" s="12" t="str">
        <f>IF(G84="","",G84-I84)</f>
        <v/>
      </c>
      <c r="K84" s="13" t="str">
        <f>IF(A84="","",YEAR(A84))</f>
        <v/>
      </c>
    </row>
    <row r="85">
      <c r="A85" s="8" t="n"/>
      <c r="B85" s="9" t="n"/>
      <c r="C85" s="10" t="n"/>
      <c r="D85" s="10" t="n"/>
      <c r="E85" s="10" t="n"/>
      <c r="F85" s="10" t="n"/>
      <c r="G85" s="14" t="n"/>
      <c r="H85" s="9" t="n"/>
      <c r="I85" s="12" t="str">
        <f>IF(G85="","",IF(H85="לא",0,ROUND(G85*TaxRate/(1+TaxRate),2)))</f>
        <v/>
      </c>
      <c r="J85" s="12" t="str">
        <f>IF(G85="","",G85-I85)</f>
        <v/>
      </c>
      <c r="K85" s="13" t="str">
        <f>IF(A85="","",YEAR(A85))</f>
        <v/>
      </c>
    </row>
    <row r="86">
      <c r="A86" s="8" t="n"/>
      <c r="B86" s="9" t="n"/>
      <c r="C86" s="10" t="n"/>
      <c r="D86" s="10" t="n"/>
      <c r="E86" s="10" t="n"/>
      <c r="F86" s="10" t="n"/>
      <c r="G86" s="14" t="n"/>
      <c r="H86" s="9" t="n"/>
      <c r="I86" s="12" t="str">
        <f>IF(G86="","",IF(H86="לא",0,ROUND(G86*TaxRate/(1+TaxRate),2)))</f>
        <v/>
      </c>
      <c r="J86" s="12" t="str">
        <f>IF(G86="","",G86-I86)</f>
        <v/>
      </c>
      <c r="K86" s="13" t="str">
        <f>IF(A86="","",YEAR(A86))</f>
        <v/>
      </c>
    </row>
    <row r="87">
      <c r="A87" s="8" t="n"/>
      <c r="B87" s="9" t="n"/>
      <c r="C87" s="10" t="n"/>
      <c r="D87" s="10" t="n"/>
      <c r="E87" s="10" t="n"/>
      <c r="F87" s="10" t="n"/>
      <c r="G87" s="14" t="n"/>
      <c r="H87" s="9" t="n"/>
      <c r="I87" s="12" t="str">
        <f>IF(G87="","",IF(H87="לא",0,ROUND(G87*TaxRate/(1+TaxRate),2)))</f>
        <v/>
      </c>
      <c r="J87" s="12" t="str">
        <f>IF(G87="","",G87-I87)</f>
        <v/>
      </c>
      <c r="K87" s="13" t="str">
        <f>IF(A87="","",YEAR(A87))</f>
        <v/>
      </c>
    </row>
    <row r="88">
      <c r="A88" s="8" t="n"/>
      <c r="B88" s="9" t="n"/>
      <c r="C88" s="10" t="n"/>
      <c r="D88" s="10" t="n"/>
      <c r="E88" s="10" t="n"/>
      <c r="F88" s="10" t="n"/>
      <c r="G88" s="14" t="n"/>
      <c r="H88" s="9" t="n"/>
      <c r="I88" s="12" t="str">
        <f>IF(G88="","",IF(H88="לא",0,ROUND(G88*TaxRate/(1+TaxRate),2)))</f>
        <v/>
      </c>
      <c r="J88" s="12" t="str">
        <f>IF(G88="","",G88-I88)</f>
        <v/>
      </c>
      <c r="K88" s="13" t="str">
        <f>IF(A88="","",YEAR(A88))</f>
        <v/>
      </c>
    </row>
    <row r="89">
      <c r="A89" s="8" t="n"/>
      <c r="B89" s="9" t="n"/>
      <c r="C89" s="10" t="n"/>
      <c r="D89" s="10" t="n"/>
      <c r="E89" s="10" t="n"/>
      <c r="F89" s="10" t="n"/>
      <c r="G89" s="14" t="n"/>
      <c r="H89" s="9" t="n"/>
      <c r="I89" s="12" t="str">
        <f>IF(G89="","",IF(H89="לא",0,ROUND(G89*TaxRate/(1+TaxRate),2)))</f>
        <v/>
      </c>
      <c r="J89" s="12" t="str">
        <f>IF(G89="","",G89-I89)</f>
        <v/>
      </c>
      <c r="K89" s="13" t="str">
        <f>IF(A89="","",YEAR(A89))</f>
        <v/>
      </c>
    </row>
    <row r="90">
      <c r="A90" s="8" t="n"/>
      <c r="B90" s="9" t="n"/>
      <c r="C90" s="10" t="n"/>
      <c r="D90" s="10" t="n"/>
      <c r="E90" s="10" t="n"/>
      <c r="F90" s="10" t="n"/>
      <c r="G90" s="14" t="n"/>
      <c r="H90" s="9" t="n"/>
      <c r="I90" s="12" t="str">
        <f>IF(G90="","",IF(H90="לא",0,ROUND(G90*TaxRate/(1+TaxRate),2)))</f>
        <v/>
      </c>
      <c r="J90" s="12" t="str">
        <f>IF(G90="","",G90-I90)</f>
        <v/>
      </c>
      <c r="K90" s="13" t="str">
        <f>IF(A90="","",YEAR(A90))</f>
        <v/>
      </c>
    </row>
    <row r="91">
      <c r="A91" s="8" t="n"/>
      <c r="B91" s="9" t="n"/>
      <c r="C91" s="10" t="n"/>
      <c r="D91" s="10" t="n"/>
      <c r="E91" s="10" t="n"/>
      <c r="F91" s="10" t="n"/>
      <c r="G91" s="14" t="n"/>
      <c r="H91" s="9" t="n"/>
      <c r="I91" s="12" t="str">
        <f>IF(G91="","",IF(H91="לא",0,ROUND(G91*TaxRate/(1+TaxRate),2)))</f>
        <v/>
      </c>
      <c r="J91" s="12" t="str">
        <f>IF(G91="","",G91-I91)</f>
        <v/>
      </c>
      <c r="K91" s="13" t="str">
        <f>IF(A91="","",YEAR(A91))</f>
        <v/>
      </c>
    </row>
    <row r="92">
      <c r="A92" s="8" t="n"/>
      <c r="B92" s="9" t="n"/>
      <c r="C92" s="10" t="n"/>
      <c r="D92" s="10" t="n"/>
      <c r="E92" s="10" t="n"/>
      <c r="F92" s="10" t="n"/>
      <c r="G92" s="14" t="n"/>
      <c r="H92" s="9" t="n"/>
      <c r="I92" s="12" t="str">
        <f>IF(G92="","",IF(H92="לא",0,ROUND(G92*TaxRate/(1+TaxRate),2)))</f>
        <v/>
      </c>
      <c r="J92" s="12" t="str">
        <f>IF(G92="","",G92-I92)</f>
        <v/>
      </c>
      <c r="K92" s="13" t="str">
        <f>IF(A92="","",YEAR(A92))</f>
        <v/>
      </c>
    </row>
    <row r="93">
      <c r="A93" s="8" t="n"/>
      <c r="B93" s="9" t="n"/>
      <c r="C93" s="10" t="n"/>
      <c r="D93" s="10" t="n"/>
      <c r="E93" s="10" t="n"/>
      <c r="F93" s="10" t="n"/>
      <c r="G93" s="14" t="n"/>
      <c r="H93" s="9" t="n"/>
      <c r="I93" s="12" t="str">
        <f>IF(G93="","",IF(H93="לא",0,ROUND(G93*TaxRate/(1+TaxRate),2)))</f>
        <v/>
      </c>
      <c r="J93" s="12" t="str">
        <f>IF(G93="","",G93-I93)</f>
        <v/>
      </c>
      <c r="K93" s="13" t="str">
        <f>IF(A93="","",YEAR(A93))</f>
        <v/>
      </c>
    </row>
    <row r="94">
      <c r="A94" s="8" t="n"/>
      <c r="B94" s="9" t="n"/>
      <c r="C94" s="10" t="n"/>
      <c r="D94" s="10" t="n"/>
      <c r="E94" s="10" t="n"/>
      <c r="F94" s="10" t="n"/>
      <c r="G94" s="14" t="n"/>
      <c r="H94" s="9" t="n"/>
      <c r="I94" s="12" t="str">
        <f>IF(G94="","",IF(H94="לא",0,ROUND(G94*TaxRate/(1+TaxRate),2)))</f>
        <v/>
      </c>
      <c r="J94" s="12" t="str">
        <f>IF(G94="","",G94-I94)</f>
        <v/>
      </c>
      <c r="K94" s="13" t="str">
        <f>IF(A94="","",YEAR(A94))</f>
        <v/>
      </c>
    </row>
    <row r="95">
      <c r="A95" s="8" t="n"/>
      <c r="B95" s="9" t="n"/>
      <c r="C95" s="10" t="n"/>
      <c r="D95" s="10" t="n"/>
      <c r="E95" s="10" t="n"/>
      <c r="F95" s="10" t="n"/>
      <c r="G95" s="14" t="n"/>
      <c r="H95" s="9" t="n"/>
      <c r="I95" s="12" t="str">
        <f>IF(G95="","",IF(H95="לא",0,ROUND(G95*TaxRate/(1+TaxRate),2)))</f>
        <v/>
      </c>
      <c r="J95" s="12" t="str">
        <f>IF(G95="","",G95-I95)</f>
        <v/>
      </c>
      <c r="K95" s="13" t="str">
        <f>IF(A95="","",YEAR(A95))</f>
        <v/>
      </c>
    </row>
    <row r="96">
      <c r="A96" s="8" t="n"/>
      <c r="B96" s="9" t="n"/>
      <c r="C96" s="10" t="n"/>
      <c r="D96" s="10" t="n"/>
      <c r="E96" s="10" t="n"/>
      <c r="F96" s="10" t="n"/>
      <c r="G96" s="14" t="n"/>
      <c r="H96" s="9" t="n"/>
      <c r="I96" s="12" t="str">
        <f>IF(G96="","",IF(H96="לא",0,ROUND(G96*TaxRate/(1+TaxRate),2)))</f>
        <v/>
      </c>
      <c r="J96" s="12" t="str">
        <f>IF(G96="","",G96-I96)</f>
        <v/>
      </c>
      <c r="K96" s="13" t="str">
        <f>IF(A96="","",YEAR(A96))</f>
        <v/>
      </c>
    </row>
    <row r="97">
      <c r="A97" s="8" t="n"/>
      <c r="B97" s="9" t="n"/>
      <c r="C97" s="10" t="n"/>
      <c r="D97" s="10" t="n"/>
      <c r="E97" s="10" t="n"/>
      <c r="F97" s="10" t="n"/>
      <c r="G97" s="14" t="n"/>
      <c r="H97" s="9" t="n"/>
      <c r="I97" s="12" t="str">
        <f>IF(G97="","",IF(H97="לא",0,ROUND(G97*TaxRate/(1+TaxRate),2)))</f>
        <v/>
      </c>
      <c r="J97" s="12" t="str">
        <f>IF(G97="","",G97-I97)</f>
        <v/>
      </c>
      <c r="K97" s="13" t="str">
        <f>IF(A97="","",YEAR(A97))</f>
        <v/>
      </c>
    </row>
    <row r="98">
      <c r="A98" s="8" t="n"/>
      <c r="B98" s="9" t="n"/>
      <c r="C98" s="10" t="n"/>
      <c r="D98" s="10" t="n"/>
      <c r="E98" s="10" t="n"/>
      <c r="F98" s="10" t="n"/>
      <c r="G98" s="14" t="n"/>
      <c r="H98" s="9" t="n"/>
      <c r="I98" s="12" t="str">
        <f>IF(G98="","",IF(H98="לא",0,ROUND(G98*TaxRate/(1+TaxRate),2)))</f>
        <v/>
      </c>
      <c r="J98" s="12" t="str">
        <f>IF(G98="","",G98-I98)</f>
        <v/>
      </c>
      <c r="K98" s="13" t="str">
        <f>IF(A98="","",YEAR(A98))</f>
        <v/>
      </c>
    </row>
    <row r="99">
      <c r="A99" s="8" t="n"/>
      <c r="B99" s="9" t="n"/>
      <c r="C99" s="10" t="n"/>
      <c r="D99" s="10" t="n"/>
      <c r="E99" s="10" t="n"/>
      <c r="F99" s="10" t="n"/>
      <c r="G99" s="14" t="n"/>
      <c r="H99" s="9" t="n"/>
      <c r="I99" s="12" t="str">
        <f>IF(G99="","",IF(H99="לא",0,ROUND(G99*TaxRate/(1+TaxRate),2)))</f>
        <v/>
      </c>
      <c r="J99" s="12" t="str">
        <f>IF(G99="","",G99-I99)</f>
        <v/>
      </c>
      <c r="K99" s="13" t="str">
        <f>IF(A99="","",YEAR(A99))</f>
        <v/>
      </c>
    </row>
    <row r="100">
      <c r="A100" s="8" t="n"/>
      <c r="B100" s="9" t="n"/>
      <c r="C100" s="10" t="n"/>
      <c r="D100" s="10" t="n"/>
      <c r="E100" s="10" t="n"/>
      <c r="F100" s="10" t="n"/>
      <c r="G100" s="14" t="n"/>
      <c r="H100" s="9" t="n"/>
      <c r="I100" s="12" t="str">
        <f>IF(G100="","",IF(H100="לא",0,ROUND(G100*TaxRate/(1+TaxRate),2)))</f>
        <v/>
      </c>
      <c r="J100" s="12" t="str">
        <f>IF(G100="","",G100-I100)</f>
        <v/>
      </c>
      <c r="K100" s="13" t="str">
        <f>IF(A100="","",YEAR(A100))</f>
        <v/>
      </c>
    </row>
    <row r="101">
      <c r="A101" s="8" t="n"/>
      <c r="B101" s="9" t="n"/>
      <c r="C101" s="10" t="n"/>
      <c r="D101" s="10" t="n"/>
      <c r="E101" s="10" t="n"/>
      <c r="F101" s="10" t="n"/>
      <c r="G101" s="14" t="n"/>
      <c r="H101" s="9" t="n"/>
      <c r="I101" s="12" t="str">
        <f>IF(G101="","",IF(H101="לא",0,ROUND(G101*TaxRate/(1+TaxRate),2)))</f>
        <v/>
      </c>
      <c r="J101" s="12" t="str">
        <f>IF(G101="","",G101-I101)</f>
        <v/>
      </c>
      <c r="K101" s="13" t="str">
        <f>IF(A101="","",YEAR(A101))</f>
        <v/>
      </c>
    </row>
    <row r="102">
      <c r="A102" s="8" t="n"/>
      <c r="B102" s="9" t="n"/>
      <c r="C102" s="10" t="n"/>
      <c r="D102" s="10" t="n"/>
      <c r="E102" s="10" t="n"/>
      <c r="F102" s="10" t="n"/>
      <c r="G102" s="14" t="n"/>
      <c r="H102" s="9" t="n"/>
      <c r="I102" s="12" t="str">
        <f>IF(G102="","",IF(H102="לא",0,ROUND(G102*TaxRate/(1+TaxRate),2)))</f>
        <v/>
      </c>
      <c r="J102" s="12" t="str">
        <f>IF(G102="","",G102-I102)</f>
        <v/>
      </c>
      <c r="K102" s="13" t="str">
        <f>IF(A102="","",YEAR(A102))</f>
        <v/>
      </c>
    </row>
    <row r="103">
      <c r="A103" s="8" t="n"/>
      <c r="B103" s="9" t="n"/>
      <c r="C103" s="10" t="n"/>
      <c r="D103" s="10" t="n"/>
      <c r="E103" s="10" t="n"/>
      <c r="F103" s="10" t="n"/>
      <c r="G103" s="14" t="n"/>
      <c r="H103" s="9" t="n"/>
      <c r="I103" s="12" t="str">
        <f>IF(G103="","",IF(H103="לא",0,ROUND(G103*TaxRate/(1+TaxRate),2)))</f>
        <v/>
      </c>
      <c r="J103" s="12" t="str">
        <f>IF(G103="","",G103-I103)</f>
        <v/>
      </c>
      <c r="K103" s="13" t="str">
        <f>IF(A103="","",YEAR(A103))</f>
        <v/>
      </c>
    </row>
    <row r="104">
      <c r="A104" s="8" t="n"/>
      <c r="B104" s="9" t="n"/>
      <c r="C104" s="10" t="n"/>
      <c r="D104" s="10" t="n"/>
      <c r="E104" s="10" t="n"/>
      <c r="F104" s="10" t="n"/>
      <c r="G104" s="14" t="n"/>
      <c r="H104" s="9" t="n"/>
      <c r="I104" s="12" t="str">
        <f>IF(G104="","",IF(H104="לא",0,ROUND(G104*TaxRate/(1+TaxRate),2)))</f>
        <v/>
      </c>
      <c r="J104" s="12" t="str">
        <f>IF(G104="","",G104-I104)</f>
        <v/>
      </c>
      <c r="K104" s="13" t="str">
        <f>IF(A104="","",YEAR(A104))</f>
        <v/>
      </c>
    </row>
    <row r="105">
      <c r="A105" s="8" t="n"/>
      <c r="B105" s="9" t="n"/>
      <c r="C105" s="10" t="n"/>
      <c r="D105" s="10" t="n"/>
      <c r="E105" s="10" t="n"/>
      <c r="F105" s="10" t="n"/>
      <c r="G105" s="14" t="n"/>
      <c r="H105" s="9" t="n"/>
      <c r="I105" s="12" t="str">
        <f>IF(G105="","",IF(H105="לא",0,ROUND(G105*TaxRate/(1+TaxRate),2)))</f>
        <v/>
      </c>
      <c r="J105" s="12" t="str">
        <f>IF(G105="","",G105-I105)</f>
        <v/>
      </c>
      <c r="K105" s="13" t="str">
        <f>IF(A105="","",YEAR(A105))</f>
        <v/>
      </c>
    </row>
    <row r="106">
      <c r="A106" s="8" t="n"/>
      <c r="B106" s="9" t="n"/>
      <c r="C106" s="10" t="n"/>
      <c r="D106" s="10" t="n"/>
      <c r="E106" s="10" t="n"/>
      <c r="F106" s="10" t="n"/>
      <c r="G106" s="14" t="n"/>
      <c r="H106" s="9" t="n"/>
      <c r="I106" s="12" t="str">
        <f>IF(G106="","",IF(H106="לא",0,ROUND(G106*TaxRate/(1+TaxRate),2)))</f>
        <v/>
      </c>
      <c r="J106" s="12" t="str">
        <f>IF(G106="","",G106-I106)</f>
        <v/>
      </c>
      <c r="K106" s="13" t="str">
        <f>IF(A106="","",YEAR(A106))</f>
        <v/>
      </c>
    </row>
    <row r="107">
      <c r="A107" s="8" t="n"/>
      <c r="B107" s="9" t="n"/>
      <c r="C107" s="10" t="n"/>
      <c r="D107" s="10" t="n"/>
      <c r="E107" s="10" t="n"/>
      <c r="F107" s="10" t="n"/>
      <c r="G107" s="14" t="n"/>
      <c r="H107" s="9" t="n"/>
      <c r="I107" s="12" t="str">
        <f>IF(G107="","",IF(H107="לא",0,ROUND(G107*TaxRate/(1+TaxRate),2)))</f>
        <v/>
      </c>
      <c r="J107" s="12" t="str">
        <f>IF(G107="","",G107-I107)</f>
        <v/>
      </c>
      <c r="K107" s="13" t="str">
        <f>IF(A107="","",YEAR(A107))</f>
        <v/>
      </c>
    </row>
    <row r="108">
      <c r="A108" s="8" t="n"/>
      <c r="B108" s="9" t="n"/>
      <c r="C108" s="10" t="n"/>
      <c r="D108" s="10" t="n"/>
      <c r="E108" s="10" t="n"/>
      <c r="F108" s="10" t="n"/>
      <c r="G108" s="14" t="n"/>
      <c r="H108" s="9" t="n"/>
      <c r="I108" s="12" t="str">
        <f>IF(G108="","",IF(H108="לא",0,ROUND(G108*TaxRate/(1+TaxRate),2)))</f>
        <v/>
      </c>
      <c r="J108" s="12" t="str">
        <f>IF(G108="","",G108-I108)</f>
        <v/>
      </c>
      <c r="K108" s="13" t="str">
        <f>IF(A108="","",YEAR(A108))</f>
        <v/>
      </c>
    </row>
    <row r="109">
      <c r="A109" s="8" t="n"/>
      <c r="B109" s="9" t="n"/>
      <c r="C109" s="10" t="n"/>
      <c r="D109" s="10" t="n"/>
      <c r="E109" s="10" t="n"/>
      <c r="F109" s="10" t="n"/>
      <c r="G109" s="14" t="n"/>
      <c r="H109" s="9" t="n"/>
      <c r="I109" s="12" t="str">
        <f>IF(G109="","",IF(H109="לא",0,ROUND(G109*TaxRate/(1+TaxRate),2)))</f>
        <v/>
      </c>
      <c r="J109" s="12" t="str">
        <f>IF(G109="","",G109-I109)</f>
        <v/>
      </c>
      <c r="K109" s="13" t="str">
        <f>IF(A109="","",YEAR(A109))</f>
        <v/>
      </c>
    </row>
    <row r="110">
      <c r="A110" s="8" t="n"/>
      <c r="B110" s="9" t="n"/>
      <c r="C110" s="10" t="n"/>
      <c r="D110" s="10" t="n"/>
      <c r="E110" s="10" t="n"/>
      <c r="F110" s="10" t="n"/>
      <c r="G110" s="14" t="n"/>
      <c r="H110" s="9" t="n"/>
      <c r="I110" s="12" t="str">
        <f>IF(G110="","",IF(H110="לא",0,ROUND(G110*TaxRate/(1+TaxRate),2)))</f>
        <v/>
      </c>
      <c r="J110" s="12" t="str">
        <f>IF(G110="","",G110-I110)</f>
        <v/>
      </c>
      <c r="K110" s="13" t="str">
        <f>IF(A110="","",YEAR(A110))</f>
        <v/>
      </c>
    </row>
    <row r="111">
      <c r="A111" s="8" t="n"/>
      <c r="B111" s="9" t="n"/>
      <c r="C111" s="10" t="n"/>
      <c r="D111" s="10" t="n"/>
      <c r="E111" s="10" t="n"/>
      <c r="F111" s="10" t="n"/>
      <c r="G111" s="14" t="n"/>
      <c r="H111" s="9" t="n"/>
      <c r="I111" s="12" t="str">
        <f>IF(G111="","",IF(H111="לא",0,ROUND(G111*TaxRate/(1+TaxRate),2)))</f>
        <v/>
      </c>
      <c r="J111" s="12" t="str">
        <f>IF(G111="","",G111-I111)</f>
        <v/>
      </c>
      <c r="K111" s="13" t="str">
        <f>IF(A111="","",YEAR(A111))</f>
        <v/>
      </c>
    </row>
    <row r="112">
      <c r="A112" s="8" t="n"/>
      <c r="B112" s="9" t="n"/>
      <c r="C112" s="10" t="n"/>
      <c r="D112" s="10" t="n"/>
      <c r="E112" s="10" t="n"/>
      <c r="F112" s="10" t="n"/>
      <c r="G112" s="14" t="n"/>
      <c r="H112" s="9" t="n"/>
      <c r="I112" s="12" t="str">
        <f>IF(G112="","",IF(H112="לא",0,ROUND(G112*TaxRate/(1+TaxRate),2)))</f>
        <v/>
      </c>
      <c r="J112" s="12" t="str">
        <f>IF(G112="","",G112-I112)</f>
        <v/>
      </c>
      <c r="K112" s="13" t="str">
        <f>IF(A112="","",YEAR(A112))</f>
        <v/>
      </c>
    </row>
    <row r="113">
      <c r="A113" s="8" t="n"/>
      <c r="B113" s="9" t="n"/>
      <c r="C113" s="10" t="n"/>
      <c r="D113" s="10" t="n"/>
      <c r="E113" s="10" t="n"/>
      <c r="F113" s="10" t="n"/>
      <c r="G113" s="14" t="n"/>
      <c r="H113" s="9" t="n"/>
      <c r="I113" s="12" t="str">
        <f>IF(G113="","",IF(H113="לא",0,ROUND(G113*TaxRate/(1+TaxRate),2)))</f>
        <v/>
      </c>
      <c r="J113" s="12" t="str">
        <f>IF(G113="","",G113-I113)</f>
        <v/>
      </c>
      <c r="K113" s="13" t="str">
        <f>IF(A113="","",YEAR(A113))</f>
        <v/>
      </c>
    </row>
    <row r="114">
      <c r="A114" s="8" t="n"/>
      <c r="B114" s="9" t="n"/>
      <c r="C114" s="10" t="n"/>
      <c r="D114" s="10" t="n"/>
      <c r="E114" s="10" t="n"/>
      <c r="F114" s="10" t="n"/>
      <c r="G114" s="14" t="n"/>
      <c r="H114" s="9" t="n"/>
      <c r="I114" s="12" t="str">
        <f>IF(G114="","",IF(H114="לא",0,ROUND(G114*TaxRate/(1+TaxRate),2)))</f>
        <v/>
      </c>
      <c r="J114" s="12" t="str">
        <f>IF(G114="","",G114-I114)</f>
        <v/>
      </c>
      <c r="K114" s="13" t="str">
        <f>IF(A114="","",YEAR(A114))</f>
        <v/>
      </c>
    </row>
    <row r="115">
      <c r="A115" s="8" t="n"/>
      <c r="B115" s="9" t="n"/>
      <c r="C115" s="10" t="n"/>
      <c r="D115" s="10" t="n"/>
      <c r="E115" s="10" t="n"/>
      <c r="F115" s="10" t="n"/>
      <c r="G115" s="14" t="n"/>
      <c r="H115" s="9" t="n"/>
      <c r="I115" s="12" t="str">
        <f>IF(G115="","",IF(H115="לא",0,ROUND(G115*TaxRate/(1+TaxRate),2)))</f>
        <v/>
      </c>
      <c r="J115" s="12" t="str">
        <f>IF(G115="","",G115-I115)</f>
        <v/>
      </c>
      <c r="K115" s="13" t="str">
        <f>IF(A115="","",YEAR(A115))</f>
        <v/>
      </c>
    </row>
    <row r="116">
      <c r="A116" s="8" t="n"/>
      <c r="B116" s="9" t="n"/>
      <c r="C116" s="10" t="n"/>
      <c r="D116" s="10" t="n"/>
      <c r="E116" s="10" t="n"/>
      <c r="F116" s="10" t="n"/>
      <c r="G116" s="14" t="n"/>
      <c r="H116" s="9" t="n"/>
      <c r="I116" s="12" t="str">
        <f>IF(G116="","",IF(H116="לא",0,ROUND(G116*TaxRate/(1+TaxRate),2)))</f>
        <v/>
      </c>
      <c r="J116" s="12" t="str">
        <f>IF(G116="","",G116-I116)</f>
        <v/>
      </c>
      <c r="K116" s="13" t="str">
        <f>IF(A116="","",YEAR(A116))</f>
        <v/>
      </c>
    </row>
    <row r="117">
      <c r="A117" s="8" t="n"/>
      <c r="B117" s="9" t="n"/>
      <c r="C117" s="10" t="n"/>
      <c r="D117" s="10" t="n"/>
      <c r="E117" s="10" t="n"/>
      <c r="F117" s="10" t="n"/>
      <c r="G117" s="14" t="n"/>
      <c r="H117" s="9" t="n"/>
      <c r="I117" s="12" t="str">
        <f>IF(G117="","",IF(H117="לא",0,ROUND(G117*TaxRate/(1+TaxRate),2)))</f>
        <v/>
      </c>
      <c r="J117" s="12" t="str">
        <f>IF(G117="","",G117-I117)</f>
        <v/>
      </c>
      <c r="K117" s="13" t="str">
        <f>IF(A117="","",YEAR(A117))</f>
        <v/>
      </c>
    </row>
    <row r="118">
      <c r="A118" s="8" t="n"/>
      <c r="B118" s="9" t="n"/>
      <c r="C118" s="10" t="n"/>
      <c r="D118" s="10" t="n"/>
      <c r="E118" s="10" t="n"/>
      <c r="F118" s="10" t="n"/>
      <c r="G118" s="14" t="n"/>
      <c r="H118" s="9" t="n"/>
      <c r="I118" s="12" t="str">
        <f>IF(G118="","",IF(H118="לא",0,ROUND(G118*TaxRate/(1+TaxRate),2)))</f>
        <v/>
      </c>
      <c r="J118" s="12" t="str">
        <f>IF(G118="","",G118-I118)</f>
        <v/>
      </c>
      <c r="K118" s="13" t="str">
        <f>IF(A118="","",YEAR(A118))</f>
        <v/>
      </c>
    </row>
    <row r="119">
      <c r="A119" s="8" t="n"/>
      <c r="B119" s="9" t="n"/>
      <c r="C119" s="10" t="n"/>
      <c r="D119" s="10" t="n"/>
      <c r="E119" s="10" t="n"/>
      <c r="F119" s="10" t="n"/>
      <c r="G119" s="14" t="n"/>
      <c r="H119" s="9" t="n"/>
      <c r="I119" s="12" t="str">
        <f>IF(G119="","",IF(H119="לא",0,ROUND(G119*TaxRate/(1+TaxRate),2)))</f>
        <v/>
      </c>
      <c r="J119" s="12" t="str">
        <f>IF(G119="","",G119-I119)</f>
        <v/>
      </c>
      <c r="K119" s="13" t="str">
        <f>IF(A119="","",YEAR(A119))</f>
        <v/>
      </c>
    </row>
    <row r="120">
      <c r="A120" s="8" t="n"/>
      <c r="B120" s="9" t="n"/>
      <c r="C120" s="10" t="n"/>
      <c r="D120" s="10" t="n"/>
      <c r="E120" s="10" t="n"/>
      <c r="F120" s="10" t="n"/>
      <c r="G120" s="14" t="n"/>
      <c r="H120" s="9" t="n"/>
      <c r="I120" s="12" t="str">
        <f>IF(G120="","",IF(H120="לא",0,ROUND(G120*TaxRate/(1+TaxRate),2)))</f>
        <v/>
      </c>
      <c r="J120" s="12" t="str">
        <f>IF(G120="","",G120-I120)</f>
        <v/>
      </c>
      <c r="K120" s="13" t="str">
        <f>IF(A120="","",YEAR(A120))</f>
        <v/>
      </c>
    </row>
    <row r="121">
      <c r="A121" s="8" t="n"/>
      <c r="B121" s="9" t="n"/>
      <c r="C121" s="10" t="n"/>
      <c r="D121" s="10" t="n"/>
      <c r="E121" s="10" t="n"/>
      <c r="F121" s="10" t="n"/>
      <c r="G121" s="14" t="n"/>
      <c r="H121" s="9" t="n"/>
      <c r="I121" s="12" t="str">
        <f>IF(G121="","",IF(H121="לא",0,ROUND(G121*TaxRate/(1+TaxRate),2)))</f>
        <v/>
      </c>
      <c r="J121" s="12" t="str">
        <f>IF(G121="","",G121-I121)</f>
        <v/>
      </c>
      <c r="K121" s="13" t="str">
        <f>IF(A121="","",YEAR(A121))</f>
        <v/>
      </c>
    </row>
    <row r="122">
      <c r="A122" s="8" t="n"/>
      <c r="B122" s="9" t="n"/>
      <c r="C122" s="10" t="n"/>
      <c r="D122" s="10" t="n"/>
      <c r="E122" s="10" t="n"/>
      <c r="F122" s="10" t="n"/>
      <c r="G122" s="14" t="n"/>
      <c r="H122" s="9" t="n"/>
      <c r="I122" s="12" t="str">
        <f>IF(G122="","",IF(H122="לא",0,ROUND(G122*TaxRate/(1+TaxRate),2)))</f>
        <v/>
      </c>
      <c r="J122" s="12" t="str">
        <f>IF(G122="","",G122-I122)</f>
        <v/>
      </c>
      <c r="K122" s="13" t="str">
        <f>IF(A122="","",YEAR(A122))</f>
        <v/>
      </c>
    </row>
    <row r="123">
      <c r="A123" s="8" t="n"/>
      <c r="B123" s="9" t="n"/>
      <c r="C123" s="10" t="n"/>
      <c r="D123" s="10" t="n"/>
      <c r="E123" s="10" t="n"/>
      <c r="F123" s="10" t="n"/>
      <c r="G123" s="14" t="n"/>
      <c r="H123" s="9" t="n"/>
      <c r="I123" s="12" t="str">
        <f>IF(G123="","",IF(H123="לא",0,ROUND(G123*TaxRate/(1+TaxRate),2)))</f>
        <v/>
      </c>
      <c r="J123" s="12" t="str">
        <f>IF(G123="","",G123-I123)</f>
        <v/>
      </c>
      <c r="K123" s="13" t="str">
        <f>IF(A123="","",YEAR(A123))</f>
        <v/>
      </c>
    </row>
    <row r="124">
      <c r="A124" s="8" t="n"/>
      <c r="B124" s="9" t="n"/>
      <c r="C124" s="10" t="n"/>
      <c r="D124" s="10" t="n"/>
      <c r="E124" s="10" t="n"/>
      <c r="F124" s="10" t="n"/>
      <c r="G124" s="14" t="n"/>
      <c r="H124" s="9" t="n"/>
      <c r="I124" s="12" t="str">
        <f>IF(G124="","",IF(H124="לא",0,ROUND(G124*TaxRate/(1+TaxRate),2)))</f>
        <v/>
      </c>
      <c r="J124" s="12" t="str">
        <f>IF(G124="","",G124-I124)</f>
        <v/>
      </c>
      <c r="K124" s="13" t="str">
        <f>IF(A124="","",YEAR(A124))</f>
        <v/>
      </c>
    </row>
    <row r="125">
      <c r="A125" s="8" t="n"/>
      <c r="B125" s="9" t="n"/>
      <c r="C125" s="10" t="n"/>
      <c r="D125" s="10" t="n"/>
      <c r="E125" s="10" t="n"/>
      <c r="F125" s="10" t="n"/>
      <c r="G125" s="14" t="n"/>
      <c r="H125" s="9" t="n"/>
      <c r="I125" s="12" t="str">
        <f>IF(G125="","",IF(H125="לא",0,ROUND(G125*TaxRate/(1+TaxRate),2)))</f>
        <v/>
      </c>
      <c r="J125" s="12" t="str">
        <f>IF(G125="","",G125-I125)</f>
        <v/>
      </c>
      <c r="K125" s="13" t="str">
        <f>IF(A125="","",YEAR(A125))</f>
        <v/>
      </c>
    </row>
    <row r="126">
      <c r="A126" s="8" t="n"/>
      <c r="B126" s="9" t="n"/>
      <c r="C126" s="10" t="n"/>
      <c r="D126" s="10" t="n"/>
      <c r="E126" s="10" t="n"/>
      <c r="F126" s="10" t="n"/>
      <c r="G126" s="14" t="n"/>
      <c r="H126" s="9" t="n"/>
      <c r="I126" s="12" t="str">
        <f>IF(G126="","",IF(H126="לא",0,ROUND(G126*TaxRate/(1+TaxRate),2)))</f>
        <v/>
      </c>
      <c r="J126" s="12" t="str">
        <f>IF(G126="","",G126-I126)</f>
        <v/>
      </c>
      <c r="K126" s="13" t="str">
        <f>IF(A126="","",YEAR(A126))</f>
        <v/>
      </c>
    </row>
    <row r="127">
      <c r="A127" s="8" t="n"/>
      <c r="B127" s="9" t="n"/>
      <c r="C127" s="10" t="n"/>
      <c r="D127" s="10" t="n"/>
      <c r="E127" s="10" t="n"/>
      <c r="F127" s="10" t="n"/>
      <c r="G127" s="14" t="n"/>
      <c r="H127" s="9" t="n"/>
      <c r="I127" s="12" t="str">
        <f>IF(G127="","",IF(H127="לא",0,ROUND(G127*TaxRate/(1+TaxRate),2)))</f>
        <v/>
      </c>
      <c r="J127" s="12" t="str">
        <f>IF(G127="","",G127-I127)</f>
        <v/>
      </c>
      <c r="K127" s="13" t="str">
        <f>IF(A127="","",YEAR(A127))</f>
        <v/>
      </c>
    </row>
    <row r="128">
      <c r="A128" s="8" t="n"/>
      <c r="B128" s="9" t="n"/>
      <c r="C128" s="10" t="n"/>
      <c r="D128" s="10" t="n"/>
      <c r="E128" s="10" t="n"/>
      <c r="F128" s="10" t="n"/>
      <c r="G128" s="14" t="n"/>
      <c r="H128" s="9" t="n"/>
      <c r="I128" s="12" t="str">
        <f>IF(G128="","",IF(H128="לא",0,ROUND(G128*TaxRate/(1+TaxRate),2)))</f>
        <v/>
      </c>
      <c r="J128" s="12" t="str">
        <f>IF(G128="","",G128-I128)</f>
        <v/>
      </c>
      <c r="K128" s="13" t="str">
        <f>IF(A128="","",YEAR(A128))</f>
        <v/>
      </c>
    </row>
    <row r="129">
      <c r="A129" s="8" t="n"/>
      <c r="B129" s="9" t="n"/>
      <c r="C129" s="10" t="n"/>
      <c r="D129" s="10" t="n"/>
      <c r="E129" s="10" t="n"/>
      <c r="F129" s="10" t="n"/>
      <c r="G129" s="14" t="n"/>
      <c r="H129" s="9" t="n"/>
      <c r="I129" s="12" t="str">
        <f>IF(G129="","",IF(H129="לא",0,ROUND(G129*TaxRate/(1+TaxRate),2)))</f>
        <v/>
      </c>
      <c r="J129" s="12" t="str">
        <f>IF(G129="","",G129-I129)</f>
        <v/>
      </c>
      <c r="K129" s="13" t="str">
        <f>IF(A129="","",YEAR(A129))</f>
        <v/>
      </c>
    </row>
    <row r="130">
      <c r="A130" s="8" t="n"/>
      <c r="B130" s="9" t="n"/>
      <c r="C130" s="10" t="n"/>
      <c r="D130" s="10" t="n"/>
      <c r="E130" s="10" t="n"/>
      <c r="F130" s="10" t="n"/>
      <c r="G130" s="14" t="n"/>
      <c r="H130" s="9" t="n"/>
      <c r="I130" s="12" t="str">
        <f>IF(G130="","",IF(H130="לא",0,ROUND(G130*TaxRate/(1+TaxRate),2)))</f>
        <v/>
      </c>
      <c r="J130" s="12" t="str">
        <f>IF(G130="","",G130-I130)</f>
        <v/>
      </c>
      <c r="K130" s="13" t="str">
        <f>IF(A130="","",YEAR(A130))</f>
        <v/>
      </c>
    </row>
    <row r="131">
      <c r="A131" s="8" t="n"/>
      <c r="B131" s="9" t="n"/>
      <c r="C131" s="10" t="n"/>
      <c r="D131" s="10" t="n"/>
      <c r="E131" s="10" t="n"/>
      <c r="F131" s="10" t="n"/>
      <c r="G131" s="14" t="n"/>
      <c r="H131" s="9" t="n"/>
      <c r="I131" s="12" t="str">
        <f>IF(G131="","",IF(H131="לא",0,ROUND(G131*TaxRate/(1+TaxRate),2)))</f>
        <v/>
      </c>
      <c r="J131" s="12" t="str">
        <f>IF(G131="","",G131-I131)</f>
        <v/>
      </c>
      <c r="K131" s="13" t="str">
        <f>IF(A131="","",YEAR(A131))</f>
        <v/>
      </c>
    </row>
    <row r="132">
      <c r="A132" s="8" t="n"/>
      <c r="B132" s="9" t="n"/>
      <c r="C132" s="10" t="n"/>
      <c r="D132" s="10" t="n"/>
      <c r="E132" s="10" t="n"/>
      <c r="F132" s="10" t="n"/>
      <c r="G132" s="14" t="n"/>
      <c r="H132" s="9" t="n"/>
      <c r="I132" s="12" t="str">
        <f>IF(G132="","",IF(H132="לא",0,ROUND(G132*TaxRate/(1+TaxRate),2)))</f>
        <v/>
      </c>
      <c r="J132" s="12" t="str">
        <f>IF(G132="","",G132-I132)</f>
        <v/>
      </c>
      <c r="K132" s="13" t="str">
        <f>IF(A132="","",YEAR(A132))</f>
        <v/>
      </c>
    </row>
    <row r="133">
      <c r="A133" s="8" t="n"/>
      <c r="B133" s="9" t="n"/>
      <c r="C133" s="10" t="n"/>
      <c r="D133" s="10" t="n"/>
      <c r="E133" s="10" t="n"/>
      <c r="F133" s="10" t="n"/>
      <c r="G133" s="14" t="n"/>
      <c r="H133" s="9" t="n"/>
      <c r="I133" s="12" t="str">
        <f>IF(G133="","",IF(H133="לא",0,ROUND(G133*TaxRate/(1+TaxRate),2)))</f>
        <v/>
      </c>
      <c r="J133" s="12" t="str">
        <f>IF(G133="","",G133-I133)</f>
        <v/>
      </c>
      <c r="K133" s="13" t="str">
        <f>IF(A133="","",YEAR(A133))</f>
        <v/>
      </c>
    </row>
    <row r="134">
      <c r="A134" s="8" t="n"/>
      <c r="B134" s="9" t="n"/>
      <c r="C134" s="10" t="n"/>
      <c r="D134" s="10" t="n"/>
      <c r="E134" s="10" t="n"/>
      <c r="F134" s="10" t="n"/>
      <c r="G134" s="14" t="n"/>
      <c r="H134" s="9" t="n"/>
      <c r="I134" s="12" t="str">
        <f>IF(G134="","",IF(H134="לא",0,ROUND(G134*TaxRate/(1+TaxRate),2)))</f>
        <v/>
      </c>
      <c r="J134" s="12" t="str">
        <f>IF(G134="","",G134-I134)</f>
        <v/>
      </c>
      <c r="K134" s="13" t="str">
        <f>IF(A134="","",YEAR(A134))</f>
        <v/>
      </c>
    </row>
    <row r="135">
      <c r="A135" s="8" t="n"/>
      <c r="B135" s="9" t="n"/>
      <c r="C135" s="10" t="n"/>
      <c r="D135" s="10" t="n"/>
      <c r="E135" s="10" t="n"/>
      <c r="F135" s="10" t="n"/>
      <c r="G135" s="14" t="n"/>
      <c r="H135" s="9" t="n"/>
      <c r="I135" s="12" t="str">
        <f>IF(G135="","",IF(H135="לא",0,ROUND(G135*TaxRate/(1+TaxRate),2)))</f>
        <v/>
      </c>
      <c r="J135" s="12" t="str">
        <f>IF(G135="","",G135-I135)</f>
        <v/>
      </c>
      <c r="K135" s="13" t="str">
        <f>IF(A135="","",YEAR(A135))</f>
        <v/>
      </c>
    </row>
    <row r="136">
      <c r="A136" s="8" t="n"/>
      <c r="B136" s="9" t="n"/>
      <c r="C136" s="10" t="n"/>
      <c r="D136" s="10" t="n"/>
      <c r="E136" s="10" t="n"/>
      <c r="F136" s="10" t="n"/>
      <c r="G136" s="14" t="n"/>
      <c r="H136" s="9" t="n"/>
      <c r="I136" s="12" t="str">
        <f>IF(G136="","",IF(H136="לא",0,ROUND(G136*TaxRate/(1+TaxRate),2)))</f>
        <v/>
      </c>
      <c r="J136" s="12" t="str">
        <f>IF(G136="","",G136-I136)</f>
        <v/>
      </c>
      <c r="K136" s="13" t="str">
        <f>IF(A136="","",YEAR(A136))</f>
        <v/>
      </c>
    </row>
    <row r="137">
      <c r="A137" s="8" t="n"/>
      <c r="B137" s="9" t="n"/>
      <c r="C137" s="10" t="n"/>
      <c r="D137" s="10" t="n"/>
      <c r="E137" s="10" t="n"/>
      <c r="F137" s="10" t="n"/>
      <c r="G137" s="14" t="n"/>
      <c r="H137" s="9" t="n"/>
      <c r="I137" s="12" t="str">
        <f>IF(G137="","",IF(H137="לא",0,ROUND(G137*TaxRate/(1+TaxRate),2)))</f>
        <v/>
      </c>
      <c r="J137" s="12" t="str">
        <f>IF(G137="","",G137-I137)</f>
        <v/>
      </c>
      <c r="K137" s="13" t="str">
        <f>IF(A137="","",YEAR(A137))</f>
        <v/>
      </c>
    </row>
    <row r="138">
      <c r="A138" s="8" t="n"/>
      <c r="B138" s="9" t="n"/>
      <c r="C138" s="10" t="n"/>
      <c r="D138" s="10" t="n"/>
      <c r="E138" s="10" t="n"/>
      <c r="F138" s="10" t="n"/>
      <c r="G138" s="14" t="n"/>
      <c r="H138" s="9" t="n"/>
      <c r="I138" s="12" t="str">
        <f>IF(G138="","",IF(H138="לא",0,ROUND(G138*TaxRate/(1+TaxRate),2)))</f>
        <v/>
      </c>
      <c r="J138" s="12" t="str">
        <f>IF(G138="","",G138-I138)</f>
        <v/>
      </c>
      <c r="K138" s="13" t="str">
        <f>IF(A138="","",YEAR(A138))</f>
        <v/>
      </c>
    </row>
    <row r="139">
      <c r="A139" s="8" t="n"/>
      <c r="B139" s="9" t="n"/>
      <c r="C139" s="10" t="n"/>
      <c r="D139" s="10" t="n"/>
      <c r="E139" s="10" t="n"/>
      <c r="F139" s="10" t="n"/>
      <c r="G139" s="14" t="n"/>
      <c r="H139" s="9" t="n"/>
      <c r="I139" s="12" t="str">
        <f>IF(G139="","",IF(H139="לא",0,ROUND(G139*TaxRate/(1+TaxRate),2)))</f>
        <v/>
      </c>
      <c r="J139" s="12" t="str">
        <f>IF(G139="","",G139-I139)</f>
        <v/>
      </c>
      <c r="K139" s="13" t="str">
        <f>IF(A139="","",YEAR(A139))</f>
        <v/>
      </c>
    </row>
    <row r="140">
      <c r="A140" s="8" t="n"/>
      <c r="B140" s="9" t="n"/>
      <c r="C140" s="10" t="n"/>
      <c r="D140" s="10" t="n"/>
      <c r="E140" s="10" t="n"/>
      <c r="F140" s="10" t="n"/>
      <c r="G140" s="14" t="n"/>
      <c r="H140" s="9" t="n"/>
      <c r="I140" s="12" t="str">
        <f>IF(G140="","",IF(H140="לא",0,ROUND(G140*TaxRate/(1+TaxRate),2)))</f>
        <v/>
      </c>
      <c r="J140" s="12" t="str">
        <f>IF(G140="","",G140-I140)</f>
        <v/>
      </c>
      <c r="K140" s="13" t="str">
        <f>IF(A140="","",YEAR(A140))</f>
        <v/>
      </c>
    </row>
    <row r="141">
      <c r="A141" s="8" t="n"/>
      <c r="B141" s="9" t="n"/>
      <c r="C141" s="10" t="n"/>
      <c r="D141" s="10" t="n"/>
      <c r="E141" s="10" t="n"/>
      <c r="F141" s="10" t="n"/>
      <c r="G141" s="14" t="n"/>
      <c r="H141" s="9" t="n"/>
      <c r="I141" s="12" t="str">
        <f>IF(G141="","",IF(H141="לא",0,ROUND(G141*TaxRate/(1+TaxRate),2)))</f>
        <v/>
      </c>
      <c r="J141" s="12" t="str">
        <f>IF(G141="","",G141-I141)</f>
        <v/>
      </c>
      <c r="K141" s="13" t="str">
        <f>IF(A141="","",YEAR(A141))</f>
        <v/>
      </c>
    </row>
    <row r="142">
      <c r="A142" s="8" t="n"/>
      <c r="B142" s="9" t="n"/>
      <c r="C142" s="10" t="n"/>
      <c r="D142" s="10" t="n"/>
      <c r="E142" s="10" t="n"/>
      <c r="F142" s="10" t="n"/>
      <c r="G142" s="14" t="n"/>
      <c r="H142" s="9" t="n"/>
      <c r="I142" s="12" t="str">
        <f>IF(G142="","",IF(H142="לא",0,ROUND(G142*TaxRate/(1+TaxRate),2)))</f>
        <v/>
      </c>
      <c r="J142" s="12" t="str">
        <f>IF(G142="","",G142-I142)</f>
        <v/>
      </c>
      <c r="K142" s="13" t="str">
        <f>IF(A142="","",YEAR(A142))</f>
        <v/>
      </c>
    </row>
    <row r="143">
      <c r="A143" s="8" t="n"/>
      <c r="B143" s="9" t="n"/>
      <c r="C143" s="10" t="n"/>
      <c r="D143" s="10" t="n"/>
      <c r="E143" s="10" t="n"/>
      <c r="F143" s="10" t="n"/>
      <c r="G143" s="14" t="n"/>
      <c r="H143" s="9" t="n"/>
      <c r="I143" s="12" t="str">
        <f>IF(G143="","",IF(H143="לא",0,ROUND(G143*TaxRate/(1+TaxRate),2)))</f>
        <v/>
      </c>
      <c r="J143" s="12" t="str">
        <f>IF(G143="","",G143-I143)</f>
        <v/>
      </c>
      <c r="K143" s="13" t="str">
        <f>IF(A143="","",YEAR(A143))</f>
        <v/>
      </c>
    </row>
    <row r="144">
      <c r="A144" s="8" t="n"/>
      <c r="B144" s="9" t="n"/>
      <c r="C144" s="10" t="n"/>
      <c r="D144" s="10" t="n"/>
      <c r="E144" s="10" t="n"/>
      <c r="F144" s="10" t="n"/>
      <c r="G144" s="14" t="n"/>
      <c r="H144" s="9" t="n"/>
      <c r="I144" s="12" t="str">
        <f>IF(G144="","",IF(H144="לא",0,ROUND(G144*TaxRate/(1+TaxRate),2)))</f>
        <v/>
      </c>
      <c r="J144" s="12" t="str">
        <f>IF(G144="","",G144-I144)</f>
        <v/>
      </c>
      <c r="K144" s="13" t="str">
        <f>IF(A144="","",YEAR(A144))</f>
        <v/>
      </c>
    </row>
    <row r="145">
      <c r="A145" s="8" t="n"/>
      <c r="B145" s="9" t="n"/>
      <c r="C145" s="10" t="n"/>
      <c r="D145" s="10" t="n"/>
      <c r="E145" s="10" t="n"/>
      <c r="F145" s="10" t="n"/>
      <c r="G145" s="14" t="n"/>
      <c r="H145" s="9" t="n"/>
      <c r="I145" s="12" t="str">
        <f>IF(G145="","",IF(H145="לא",0,ROUND(G145*TaxRate/(1+TaxRate),2)))</f>
        <v/>
      </c>
      <c r="J145" s="12" t="str">
        <f>IF(G145="","",G145-I145)</f>
        <v/>
      </c>
      <c r="K145" s="13" t="str">
        <f>IF(A145="","",YEAR(A145))</f>
        <v/>
      </c>
    </row>
    <row r="146">
      <c r="A146" s="8" t="n"/>
      <c r="B146" s="9" t="n"/>
      <c r="C146" s="10" t="n"/>
      <c r="D146" s="10" t="n"/>
      <c r="E146" s="10" t="n"/>
      <c r="F146" s="10" t="n"/>
      <c r="G146" s="14" t="n"/>
      <c r="H146" s="9" t="n"/>
      <c r="I146" s="12" t="str">
        <f>IF(G146="","",IF(H146="לא",0,ROUND(G146*TaxRate/(1+TaxRate),2)))</f>
        <v/>
      </c>
      <c r="J146" s="12" t="str">
        <f>IF(G146="","",G146-I146)</f>
        <v/>
      </c>
      <c r="K146" s="13" t="str">
        <f>IF(A146="","",YEAR(A146))</f>
        <v/>
      </c>
    </row>
    <row r="147">
      <c r="A147" s="8" t="n"/>
      <c r="B147" s="9" t="n"/>
      <c r="C147" s="10" t="n"/>
      <c r="D147" s="10" t="n"/>
      <c r="E147" s="10" t="n"/>
      <c r="F147" s="10" t="n"/>
      <c r="G147" s="14" t="n"/>
      <c r="H147" s="9" t="n"/>
      <c r="I147" s="12" t="str">
        <f>IF(G147="","",IF(H147="לא",0,ROUND(G147*TaxRate/(1+TaxRate),2)))</f>
        <v/>
      </c>
      <c r="J147" s="12" t="str">
        <f>IF(G147="","",G147-I147)</f>
        <v/>
      </c>
      <c r="K147" s="13" t="str">
        <f>IF(A147="","",YEAR(A147))</f>
        <v/>
      </c>
    </row>
    <row r="148">
      <c r="A148" s="8" t="n"/>
      <c r="B148" s="9" t="n"/>
      <c r="C148" s="10" t="n"/>
      <c r="D148" s="10" t="n"/>
      <c r="E148" s="10" t="n"/>
      <c r="F148" s="10" t="n"/>
      <c r="G148" s="14" t="n"/>
      <c r="H148" s="9" t="n"/>
      <c r="I148" s="12" t="str">
        <f>IF(G148="","",IF(H148="לא",0,ROUND(G148*TaxRate/(1+TaxRate),2)))</f>
        <v/>
      </c>
      <c r="J148" s="12" t="str">
        <f>IF(G148="","",G148-I148)</f>
        <v/>
      </c>
      <c r="K148" s="13" t="str">
        <f>IF(A148="","",YEAR(A148))</f>
        <v/>
      </c>
    </row>
    <row r="149">
      <c r="A149" s="8" t="n"/>
      <c r="B149" s="9" t="n"/>
      <c r="C149" s="10" t="n"/>
      <c r="D149" s="10" t="n"/>
      <c r="E149" s="10" t="n"/>
      <c r="F149" s="10" t="n"/>
      <c r="G149" s="14" t="n"/>
      <c r="H149" s="9" t="n"/>
      <c r="I149" s="12" t="str">
        <f>IF(G149="","",IF(H149="לא",0,ROUND(G149*TaxRate/(1+TaxRate),2)))</f>
        <v/>
      </c>
      <c r="J149" s="12" t="str">
        <f>IF(G149="","",G149-I149)</f>
        <v/>
      </c>
      <c r="K149" s="13" t="str">
        <f>IF(A149="","",YEAR(A149))</f>
        <v/>
      </c>
    </row>
    <row r="150">
      <c r="A150" s="8" t="n"/>
      <c r="B150" s="9" t="n"/>
      <c r="C150" s="10" t="n"/>
      <c r="D150" s="10" t="n"/>
      <c r="E150" s="10" t="n"/>
      <c r="F150" s="10" t="n"/>
      <c r="G150" s="14" t="n"/>
      <c r="H150" s="9" t="n"/>
      <c r="I150" s="12" t="str">
        <f>IF(G150="","",IF(H150="לא",0,ROUND(G150*TaxRate/(1+TaxRate),2)))</f>
        <v/>
      </c>
      <c r="J150" s="12" t="str">
        <f>IF(G150="","",G150-I150)</f>
        <v/>
      </c>
      <c r="K150" s="13" t="str">
        <f>IF(A150="","",YEAR(A150))</f>
        <v/>
      </c>
    </row>
    <row r="151">
      <c r="A151" s="8" t="n"/>
      <c r="B151" s="9" t="n"/>
      <c r="C151" s="10" t="n"/>
      <c r="D151" s="10" t="n"/>
      <c r="E151" s="10" t="n"/>
      <c r="F151" s="10" t="n"/>
      <c r="G151" s="14" t="n"/>
      <c r="H151" s="9" t="n"/>
      <c r="I151" s="12" t="str">
        <f>IF(G151="","",IF(H151="לא",0,ROUND(G151*TaxRate/(1+TaxRate),2)))</f>
        <v/>
      </c>
      <c r="J151" s="12" t="str">
        <f>IF(G151="","",G151-I151)</f>
        <v/>
      </c>
      <c r="K151" s="13" t="str">
        <f>IF(A151="","",YEAR(A151))</f>
        <v/>
      </c>
    </row>
    <row r="152">
      <c r="A152" s="8" t="n"/>
      <c r="B152" s="9" t="n"/>
      <c r="C152" s="10" t="n"/>
      <c r="D152" s="10" t="n"/>
      <c r="E152" s="10" t="n"/>
      <c r="F152" s="10" t="n"/>
      <c r="G152" s="14" t="n"/>
      <c r="H152" s="9" t="n"/>
      <c r="I152" s="12" t="str">
        <f>IF(G152="","",IF(H152="לא",0,ROUND(G152*TaxRate/(1+TaxRate),2)))</f>
        <v/>
      </c>
      <c r="J152" s="12" t="str">
        <f>IF(G152="","",G152-I152)</f>
        <v/>
      </c>
      <c r="K152" s="13" t="str">
        <f>IF(A152="","",YEAR(A152))</f>
        <v/>
      </c>
    </row>
    <row r="153">
      <c r="A153" s="8" t="n"/>
      <c r="B153" s="9" t="n"/>
      <c r="C153" s="10" t="n"/>
      <c r="D153" s="10" t="n"/>
      <c r="E153" s="10" t="n"/>
      <c r="F153" s="10" t="n"/>
      <c r="G153" s="14" t="n"/>
      <c r="H153" s="9" t="n"/>
      <c r="I153" s="12" t="str">
        <f>IF(G153="","",IF(H153="לא",0,ROUND(G153*TaxRate/(1+TaxRate),2)))</f>
        <v/>
      </c>
      <c r="J153" s="12" t="str">
        <f>IF(G153="","",G153-I153)</f>
        <v/>
      </c>
      <c r="K153" s="13" t="str">
        <f>IF(A153="","",YEAR(A153))</f>
        <v/>
      </c>
    </row>
    <row r="154">
      <c r="A154" s="8" t="n"/>
      <c r="B154" s="9" t="n"/>
      <c r="C154" s="10" t="n"/>
      <c r="D154" s="10" t="n"/>
      <c r="E154" s="10" t="n"/>
      <c r="F154" s="10" t="n"/>
      <c r="G154" s="14" t="n"/>
      <c r="H154" s="9" t="n"/>
      <c r="I154" s="12" t="str">
        <f>IF(G154="","",IF(H154="לא",0,ROUND(G154*TaxRate/(1+TaxRate),2)))</f>
        <v/>
      </c>
      <c r="J154" s="12" t="str">
        <f>IF(G154="","",G154-I154)</f>
        <v/>
      </c>
      <c r="K154" s="13" t="str">
        <f>IF(A154="","",YEAR(A154))</f>
        <v/>
      </c>
    </row>
    <row r="155">
      <c r="A155" s="8" t="n"/>
      <c r="B155" s="9" t="n"/>
      <c r="C155" s="10" t="n"/>
      <c r="D155" s="10" t="n"/>
      <c r="E155" s="10" t="n"/>
      <c r="F155" s="10" t="n"/>
      <c r="G155" s="14" t="n"/>
      <c r="H155" s="9" t="n"/>
      <c r="I155" s="12" t="str">
        <f>IF(G155="","",IF(H155="לא",0,ROUND(G155*TaxRate/(1+TaxRate),2)))</f>
        <v/>
      </c>
      <c r="J155" s="12" t="str">
        <f>IF(G155="","",G155-I155)</f>
        <v/>
      </c>
      <c r="K155" s="13" t="str">
        <f>IF(A155="","",YEAR(A155))</f>
        <v/>
      </c>
    </row>
    <row r="156">
      <c r="A156" s="8" t="n"/>
      <c r="B156" s="9" t="n"/>
      <c r="C156" s="10" t="n"/>
      <c r="D156" s="10" t="n"/>
      <c r="E156" s="10" t="n"/>
      <c r="F156" s="10" t="n"/>
      <c r="G156" s="14" t="n"/>
      <c r="H156" s="9" t="n"/>
      <c r="I156" s="12" t="str">
        <f>IF(G156="","",IF(H156="לא",0,ROUND(G156*TaxRate/(1+TaxRate),2)))</f>
        <v/>
      </c>
      <c r="J156" s="12" t="str">
        <f>IF(G156="","",G156-I156)</f>
        <v/>
      </c>
      <c r="K156" s="13" t="str">
        <f>IF(A156="","",YEAR(A156))</f>
        <v/>
      </c>
    </row>
    <row r="157">
      <c r="A157" s="8" t="n"/>
      <c r="B157" s="9" t="n"/>
      <c r="C157" s="10" t="n"/>
      <c r="D157" s="10" t="n"/>
      <c r="E157" s="10" t="n"/>
      <c r="F157" s="10" t="n"/>
      <c r="G157" s="14" t="n"/>
      <c r="H157" s="9" t="n"/>
      <c r="I157" s="12" t="str">
        <f>IF(G157="","",IF(H157="לא",0,ROUND(G157*TaxRate/(1+TaxRate),2)))</f>
        <v/>
      </c>
      <c r="J157" s="12" t="str">
        <f>IF(G157="","",G157-I157)</f>
        <v/>
      </c>
      <c r="K157" s="13" t="str">
        <f>IF(A157="","",YEAR(A157))</f>
        <v/>
      </c>
    </row>
    <row r="158">
      <c r="A158" s="8" t="n"/>
      <c r="B158" s="9" t="n"/>
      <c r="C158" s="10" t="n"/>
      <c r="D158" s="10" t="n"/>
      <c r="E158" s="10" t="n"/>
      <c r="F158" s="10" t="n"/>
      <c r="G158" s="14" t="n"/>
      <c r="H158" s="9" t="n"/>
      <c r="I158" s="12" t="str">
        <f>IF(G158="","",IF(H158="לא",0,ROUND(G158*TaxRate/(1+TaxRate),2)))</f>
        <v/>
      </c>
      <c r="J158" s="12" t="str">
        <f>IF(G158="","",G158-I158)</f>
        <v/>
      </c>
      <c r="K158" s="13" t="str">
        <f>IF(A158="","",YEAR(A158))</f>
        <v/>
      </c>
    </row>
    <row r="159">
      <c r="A159" s="8" t="n"/>
      <c r="B159" s="9" t="n"/>
      <c r="C159" s="10" t="n"/>
      <c r="D159" s="10" t="n"/>
      <c r="E159" s="10" t="n"/>
      <c r="F159" s="10" t="n"/>
      <c r="G159" s="14" t="n"/>
      <c r="H159" s="9" t="n"/>
      <c r="I159" s="12" t="str">
        <f>IF(G159="","",IF(H159="לא",0,ROUND(G159*TaxRate/(1+TaxRate),2)))</f>
        <v/>
      </c>
      <c r="J159" s="12" t="str">
        <f>IF(G159="","",G159-I159)</f>
        <v/>
      </c>
      <c r="K159" s="13" t="str">
        <f>IF(A159="","",YEAR(A159))</f>
        <v/>
      </c>
    </row>
    <row r="160">
      <c r="A160" s="8" t="n"/>
      <c r="B160" s="9" t="n"/>
      <c r="C160" s="10" t="n"/>
      <c r="D160" s="10" t="n"/>
      <c r="E160" s="10" t="n"/>
      <c r="F160" s="10" t="n"/>
      <c r="G160" s="14" t="n"/>
      <c r="H160" s="9" t="n"/>
      <c r="I160" s="12" t="str">
        <f>IF(G160="","",IF(H160="לא",0,ROUND(G160*TaxRate/(1+TaxRate),2)))</f>
        <v/>
      </c>
      <c r="J160" s="12" t="str">
        <f>IF(G160="","",G160-I160)</f>
        <v/>
      </c>
      <c r="K160" s="13" t="str">
        <f>IF(A160="","",YEAR(A160))</f>
        <v/>
      </c>
    </row>
    <row r="161">
      <c r="A161" s="8" t="n"/>
      <c r="B161" s="9" t="n"/>
      <c r="C161" s="10" t="n"/>
      <c r="D161" s="10" t="n"/>
      <c r="E161" s="10" t="n"/>
      <c r="F161" s="10" t="n"/>
      <c r="G161" s="14" t="n"/>
      <c r="H161" s="9" t="n"/>
      <c r="I161" s="12" t="str">
        <f>IF(G161="","",IF(H161="לא",0,ROUND(G161*TaxRate/(1+TaxRate),2)))</f>
        <v/>
      </c>
      <c r="J161" s="12" t="str">
        <f>IF(G161="","",G161-I161)</f>
        <v/>
      </c>
      <c r="K161" s="13" t="str">
        <f>IF(A161="","",YEAR(A161))</f>
        <v/>
      </c>
    </row>
    <row r="162">
      <c r="A162" s="8" t="n"/>
      <c r="B162" s="9" t="n"/>
      <c r="C162" s="10" t="n"/>
      <c r="D162" s="10" t="n"/>
      <c r="E162" s="10" t="n"/>
      <c r="F162" s="10" t="n"/>
      <c r="G162" s="14" t="n"/>
      <c r="H162" s="9" t="n"/>
      <c r="I162" s="12" t="str">
        <f>IF(G162="","",IF(H162="לא",0,ROUND(G162*TaxRate/(1+TaxRate),2)))</f>
        <v/>
      </c>
      <c r="J162" s="12" t="str">
        <f>IF(G162="","",G162-I162)</f>
        <v/>
      </c>
      <c r="K162" s="13" t="str">
        <f>IF(A162="","",YEAR(A162))</f>
        <v/>
      </c>
    </row>
    <row r="163">
      <c r="A163" s="8" t="n"/>
      <c r="B163" s="9" t="n"/>
      <c r="C163" s="10" t="n"/>
      <c r="D163" s="10" t="n"/>
      <c r="E163" s="10" t="n"/>
      <c r="F163" s="10" t="n"/>
      <c r="G163" s="14" t="n"/>
      <c r="H163" s="9" t="n"/>
      <c r="I163" s="12" t="str">
        <f>IF(G163="","",IF(H163="לא",0,ROUND(G163*TaxRate/(1+TaxRate),2)))</f>
        <v/>
      </c>
      <c r="J163" s="12" t="str">
        <f>IF(G163="","",G163-I163)</f>
        <v/>
      </c>
      <c r="K163" s="13" t="str">
        <f>IF(A163="","",YEAR(A163))</f>
        <v/>
      </c>
    </row>
    <row r="164">
      <c r="A164" s="8" t="n"/>
      <c r="B164" s="9" t="n"/>
      <c r="C164" s="10" t="n"/>
      <c r="D164" s="10" t="n"/>
      <c r="E164" s="10" t="n"/>
      <c r="F164" s="10" t="n"/>
      <c r="G164" s="14" t="n"/>
      <c r="H164" s="9" t="n"/>
      <c r="I164" s="12" t="str">
        <f>IF(G164="","",IF(H164="לא",0,ROUND(G164*TaxRate/(1+TaxRate),2)))</f>
        <v/>
      </c>
      <c r="J164" s="12" t="str">
        <f>IF(G164="","",G164-I164)</f>
        <v/>
      </c>
      <c r="K164" s="13" t="str">
        <f>IF(A164="","",YEAR(A164))</f>
        <v/>
      </c>
    </row>
    <row r="165">
      <c r="A165" s="8" t="n"/>
      <c r="B165" s="9" t="n"/>
      <c r="C165" s="10" t="n"/>
      <c r="D165" s="10" t="n"/>
      <c r="E165" s="10" t="n"/>
      <c r="F165" s="10" t="n"/>
      <c r="G165" s="14" t="n"/>
      <c r="H165" s="9" t="n"/>
      <c r="I165" s="12" t="str">
        <f>IF(G165="","",IF(H165="לא",0,ROUND(G165*TaxRate/(1+TaxRate),2)))</f>
        <v/>
      </c>
      <c r="J165" s="12" t="str">
        <f>IF(G165="","",G165-I165)</f>
        <v/>
      </c>
      <c r="K165" s="13" t="str">
        <f>IF(A165="","",YEAR(A165))</f>
        <v/>
      </c>
    </row>
    <row r="166">
      <c r="A166" s="8" t="n"/>
      <c r="B166" s="9" t="n"/>
      <c r="C166" s="10" t="n"/>
      <c r="D166" s="10" t="n"/>
      <c r="E166" s="10" t="n"/>
      <c r="F166" s="10" t="n"/>
      <c r="G166" s="14" t="n"/>
      <c r="H166" s="9" t="n"/>
      <c r="I166" s="12" t="str">
        <f>IF(G166="","",IF(H166="לא",0,ROUND(G166*TaxRate/(1+TaxRate),2)))</f>
        <v/>
      </c>
      <c r="J166" s="12" t="str">
        <f>IF(G166="","",G166-I166)</f>
        <v/>
      </c>
      <c r="K166" s="13" t="str">
        <f>IF(A166="","",YEAR(A166))</f>
        <v/>
      </c>
    </row>
    <row r="167">
      <c r="A167" s="8" t="n"/>
      <c r="B167" s="9" t="n"/>
      <c r="C167" s="10" t="n"/>
      <c r="D167" s="10" t="n"/>
      <c r="E167" s="10" t="n"/>
      <c r="F167" s="10" t="n"/>
      <c r="G167" s="14" t="n"/>
      <c r="H167" s="9" t="n"/>
      <c r="I167" s="12" t="str">
        <f>IF(G167="","",IF(H167="לא",0,ROUND(G167*TaxRate/(1+TaxRate),2)))</f>
        <v/>
      </c>
      <c r="J167" s="12" t="str">
        <f>IF(G167="","",G167-I167)</f>
        <v/>
      </c>
      <c r="K167" s="13" t="str">
        <f>IF(A167="","",YEAR(A167))</f>
        <v/>
      </c>
    </row>
    <row r="168">
      <c r="A168" s="8" t="n"/>
      <c r="B168" s="9" t="n"/>
      <c r="C168" s="10" t="n"/>
      <c r="D168" s="10" t="n"/>
      <c r="E168" s="10" t="n"/>
      <c r="F168" s="10" t="n"/>
      <c r="G168" s="14" t="n"/>
      <c r="H168" s="9" t="n"/>
      <c r="I168" s="12" t="str">
        <f>IF(G168="","",IF(H168="לא",0,ROUND(G168*TaxRate/(1+TaxRate),2)))</f>
        <v/>
      </c>
      <c r="J168" s="12" t="str">
        <f>IF(G168="","",G168-I168)</f>
        <v/>
      </c>
      <c r="K168" s="13" t="str">
        <f>IF(A168="","",YEAR(A168))</f>
        <v/>
      </c>
    </row>
    <row r="169">
      <c r="A169" s="8" t="n"/>
      <c r="B169" s="9" t="n"/>
      <c r="C169" s="10" t="n"/>
      <c r="D169" s="10" t="n"/>
      <c r="E169" s="10" t="n"/>
      <c r="F169" s="10" t="n"/>
      <c r="G169" s="14" t="n"/>
      <c r="H169" s="9" t="n"/>
      <c r="I169" s="12" t="str">
        <f>IF(G169="","",IF(H169="לא",0,ROUND(G169*TaxRate/(1+TaxRate),2)))</f>
        <v/>
      </c>
      <c r="J169" s="12" t="str">
        <f>IF(G169="","",G169-I169)</f>
        <v/>
      </c>
      <c r="K169" s="13" t="str">
        <f>IF(A169="","",YEAR(A169))</f>
        <v/>
      </c>
    </row>
    <row r="170">
      <c r="A170" s="8" t="n"/>
      <c r="B170" s="9" t="n"/>
      <c r="C170" s="10" t="n"/>
      <c r="D170" s="10" t="n"/>
      <c r="E170" s="10" t="n"/>
      <c r="F170" s="10" t="n"/>
      <c r="G170" s="14" t="n"/>
      <c r="H170" s="9" t="n"/>
      <c r="I170" s="12" t="str">
        <f>IF(G170="","",IF(H170="לא",0,ROUND(G170*TaxRate/(1+TaxRate),2)))</f>
        <v/>
      </c>
      <c r="J170" s="12" t="str">
        <f>IF(G170="","",G170-I170)</f>
        <v/>
      </c>
      <c r="K170" s="13" t="str">
        <f>IF(A170="","",YEAR(A170))</f>
        <v/>
      </c>
    </row>
    <row r="171">
      <c r="A171" s="8" t="n"/>
      <c r="B171" s="9" t="n"/>
      <c r="C171" s="10" t="n"/>
      <c r="D171" s="10" t="n"/>
      <c r="E171" s="10" t="n"/>
      <c r="F171" s="10" t="n"/>
      <c r="G171" s="14" t="n"/>
      <c r="H171" s="9" t="n"/>
      <c r="I171" s="12" t="str">
        <f>IF(G171="","",IF(H171="לא",0,ROUND(G171*TaxRate/(1+TaxRate),2)))</f>
        <v/>
      </c>
      <c r="J171" s="12" t="str">
        <f>IF(G171="","",G171-I171)</f>
        <v/>
      </c>
      <c r="K171" s="13" t="str">
        <f>IF(A171="","",YEAR(A171))</f>
        <v/>
      </c>
    </row>
    <row r="172">
      <c r="A172" s="8" t="n"/>
      <c r="B172" s="9" t="n"/>
      <c r="C172" s="10" t="n"/>
      <c r="D172" s="10" t="n"/>
      <c r="E172" s="10" t="n"/>
      <c r="F172" s="10" t="n"/>
      <c r="G172" s="14" t="n"/>
      <c r="H172" s="9" t="n"/>
      <c r="I172" s="12" t="str">
        <f>IF(G172="","",IF(H172="לא",0,ROUND(G172*TaxRate/(1+TaxRate),2)))</f>
        <v/>
      </c>
      <c r="J172" s="12" t="str">
        <f>IF(G172="","",G172-I172)</f>
        <v/>
      </c>
      <c r="K172" s="13" t="str">
        <f>IF(A172="","",YEAR(A172))</f>
        <v/>
      </c>
    </row>
    <row r="173">
      <c r="A173" s="8" t="n"/>
      <c r="B173" s="9" t="n"/>
      <c r="C173" s="10" t="n"/>
      <c r="D173" s="10" t="n"/>
      <c r="E173" s="10" t="n"/>
      <c r="F173" s="10" t="n"/>
      <c r="G173" s="14" t="n"/>
      <c r="H173" s="9" t="n"/>
      <c r="I173" s="12" t="str">
        <f>IF(G173="","",IF(H173="לא",0,ROUND(G173*TaxRate/(1+TaxRate),2)))</f>
        <v/>
      </c>
      <c r="J173" s="12" t="str">
        <f>IF(G173="","",G173-I173)</f>
        <v/>
      </c>
      <c r="K173" s="13" t="str">
        <f>IF(A173="","",YEAR(A173))</f>
        <v/>
      </c>
    </row>
    <row r="174">
      <c r="A174" s="8" t="n"/>
      <c r="B174" s="9" t="n"/>
      <c r="C174" s="10" t="n"/>
      <c r="D174" s="10" t="n"/>
      <c r="E174" s="10" t="n"/>
      <c r="F174" s="10" t="n"/>
      <c r="G174" s="14" t="n"/>
      <c r="H174" s="9" t="n"/>
      <c r="I174" s="12" t="str">
        <f>IF(G174="","",IF(H174="לא",0,ROUND(G174*TaxRate/(1+TaxRate),2)))</f>
        <v/>
      </c>
      <c r="J174" s="12" t="str">
        <f>IF(G174="","",G174-I174)</f>
        <v/>
      </c>
      <c r="K174" s="13" t="str">
        <f>IF(A174="","",YEAR(A174))</f>
        <v/>
      </c>
    </row>
    <row r="175">
      <c r="A175" s="8" t="n"/>
      <c r="B175" s="9" t="n"/>
      <c r="C175" s="10" t="n"/>
      <c r="D175" s="10" t="n"/>
      <c r="E175" s="10" t="n"/>
      <c r="F175" s="10" t="n"/>
      <c r="G175" s="14" t="n"/>
      <c r="H175" s="9" t="n"/>
      <c r="I175" s="12" t="str">
        <f>IF(G175="","",IF(H175="לא",0,ROUND(G175*TaxRate/(1+TaxRate),2)))</f>
        <v/>
      </c>
      <c r="J175" s="12" t="str">
        <f>IF(G175="","",G175-I175)</f>
        <v/>
      </c>
      <c r="K175" s="13" t="str">
        <f>IF(A175="","",YEAR(A175))</f>
        <v/>
      </c>
    </row>
    <row r="176">
      <c r="A176" s="8" t="n"/>
      <c r="B176" s="9" t="n"/>
      <c r="C176" s="10" t="n"/>
      <c r="D176" s="10" t="n"/>
      <c r="E176" s="10" t="n"/>
      <c r="F176" s="10" t="n"/>
      <c r="G176" s="14" t="n"/>
      <c r="H176" s="9" t="n"/>
      <c r="I176" s="12" t="str">
        <f>IF(G176="","",IF(H176="לא",0,ROUND(G176*TaxRate/(1+TaxRate),2)))</f>
        <v/>
      </c>
      <c r="J176" s="12" t="str">
        <f>IF(G176="","",G176-I176)</f>
        <v/>
      </c>
      <c r="K176" s="13" t="str">
        <f>IF(A176="","",YEAR(A176))</f>
        <v/>
      </c>
    </row>
    <row r="177">
      <c r="A177" s="8" t="n"/>
      <c r="B177" s="9" t="n"/>
      <c r="C177" s="10" t="n"/>
      <c r="D177" s="10" t="n"/>
      <c r="E177" s="10" t="n"/>
      <c r="F177" s="10" t="n"/>
      <c r="G177" s="14" t="n"/>
      <c r="H177" s="9" t="n"/>
      <c r="I177" s="12" t="str">
        <f>IF(G177="","",IF(H177="לא",0,ROUND(G177*TaxRate/(1+TaxRate),2)))</f>
        <v/>
      </c>
      <c r="J177" s="12" t="str">
        <f>IF(G177="","",G177-I177)</f>
        <v/>
      </c>
      <c r="K177" s="13" t="str">
        <f>IF(A177="","",YEAR(A177))</f>
        <v/>
      </c>
    </row>
    <row r="178">
      <c r="A178" s="8" t="n"/>
      <c r="B178" s="9" t="n"/>
      <c r="C178" s="10" t="n"/>
      <c r="D178" s="10" t="n"/>
      <c r="E178" s="10" t="n"/>
      <c r="F178" s="10" t="n"/>
      <c r="G178" s="14" t="n"/>
      <c r="H178" s="9" t="n"/>
      <c r="I178" s="12" t="str">
        <f>IF(G178="","",IF(H178="לא",0,ROUND(G178*TaxRate/(1+TaxRate),2)))</f>
        <v/>
      </c>
      <c r="J178" s="12" t="str">
        <f>IF(G178="","",G178-I178)</f>
        <v/>
      </c>
      <c r="K178" s="13" t="str">
        <f>IF(A178="","",YEAR(A178))</f>
        <v/>
      </c>
    </row>
    <row r="179">
      <c r="A179" s="8" t="n"/>
      <c r="B179" s="9" t="n"/>
      <c r="C179" s="10" t="n"/>
      <c r="D179" s="10" t="n"/>
      <c r="E179" s="10" t="n"/>
      <c r="F179" s="10" t="n"/>
      <c r="G179" s="14" t="n"/>
      <c r="H179" s="9" t="n"/>
      <c r="I179" s="12" t="str">
        <f>IF(G179="","",IF(H179="לא",0,ROUND(G179*TaxRate/(1+TaxRate),2)))</f>
        <v/>
      </c>
      <c r="J179" s="12" t="str">
        <f>IF(G179="","",G179-I179)</f>
        <v/>
      </c>
      <c r="K179" s="13" t="str">
        <f>IF(A179="","",YEAR(A179))</f>
        <v/>
      </c>
    </row>
    <row r="180">
      <c r="A180" s="8" t="n"/>
      <c r="B180" s="9" t="n"/>
      <c r="C180" s="10" t="n"/>
      <c r="D180" s="10" t="n"/>
      <c r="E180" s="10" t="n"/>
      <c r="F180" s="10" t="n"/>
      <c r="G180" s="14" t="n"/>
      <c r="H180" s="9" t="n"/>
      <c r="I180" s="12" t="str">
        <f>IF(G180="","",IF(H180="לא",0,ROUND(G180*TaxRate/(1+TaxRate),2)))</f>
        <v/>
      </c>
      <c r="J180" s="12" t="str">
        <f>IF(G180="","",G180-I180)</f>
        <v/>
      </c>
      <c r="K180" s="13" t="str">
        <f>IF(A180="","",YEAR(A180))</f>
        <v/>
      </c>
    </row>
    <row r="181">
      <c r="A181" s="8" t="n"/>
      <c r="B181" s="9" t="n"/>
      <c r="C181" s="10" t="n"/>
      <c r="D181" s="10" t="n"/>
      <c r="E181" s="10" t="n"/>
      <c r="F181" s="10" t="n"/>
      <c r="G181" s="14" t="n"/>
      <c r="H181" s="9" t="n"/>
      <c r="I181" s="12" t="str">
        <f>IF(G181="","",IF(H181="לא",0,ROUND(G181*TaxRate/(1+TaxRate),2)))</f>
        <v/>
      </c>
      <c r="J181" s="12" t="str">
        <f>IF(G181="","",G181-I181)</f>
        <v/>
      </c>
      <c r="K181" s="13" t="str">
        <f>IF(A181="","",YEAR(A181))</f>
        <v/>
      </c>
    </row>
    <row r="182">
      <c r="A182" s="8" t="n"/>
      <c r="B182" s="9" t="n"/>
      <c r="C182" s="10" t="n"/>
      <c r="D182" s="10" t="n"/>
      <c r="E182" s="10" t="n"/>
      <c r="F182" s="10" t="n"/>
      <c r="G182" s="14" t="n"/>
      <c r="H182" s="9" t="n"/>
      <c r="I182" s="12" t="str">
        <f>IF(G182="","",IF(H182="לא",0,ROUND(G182*TaxRate/(1+TaxRate),2)))</f>
        <v/>
      </c>
      <c r="J182" s="12" t="str">
        <f>IF(G182="","",G182-I182)</f>
        <v/>
      </c>
      <c r="K182" s="13" t="str">
        <f>IF(A182="","",YEAR(A182))</f>
        <v/>
      </c>
    </row>
    <row r="183">
      <c r="A183" s="8" t="n"/>
      <c r="B183" s="9" t="n"/>
      <c r="C183" s="10" t="n"/>
      <c r="D183" s="10" t="n"/>
      <c r="E183" s="10" t="n"/>
      <c r="F183" s="10" t="n"/>
      <c r="G183" s="14" t="n"/>
      <c r="H183" s="9" t="n"/>
      <c r="I183" s="12" t="str">
        <f>IF(G183="","",IF(H183="לא",0,ROUND(G183*TaxRate/(1+TaxRate),2)))</f>
        <v/>
      </c>
      <c r="J183" s="12" t="str">
        <f>IF(G183="","",G183-I183)</f>
        <v/>
      </c>
      <c r="K183" s="13" t="str">
        <f>IF(A183="","",YEAR(A183))</f>
        <v/>
      </c>
    </row>
    <row r="184">
      <c r="A184" s="8" t="n"/>
      <c r="B184" s="9" t="n"/>
      <c r="C184" s="10" t="n"/>
      <c r="D184" s="10" t="n"/>
      <c r="E184" s="10" t="n"/>
      <c r="F184" s="10" t="n"/>
      <c r="G184" s="14" t="n"/>
      <c r="H184" s="9" t="n"/>
      <c r="I184" s="12" t="str">
        <f>IF(G184="","",IF(H184="לא",0,ROUND(G184*TaxRate/(1+TaxRate),2)))</f>
        <v/>
      </c>
      <c r="J184" s="12" t="str">
        <f>IF(G184="","",G184-I184)</f>
        <v/>
      </c>
      <c r="K184" s="13" t="str">
        <f>IF(A184="","",YEAR(A184))</f>
        <v/>
      </c>
    </row>
    <row r="185">
      <c r="A185" s="8" t="n"/>
      <c r="B185" s="9" t="n"/>
      <c r="C185" s="10" t="n"/>
      <c r="D185" s="10" t="n"/>
      <c r="E185" s="10" t="n"/>
      <c r="F185" s="10" t="n"/>
      <c r="G185" s="14" t="n"/>
      <c r="H185" s="9" t="n"/>
      <c r="I185" s="12" t="str">
        <f>IF(G185="","",IF(H185="לא",0,ROUND(G185*TaxRate/(1+TaxRate),2)))</f>
        <v/>
      </c>
      <c r="J185" s="12" t="str">
        <f>IF(G185="","",G185-I185)</f>
        <v/>
      </c>
      <c r="K185" s="13" t="str">
        <f>IF(A185="","",YEAR(A185))</f>
        <v/>
      </c>
    </row>
    <row r="186">
      <c r="A186" s="8" t="n"/>
      <c r="B186" s="9" t="n"/>
      <c r="C186" s="10" t="n"/>
      <c r="D186" s="10" t="n"/>
      <c r="E186" s="10" t="n"/>
      <c r="F186" s="10" t="n"/>
      <c r="G186" s="14" t="n"/>
      <c r="H186" s="9" t="n"/>
      <c r="I186" s="12" t="str">
        <f>IF(G186="","",IF(H186="לא",0,ROUND(G186*TaxRate/(1+TaxRate),2)))</f>
        <v/>
      </c>
      <c r="J186" s="12" t="str">
        <f>IF(G186="","",G186-I186)</f>
        <v/>
      </c>
      <c r="K186" s="13" t="str">
        <f>IF(A186="","",YEAR(A186))</f>
        <v/>
      </c>
    </row>
    <row r="187">
      <c r="A187" s="8" t="n"/>
      <c r="B187" s="9" t="n"/>
      <c r="C187" s="10" t="n"/>
      <c r="D187" s="10" t="n"/>
      <c r="E187" s="10" t="n"/>
      <c r="F187" s="10" t="n"/>
      <c r="G187" s="14" t="n"/>
      <c r="H187" s="9" t="n"/>
      <c r="I187" s="12" t="str">
        <f>IF(G187="","",IF(H187="לא",0,ROUND(G187*TaxRate/(1+TaxRate),2)))</f>
        <v/>
      </c>
      <c r="J187" s="12" t="str">
        <f>IF(G187="","",G187-I187)</f>
        <v/>
      </c>
      <c r="K187" s="13" t="str">
        <f>IF(A187="","",YEAR(A187))</f>
        <v/>
      </c>
    </row>
    <row r="188">
      <c r="A188" s="8" t="n"/>
      <c r="B188" s="9" t="n"/>
      <c r="C188" s="10" t="n"/>
      <c r="D188" s="10" t="n"/>
      <c r="E188" s="10" t="n"/>
      <c r="F188" s="10" t="n"/>
      <c r="G188" s="14" t="n"/>
      <c r="H188" s="9" t="n"/>
      <c r="I188" s="12" t="str">
        <f>IF(G188="","",IF(H188="לא",0,ROUND(G188*TaxRate/(1+TaxRate),2)))</f>
        <v/>
      </c>
      <c r="J188" s="12" t="str">
        <f>IF(G188="","",G188-I188)</f>
        <v/>
      </c>
      <c r="K188" s="13" t="str">
        <f>IF(A188="","",YEAR(A188))</f>
        <v/>
      </c>
    </row>
    <row r="189">
      <c r="A189" s="8" t="n"/>
      <c r="B189" s="9" t="n"/>
      <c r="C189" s="10" t="n"/>
      <c r="D189" s="10" t="n"/>
      <c r="E189" s="10" t="n"/>
      <c r="F189" s="10" t="n"/>
      <c r="G189" s="14" t="n"/>
      <c r="H189" s="9" t="n"/>
      <c r="I189" s="12" t="str">
        <f>IF(G189="","",IF(H189="לא",0,ROUND(G189*TaxRate/(1+TaxRate),2)))</f>
        <v/>
      </c>
      <c r="J189" s="12" t="str">
        <f>IF(G189="","",G189-I189)</f>
        <v/>
      </c>
      <c r="K189" s="13" t="str">
        <f>IF(A189="","",YEAR(A189))</f>
        <v/>
      </c>
    </row>
    <row r="190">
      <c r="A190" s="8" t="n"/>
      <c r="B190" s="9" t="n"/>
      <c r="C190" s="10" t="n"/>
      <c r="D190" s="10" t="n"/>
      <c r="E190" s="10" t="n"/>
      <c r="F190" s="10" t="n"/>
      <c r="G190" s="14" t="n"/>
      <c r="H190" s="9" t="n"/>
      <c r="I190" s="12" t="str">
        <f>IF(G190="","",IF(H190="לא",0,ROUND(G190*TaxRate/(1+TaxRate),2)))</f>
        <v/>
      </c>
      <c r="J190" s="12" t="str">
        <f>IF(G190="","",G190-I190)</f>
        <v/>
      </c>
      <c r="K190" s="13" t="str">
        <f>IF(A190="","",YEAR(A190))</f>
        <v/>
      </c>
    </row>
    <row r="191">
      <c r="A191" s="8" t="n"/>
      <c r="B191" s="9" t="n"/>
      <c r="C191" s="10" t="n"/>
      <c r="D191" s="10" t="n"/>
      <c r="E191" s="10" t="n"/>
      <c r="F191" s="10" t="n"/>
      <c r="G191" s="14" t="n"/>
      <c r="H191" s="9" t="n"/>
      <c r="I191" s="12" t="str">
        <f>IF(G191="","",IF(H191="לא",0,ROUND(G191*TaxRate/(1+TaxRate),2)))</f>
        <v/>
      </c>
      <c r="J191" s="12" t="str">
        <f>IF(G191="","",G191-I191)</f>
        <v/>
      </c>
      <c r="K191" s="13" t="str">
        <f>IF(A191="","",YEAR(A191))</f>
        <v/>
      </c>
    </row>
    <row r="192">
      <c r="A192" s="8" t="n"/>
      <c r="B192" s="9" t="n"/>
      <c r="C192" s="10" t="n"/>
      <c r="D192" s="10" t="n"/>
      <c r="E192" s="10" t="n"/>
      <c r="F192" s="10" t="n"/>
      <c r="G192" s="14" t="n"/>
      <c r="H192" s="9" t="n"/>
      <c r="I192" s="12" t="str">
        <f>IF(G192="","",IF(H192="לא",0,ROUND(G192*TaxRate/(1+TaxRate),2)))</f>
        <v/>
      </c>
      <c r="J192" s="12" t="str">
        <f>IF(G192="","",G192-I192)</f>
        <v/>
      </c>
      <c r="K192" s="13" t="str">
        <f>IF(A192="","",YEAR(A192))</f>
        <v/>
      </c>
    </row>
    <row r="193">
      <c r="A193" s="8" t="n"/>
      <c r="B193" s="9" t="n"/>
      <c r="C193" s="10" t="n"/>
      <c r="D193" s="10" t="n"/>
      <c r="E193" s="10" t="n"/>
      <c r="F193" s="10" t="n"/>
      <c r="G193" s="14" t="n"/>
      <c r="H193" s="9" t="n"/>
      <c r="I193" s="12" t="str">
        <f>IF(G193="","",IF(H193="לא",0,ROUND(G193*TaxRate/(1+TaxRate),2)))</f>
        <v/>
      </c>
      <c r="J193" s="12" t="str">
        <f>IF(G193="","",G193-I193)</f>
        <v/>
      </c>
      <c r="K193" s="13" t="str">
        <f>IF(A193="","",YEAR(A193))</f>
        <v/>
      </c>
    </row>
    <row r="194">
      <c r="A194" s="8" t="n"/>
      <c r="B194" s="9" t="n"/>
      <c r="C194" s="10" t="n"/>
      <c r="D194" s="10" t="n"/>
      <c r="E194" s="10" t="n"/>
      <c r="F194" s="10" t="n"/>
      <c r="G194" s="14" t="n"/>
      <c r="H194" s="9" t="n"/>
      <c r="I194" s="12" t="str">
        <f>IF(G194="","",IF(H194="לא",0,ROUND(G194*TaxRate/(1+TaxRate),2)))</f>
        <v/>
      </c>
      <c r="J194" s="12" t="str">
        <f>IF(G194="","",G194-I194)</f>
        <v/>
      </c>
      <c r="K194" s="13" t="str">
        <f>IF(A194="","",YEAR(A194))</f>
        <v/>
      </c>
    </row>
    <row r="195">
      <c r="A195" s="8" t="n"/>
      <c r="B195" s="9" t="n"/>
      <c r="C195" s="10" t="n"/>
      <c r="D195" s="10" t="n"/>
      <c r="E195" s="10" t="n"/>
      <c r="F195" s="10" t="n"/>
      <c r="G195" s="14" t="n"/>
      <c r="H195" s="9" t="n"/>
      <c r="I195" s="12" t="str">
        <f>IF(G195="","",IF(H195="לא",0,ROUND(G195*TaxRate/(1+TaxRate),2)))</f>
        <v/>
      </c>
      <c r="J195" s="12" t="str">
        <f>IF(G195="","",G195-I195)</f>
        <v/>
      </c>
      <c r="K195" s="13" t="str">
        <f>IF(A195="","",YEAR(A195))</f>
        <v/>
      </c>
    </row>
    <row r="196">
      <c r="A196" s="8" t="n"/>
      <c r="B196" s="9" t="n"/>
      <c r="C196" s="10" t="n"/>
      <c r="D196" s="10" t="n"/>
      <c r="E196" s="10" t="n"/>
      <c r="F196" s="10" t="n"/>
      <c r="G196" s="14" t="n"/>
      <c r="H196" s="9" t="n"/>
      <c r="I196" s="12" t="str">
        <f>IF(G196="","",IF(H196="לא",0,ROUND(G196*TaxRate/(1+TaxRate),2)))</f>
        <v/>
      </c>
      <c r="J196" s="12" t="str">
        <f>IF(G196="","",G196-I196)</f>
        <v/>
      </c>
      <c r="K196" s="13" t="str">
        <f>IF(A196="","",YEAR(A196))</f>
        <v/>
      </c>
    </row>
    <row r="197">
      <c r="A197" s="8" t="n"/>
      <c r="B197" s="9" t="n"/>
      <c r="C197" s="10" t="n"/>
      <c r="D197" s="10" t="n"/>
      <c r="E197" s="10" t="n"/>
      <c r="F197" s="10" t="n"/>
      <c r="G197" s="14" t="n"/>
      <c r="H197" s="9" t="n"/>
      <c r="I197" s="12" t="str">
        <f>IF(G197="","",IF(H197="לא",0,ROUND(G197*TaxRate/(1+TaxRate),2)))</f>
        <v/>
      </c>
      <c r="J197" s="12" t="str">
        <f>IF(G197="","",G197-I197)</f>
        <v/>
      </c>
      <c r="K197" s="13" t="str">
        <f>IF(A197="","",YEAR(A197))</f>
        <v/>
      </c>
    </row>
    <row r="198">
      <c r="A198" s="8" t="n"/>
      <c r="B198" s="9" t="n"/>
      <c r="C198" s="10" t="n"/>
      <c r="D198" s="10" t="n"/>
      <c r="E198" s="10" t="n"/>
      <c r="F198" s="10" t="n"/>
      <c r="G198" s="14" t="n"/>
      <c r="H198" s="9" t="n"/>
      <c r="I198" s="12" t="str">
        <f>IF(G198="","",IF(H198="לא",0,ROUND(G198*TaxRate/(1+TaxRate),2)))</f>
        <v/>
      </c>
      <c r="J198" s="12" t="str">
        <f>IF(G198="","",G198-I198)</f>
        <v/>
      </c>
      <c r="K198" s="13" t="str">
        <f>IF(A198="","",YEAR(A198))</f>
        <v/>
      </c>
    </row>
    <row r="199">
      <c r="A199" s="8" t="n"/>
      <c r="B199" s="9" t="n"/>
      <c r="C199" s="10" t="n"/>
      <c r="D199" s="10" t="n"/>
      <c r="E199" s="10" t="n"/>
      <c r="F199" s="10" t="n"/>
      <c r="G199" s="14" t="n"/>
      <c r="H199" s="9" t="n"/>
      <c r="I199" s="12" t="str">
        <f>IF(G199="","",IF(H199="לא",0,ROUND(G199*TaxRate/(1+TaxRate),2)))</f>
        <v/>
      </c>
      <c r="J199" s="12" t="str">
        <f>IF(G199="","",G199-I199)</f>
        <v/>
      </c>
      <c r="K199" s="13" t="str">
        <f>IF(A199="","",YEAR(A199))</f>
        <v/>
      </c>
    </row>
    <row r="200">
      <c r="A200" s="8" t="n"/>
      <c r="B200" s="9" t="n"/>
      <c r="C200" s="10" t="n"/>
      <c r="D200" s="10" t="n"/>
      <c r="E200" s="10" t="n"/>
      <c r="F200" s="10" t="n"/>
      <c r="G200" s="14" t="n"/>
      <c r="H200" s="9" t="n"/>
      <c r="I200" s="12" t="str">
        <f>IF(G200="","",IF(H200="לא",0,ROUND(G200*TaxRate/(1+TaxRate),2)))</f>
        <v/>
      </c>
      <c r="J200" s="12" t="str">
        <f>IF(G200="","",G200-I200)</f>
        <v/>
      </c>
      <c r="K200" s="13" t="str">
        <f>IF(A200="","",YEAR(A200))</f>
        <v/>
      </c>
    </row>
    <row r="201">
      <c r="A201" s="8" t="n"/>
      <c r="B201" s="9" t="n"/>
      <c r="C201" s="10" t="n"/>
      <c r="D201" s="10" t="n"/>
      <c r="E201" s="10" t="n"/>
      <c r="F201" s="10" t="n"/>
      <c r="G201" s="14" t="n"/>
      <c r="H201" s="9" t="n"/>
      <c r="I201" s="12" t="str">
        <f>IF(G201="","",IF(H201="לא",0,ROUND(G201*TaxRate/(1+TaxRate),2)))</f>
        <v/>
      </c>
      <c r="J201" s="12" t="str">
        <f>IF(G201="","",G201-I201)</f>
        <v/>
      </c>
      <c r="K201" s="13" t="str">
        <f>IF(A201="","",YEAR(A201))</f>
        <v/>
      </c>
    </row>
    <row r="202">
      <c r="A202" s="8" t="n"/>
      <c r="B202" s="9" t="n"/>
      <c r="C202" s="10" t="n"/>
      <c r="D202" s="10" t="n"/>
      <c r="E202" s="10" t="n"/>
      <c r="F202" s="10" t="n"/>
      <c r="G202" s="14" t="n"/>
      <c r="H202" s="9" t="n"/>
      <c r="I202" s="12" t="str">
        <f>IF(G202="","",IF(H202="לא",0,ROUND(G202*TaxRate/(1+TaxRate),2)))</f>
        <v/>
      </c>
      <c r="J202" s="12" t="str">
        <f>IF(G202="","",G202-I202)</f>
        <v/>
      </c>
      <c r="K202" s="13" t="str">
        <f>IF(A202="","",YEAR(A202))</f>
        <v/>
      </c>
    </row>
    <row r="203">
      <c r="A203" s="8" t="n"/>
      <c r="B203" s="9" t="n"/>
      <c r="C203" s="10" t="n"/>
      <c r="D203" s="10" t="n"/>
      <c r="E203" s="10" t="n"/>
      <c r="F203" s="10" t="n"/>
      <c r="G203" s="14" t="n"/>
      <c r="H203" s="9" t="n"/>
      <c r="I203" s="12" t="str">
        <f>IF(G203="","",IF(H203="לא",0,ROUND(G203*TaxRate/(1+TaxRate),2)))</f>
        <v/>
      </c>
      <c r="J203" s="12" t="str">
        <f>IF(G203="","",G203-I203)</f>
        <v/>
      </c>
      <c r="K203" s="13" t="str">
        <f>IF(A203="","",YEAR(A203))</f>
        <v/>
      </c>
    </row>
    <row r="204">
      <c r="A204" s="8" t="n"/>
      <c r="B204" s="9" t="n"/>
      <c r="C204" s="10" t="n"/>
      <c r="D204" s="10" t="n"/>
      <c r="E204" s="10" t="n"/>
      <c r="F204" s="10" t="n"/>
      <c r="G204" s="14" t="n"/>
      <c r="H204" s="9" t="n"/>
      <c r="I204" s="12" t="str">
        <f>IF(G204="","",IF(H204="לא",0,ROUND(G204*TaxRate/(1+TaxRate),2)))</f>
        <v/>
      </c>
      <c r="J204" s="12" t="str">
        <f>IF(G204="","",G204-I204)</f>
        <v/>
      </c>
      <c r="K204" s="13" t="str">
        <f>IF(A204="","",YEAR(A204))</f>
        <v/>
      </c>
    </row>
    <row r="205">
      <c r="A205" s="8" t="n"/>
      <c r="B205" s="9" t="n"/>
      <c r="C205" s="10" t="n"/>
      <c r="D205" s="10" t="n"/>
      <c r="E205" s="10" t="n"/>
      <c r="F205" s="10" t="n"/>
      <c r="G205" s="14" t="n"/>
      <c r="H205" s="9" t="n"/>
      <c r="I205" s="12" t="str">
        <f>IF(G205="","",IF(H205="לא",0,ROUND(G205*TaxRate/(1+TaxRate),2)))</f>
        <v/>
      </c>
      <c r="J205" s="12" t="str">
        <f>IF(G205="","",G205-I205)</f>
        <v/>
      </c>
      <c r="K205" s="13" t="str">
        <f>IF(A205="","",YEAR(A205))</f>
        <v/>
      </c>
    </row>
    <row r="206">
      <c r="A206" s="8" t="n"/>
      <c r="B206" s="9" t="n"/>
      <c r="C206" s="10" t="n"/>
      <c r="D206" s="10" t="n"/>
      <c r="E206" s="10" t="n"/>
      <c r="F206" s="10" t="n"/>
      <c r="G206" s="14" t="n"/>
      <c r="H206" s="9" t="n"/>
      <c r="I206" s="12" t="str">
        <f>IF(G206="","",IF(H206="לא",0,ROUND(G206*TaxRate/(1+TaxRate),2)))</f>
        <v/>
      </c>
      <c r="J206" s="12" t="str">
        <f>IF(G206="","",G206-I206)</f>
        <v/>
      </c>
      <c r="K206" s="13" t="str">
        <f>IF(A206="","",YEAR(A206))</f>
        <v/>
      </c>
    </row>
    <row r="207">
      <c r="A207" s="8" t="n"/>
      <c r="B207" s="9" t="n"/>
      <c r="C207" s="10" t="n"/>
      <c r="D207" s="10" t="n"/>
      <c r="E207" s="10" t="n"/>
      <c r="F207" s="10" t="n"/>
      <c r="G207" s="14" t="n"/>
      <c r="H207" s="9" t="n"/>
      <c r="I207" s="12" t="str">
        <f>IF(G207="","",IF(H207="לא",0,ROUND(G207*TaxRate/(1+TaxRate),2)))</f>
        <v/>
      </c>
      <c r="J207" s="12" t="str">
        <f>IF(G207="","",G207-I207)</f>
        <v/>
      </c>
      <c r="K207" s="13" t="str">
        <f>IF(A207="","",YEAR(A207))</f>
        <v/>
      </c>
    </row>
    <row r="208">
      <c r="A208" s="8" t="n"/>
      <c r="B208" s="9" t="n"/>
      <c r="C208" s="10" t="n"/>
      <c r="D208" s="10" t="n"/>
      <c r="E208" s="10" t="n"/>
      <c r="F208" s="10" t="n"/>
      <c r="G208" s="14" t="n"/>
      <c r="H208" s="9" t="n"/>
      <c r="I208" s="12" t="str">
        <f>IF(G208="","",IF(H208="לא",0,ROUND(G208*TaxRate/(1+TaxRate),2)))</f>
        <v/>
      </c>
      <c r="J208" s="12" t="str">
        <f>IF(G208="","",G208-I208)</f>
        <v/>
      </c>
      <c r="K208" s="13" t="str">
        <f>IF(A208="","",YEAR(A208))</f>
        <v/>
      </c>
    </row>
    <row r="209">
      <c r="A209" s="8" t="n"/>
      <c r="B209" s="9" t="n"/>
      <c r="C209" s="10" t="n"/>
      <c r="D209" s="10" t="n"/>
      <c r="E209" s="10" t="n"/>
      <c r="F209" s="10" t="n"/>
      <c r="G209" s="14" t="n"/>
      <c r="H209" s="9" t="n"/>
      <c r="I209" s="12" t="str">
        <f>IF(G209="","",IF(H209="לא",0,ROUND(G209*TaxRate/(1+TaxRate),2)))</f>
        <v/>
      </c>
      <c r="J209" s="12" t="str">
        <f>IF(G209="","",G209-I209)</f>
        <v/>
      </c>
      <c r="K209" s="13" t="str">
        <f>IF(A209="","",YEAR(A209))</f>
        <v/>
      </c>
    </row>
    <row r="210">
      <c r="A210" s="8" t="n"/>
      <c r="B210" s="9" t="n"/>
      <c r="C210" s="10" t="n"/>
      <c r="D210" s="10" t="n"/>
      <c r="E210" s="10" t="n"/>
      <c r="F210" s="10" t="n"/>
      <c r="G210" s="14" t="n"/>
      <c r="H210" s="9" t="n"/>
      <c r="I210" s="12" t="str">
        <f>IF(G210="","",IF(H210="לא",0,ROUND(G210*TaxRate/(1+TaxRate),2)))</f>
        <v/>
      </c>
      <c r="J210" s="12" t="str">
        <f>IF(G210="","",G210-I210)</f>
        <v/>
      </c>
      <c r="K210" s="13" t="str">
        <f>IF(A210="","",YEAR(A210))</f>
        <v/>
      </c>
    </row>
    <row r="211">
      <c r="A211" s="8" t="n"/>
      <c r="B211" s="9" t="n"/>
      <c r="C211" s="10" t="n"/>
      <c r="D211" s="10" t="n"/>
      <c r="E211" s="10" t="n"/>
      <c r="F211" s="10" t="n"/>
      <c r="G211" s="14" t="n"/>
      <c r="H211" s="9" t="n"/>
      <c r="I211" s="12" t="str">
        <f>IF(G211="","",IF(H211="לא",0,ROUND(G211*TaxRate/(1+TaxRate),2)))</f>
        <v/>
      </c>
      <c r="J211" s="12" t="str">
        <f>IF(G211="","",G211-I211)</f>
        <v/>
      </c>
      <c r="K211" s="13" t="str">
        <f>IF(A211="","",YEAR(A211))</f>
        <v/>
      </c>
    </row>
    <row r="212">
      <c r="A212" s="8" t="n"/>
      <c r="B212" s="9" t="n"/>
      <c r="C212" s="10" t="n"/>
      <c r="D212" s="10" t="n"/>
      <c r="E212" s="10" t="n"/>
      <c r="F212" s="10" t="n"/>
      <c r="G212" s="14" t="n"/>
      <c r="H212" s="9" t="n"/>
      <c r="I212" s="12" t="str">
        <f>IF(G212="","",IF(H212="לא",0,ROUND(G212*TaxRate/(1+TaxRate),2)))</f>
        <v/>
      </c>
      <c r="J212" s="12" t="str">
        <f>IF(G212="","",G212-I212)</f>
        <v/>
      </c>
      <c r="K212" s="13" t="str">
        <f>IF(A212="","",YEAR(A212))</f>
        <v/>
      </c>
    </row>
    <row r="213">
      <c r="A213" s="8" t="n"/>
      <c r="B213" s="9" t="n"/>
      <c r="C213" s="10" t="n"/>
      <c r="D213" s="10" t="n"/>
      <c r="E213" s="10" t="n"/>
      <c r="F213" s="10" t="n"/>
      <c r="G213" s="14" t="n"/>
      <c r="H213" s="9" t="n"/>
      <c r="I213" s="12" t="str">
        <f>IF(G213="","",IF(H213="לא",0,ROUND(G213*TaxRate/(1+TaxRate),2)))</f>
        <v/>
      </c>
      <c r="J213" s="12" t="str">
        <f>IF(G213="","",G213-I213)</f>
        <v/>
      </c>
      <c r="K213" s="13" t="str">
        <f>IF(A213="","",YEAR(A213))</f>
        <v/>
      </c>
    </row>
    <row r="214">
      <c r="A214" s="8" t="n"/>
      <c r="B214" s="9" t="n"/>
      <c r="C214" s="10" t="n"/>
      <c r="D214" s="10" t="n"/>
      <c r="E214" s="10" t="n"/>
      <c r="F214" s="10" t="n"/>
      <c r="G214" s="14" t="n"/>
      <c r="H214" s="9" t="n"/>
      <c r="I214" s="12" t="str">
        <f>IF(G214="","",IF(H214="לא",0,ROUND(G214*TaxRate/(1+TaxRate),2)))</f>
        <v/>
      </c>
      <c r="J214" s="12" t="str">
        <f>IF(G214="","",G214-I214)</f>
        <v/>
      </c>
      <c r="K214" s="13" t="str">
        <f>IF(A214="","",YEAR(A214))</f>
        <v/>
      </c>
    </row>
    <row r="215">
      <c r="A215" s="8" t="n"/>
      <c r="B215" s="9" t="n"/>
      <c r="C215" s="10" t="n"/>
      <c r="D215" s="10" t="n"/>
      <c r="E215" s="10" t="n"/>
      <c r="F215" s="10" t="n"/>
      <c r="G215" s="14" t="n"/>
      <c r="H215" s="9" t="n"/>
      <c r="I215" s="12" t="str">
        <f>IF(G215="","",IF(H215="לא",0,ROUND(G215*TaxRate/(1+TaxRate),2)))</f>
        <v/>
      </c>
      <c r="J215" s="12" t="str">
        <f>IF(G215="","",G215-I215)</f>
        <v/>
      </c>
      <c r="K215" s="13" t="str">
        <f>IF(A215="","",YEAR(A215))</f>
        <v/>
      </c>
    </row>
    <row r="216">
      <c r="A216" s="8" t="n"/>
      <c r="B216" s="9" t="n"/>
      <c r="C216" s="10" t="n"/>
      <c r="D216" s="10" t="n"/>
      <c r="E216" s="10" t="n"/>
      <c r="F216" s="10" t="n"/>
      <c r="G216" s="14" t="n"/>
      <c r="H216" s="9" t="n"/>
      <c r="I216" s="12" t="str">
        <f>IF(G216="","",IF(H216="לא",0,ROUND(G216*TaxRate/(1+TaxRate),2)))</f>
        <v/>
      </c>
      <c r="J216" s="12" t="str">
        <f>IF(G216="","",G216-I216)</f>
        <v/>
      </c>
      <c r="K216" s="13" t="str">
        <f>IF(A216="","",YEAR(A216))</f>
        <v/>
      </c>
    </row>
    <row r="217">
      <c r="A217" s="8" t="n"/>
      <c r="B217" s="9" t="n"/>
      <c r="C217" s="10" t="n"/>
      <c r="D217" s="10" t="n"/>
      <c r="E217" s="10" t="n"/>
      <c r="F217" s="10" t="n"/>
      <c r="G217" s="14" t="n"/>
      <c r="H217" s="9" t="n"/>
      <c r="I217" s="12" t="str">
        <f>IF(G217="","",IF(H217="לא",0,ROUND(G217*TaxRate/(1+TaxRate),2)))</f>
        <v/>
      </c>
      <c r="J217" s="12" t="str">
        <f>IF(G217="","",G217-I217)</f>
        <v/>
      </c>
      <c r="K217" s="13" t="str">
        <f>IF(A217="","",YEAR(A217))</f>
        <v/>
      </c>
    </row>
    <row r="218">
      <c r="A218" s="8" t="n"/>
      <c r="B218" s="9" t="n"/>
      <c r="C218" s="10" t="n"/>
      <c r="D218" s="10" t="n"/>
      <c r="E218" s="10" t="n"/>
      <c r="F218" s="10" t="n"/>
      <c r="G218" s="14" t="n"/>
      <c r="H218" s="9" t="n"/>
      <c r="I218" s="12" t="str">
        <f>IF(G218="","",IF(H218="לא",0,ROUND(G218*TaxRate/(1+TaxRate),2)))</f>
        <v/>
      </c>
      <c r="J218" s="12" t="str">
        <f>IF(G218="","",G218-I218)</f>
        <v/>
      </c>
      <c r="K218" s="13" t="str">
        <f>IF(A218="","",YEAR(A218))</f>
        <v/>
      </c>
    </row>
    <row r="219">
      <c r="A219" s="8" t="n"/>
      <c r="B219" s="9" t="n"/>
      <c r="C219" s="10" t="n"/>
      <c r="D219" s="10" t="n"/>
      <c r="E219" s="10" t="n"/>
      <c r="F219" s="10" t="n"/>
      <c r="G219" s="14" t="n"/>
      <c r="H219" s="9" t="n"/>
      <c r="I219" s="12" t="str">
        <f>IF(G219="","",IF(H219="לא",0,ROUND(G219*TaxRate/(1+TaxRate),2)))</f>
        <v/>
      </c>
      <c r="J219" s="12" t="str">
        <f>IF(G219="","",G219-I219)</f>
        <v/>
      </c>
      <c r="K219" s="13" t="str">
        <f>IF(A219="","",YEAR(A219))</f>
        <v/>
      </c>
    </row>
    <row r="220">
      <c r="A220" s="8" t="n"/>
      <c r="B220" s="9" t="n"/>
      <c r="C220" s="10" t="n"/>
      <c r="D220" s="10" t="n"/>
      <c r="E220" s="10" t="n"/>
      <c r="F220" s="10" t="n"/>
      <c r="G220" s="14" t="n"/>
      <c r="H220" s="9" t="n"/>
      <c r="I220" s="12" t="str">
        <f>IF(G220="","",IF(H220="לא",0,ROUND(G220*TaxRate/(1+TaxRate),2)))</f>
        <v/>
      </c>
      <c r="J220" s="12" t="str">
        <f>IF(G220="","",G220-I220)</f>
        <v/>
      </c>
      <c r="K220" s="13" t="str">
        <f>IF(A220="","",YEAR(A220))</f>
        <v/>
      </c>
    </row>
    <row r="221">
      <c r="A221" s="8" t="n"/>
      <c r="B221" s="9" t="n"/>
      <c r="C221" s="10" t="n"/>
      <c r="D221" s="10" t="n"/>
      <c r="E221" s="10" t="n"/>
      <c r="F221" s="10" t="n"/>
      <c r="G221" s="14" t="n"/>
      <c r="H221" s="9" t="n"/>
      <c r="I221" s="12" t="str">
        <f>IF(G221="","",IF(H221="לא",0,ROUND(G221*TaxRate/(1+TaxRate),2)))</f>
        <v/>
      </c>
      <c r="J221" s="12" t="str">
        <f>IF(G221="","",G221-I221)</f>
        <v/>
      </c>
      <c r="K221" s="13" t="str">
        <f>IF(A221="","",YEAR(A221))</f>
        <v/>
      </c>
    </row>
    <row r="222">
      <c r="A222" s="8" t="n"/>
      <c r="B222" s="9" t="n"/>
      <c r="C222" s="10" t="n"/>
      <c r="D222" s="10" t="n"/>
      <c r="E222" s="10" t="n"/>
      <c r="F222" s="10" t="n"/>
      <c r="G222" s="14" t="n"/>
      <c r="H222" s="9" t="n"/>
      <c r="I222" s="12" t="str">
        <f>IF(G222="","",IF(H222="לא",0,ROUND(G222*TaxRate/(1+TaxRate),2)))</f>
        <v/>
      </c>
      <c r="J222" s="12" t="str">
        <f>IF(G222="","",G222-I222)</f>
        <v/>
      </c>
      <c r="K222" s="13" t="str">
        <f>IF(A222="","",YEAR(A222))</f>
        <v/>
      </c>
    </row>
    <row r="223">
      <c r="A223" s="8" t="n"/>
      <c r="B223" s="9" t="n"/>
      <c r="C223" s="10" t="n"/>
      <c r="D223" s="10" t="n"/>
      <c r="E223" s="10" t="n"/>
      <c r="F223" s="10" t="n"/>
      <c r="G223" s="14" t="n"/>
      <c r="H223" s="9" t="n"/>
      <c r="I223" s="12" t="str">
        <f>IF(G223="","",IF(H223="לא",0,ROUND(G223*TaxRate/(1+TaxRate),2)))</f>
        <v/>
      </c>
      <c r="J223" s="12" t="str">
        <f>IF(G223="","",G223-I223)</f>
        <v/>
      </c>
      <c r="K223" s="13" t="str">
        <f>IF(A223="","",YEAR(A223))</f>
        <v/>
      </c>
    </row>
    <row r="224">
      <c r="A224" s="8" t="n"/>
      <c r="B224" s="9" t="n"/>
      <c r="C224" s="10" t="n"/>
      <c r="D224" s="10" t="n"/>
      <c r="E224" s="10" t="n"/>
      <c r="F224" s="10" t="n"/>
      <c r="G224" s="14" t="n"/>
      <c r="H224" s="9" t="n"/>
      <c r="I224" s="12" t="str">
        <f>IF(G224="","",IF(H224="לא",0,ROUND(G224*TaxRate/(1+TaxRate),2)))</f>
        <v/>
      </c>
      <c r="J224" s="12" t="str">
        <f>IF(G224="","",G224-I224)</f>
        <v/>
      </c>
      <c r="K224" s="13" t="str">
        <f>IF(A224="","",YEAR(A224))</f>
        <v/>
      </c>
    </row>
    <row r="225">
      <c r="A225" s="8" t="n"/>
      <c r="B225" s="9" t="n"/>
      <c r="C225" s="10" t="n"/>
      <c r="D225" s="10" t="n"/>
      <c r="E225" s="10" t="n"/>
      <c r="F225" s="10" t="n"/>
      <c r="G225" s="14" t="n"/>
      <c r="H225" s="9" t="n"/>
      <c r="I225" s="12" t="str">
        <f>IF(G225="","",IF(H225="לא",0,ROUND(G225*TaxRate/(1+TaxRate),2)))</f>
        <v/>
      </c>
      <c r="J225" s="12" t="str">
        <f>IF(G225="","",G225-I225)</f>
        <v/>
      </c>
      <c r="K225" s="13" t="str">
        <f>IF(A225="","",YEAR(A225))</f>
        <v/>
      </c>
    </row>
    <row r="226">
      <c r="A226" s="8" t="n"/>
      <c r="B226" s="9" t="n"/>
      <c r="C226" s="10" t="n"/>
      <c r="D226" s="10" t="n"/>
      <c r="E226" s="10" t="n"/>
      <c r="F226" s="10" t="n"/>
      <c r="G226" s="14" t="n"/>
      <c r="H226" s="9" t="n"/>
      <c r="I226" s="12" t="str">
        <f>IF(G226="","",IF(H226="לא",0,ROUND(G226*TaxRate/(1+TaxRate),2)))</f>
        <v/>
      </c>
      <c r="J226" s="12" t="str">
        <f>IF(G226="","",G226-I226)</f>
        <v/>
      </c>
      <c r="K226" s="13" t="str">
        <f>IF(A226="","",YEAR(A226))</f>
        <v/>
      </c>
    </row>
    <row r="227">
      <c r="A227" s="8" t="n"/>
      <c r="B227" s="9" t="n"/>
      <c r="C227" s="10" t="n"/>
      <c r="D227" s="10" t="n"/>
      <c r="E227" s="10" t="n"/>
      <c r="F227" s="10" t="n"/>
      <c r="G227" s="14" t="n"/>
      <c r="H227" s="9" t="n"/>
      <c r="I227" s="12" t="str">
        <f>IF(G227="","",IF(H227="לא",0,ROUND(G227*TaxRate/(1+TaxRate),2)))</f>
        <v/>
      </c>
      <c r="J227" s="12" t="str">
        <f>IF(G227="","",G227-I227)</f>
        <v/>
      </c>
      <c r="K227" s="13" t="str">
        <f>IF(A227="","",YEAR(A227))</f>
        <v/>
      </c>
    </row>
    <row r="228">
      <c r="A228" s="8" t="n"/>
      <c r="B228" s="9" t="n"/>
      <c r="C228" s="10" t="n"/>
      <c r="D228" s="10" t="n"/>
      <c r="E228" s="10" t="n"/>
      <c r="F228" s="10" t="n"/>
      <c r="G228" s="14" t="n"/>
      <c r="H228" s="9" t="n"/>
      <c r="I228" s="12" t="str">
        <f>IF(G228="","",IF(H228="לא",0,ROUND(G228*TaxRate/(1+TaxRate),2)))</f>
        <v/>
      </c>
      <c r="J228" s="12" t="str">
        <f>IF(G228="","",G228-I228)</f>
        <v/>
      </c>
      <c r="K228" s="13" t="str">
        <f>IF(A228="","",YEAR(A228))</f>
        <v/>
      </c>
    </row>
    <row r="229">
      <c r="A229" s="8" t="n"/>
      <c r="B229" s="9" t="n"/>
      <c r="C229" s="10" t="n"/>
      <c r="D229" s="10" t="n"/>
      <c r="E229" s="10" t="n"/>
      <c r="F229" s="10" t="n"/>
      <c r="G229" s="14" t="n"/>
      <c r="H229" s="9" t="n"/>
      <c r="I229" s="12" t="str">
        <f>IF(G229="","",IF(H229="לא",0,ROUND(G229*TaxRate/(1+TaxRate),2)))</f>
        <v/>
      </c>
      <c r="J229" s="12" t="str">
        <f>IF(G229="","",G229-I229)</f>
        <v/>
      </c>
      <c r="K229" s="13" t="str">
        <f>IF(A229="","",YEAR(A229))</f>
        <v/>
      </c>
    </row>
    <row r="230">
      <c r="A230" s="8" t="n"/>
      <c r="B230" s="9" t="n"/>
      <c r="C230" s="10" t="n"/>
      <c r="D230" s="10" t="n"/>
      <c r="E230" s="10" t="n"/>
      <c r="F230" s="10" t="n"/>
      <c r="G230" s="14" t="n"/>
      <c r="H230" s="9" t="n"/>
      <c r="I230" s="12" t="str">
        <f>IF(G230="","",IF(H230="לא",0,ROUND(G230*TaxRate/(1+TaxRate),2)))</f>
        <v/>
      </c>
      <c r="J230" s="12" t="str">
        <f>IF(G230="","",G230-I230)</f>
        <v/>
      </c>
      <c r="K230" s="13" t="str">
        <f>IF(A230="","",YEAR(A230))</f>
        <v/>
      </c>
    </row>
    <row r="231">
      <c r="A231" s="8" t="n"/>
      <c r="B231" s="9" t="n"/>
      <c r="C231" s="10" t="n"/>
      <c r="D231" s="10" t="n"/>
      <c r="E231" s="10" t="n"/>
      <c r="F231" s="10" t="n"/>
      <c r="G231" s="14" t="n"/>
      <c r="H231" s="9" t="n"/>
      <c r="I231" s="12" t="str">
        <f>IF(G231="","",IF(H231="לא",0,ROUND(G231*TaxRate/(1+TaxRate),2)))</f>
        <v/>
      </c>
      <c r="J231" s="12" t="str">
        <f>IF(G231="","",G231-I231)</f>
        <v/>
      </c>
      <c r="K231" s="13" t="str">
        <f>IF(A231="","",YEAR(A231))</f>
        <v/>
      </c>
    </row>
    <row r="232">
      <c r="A232" s="8" t="n"/>
      <c r="B232" s="9" t="n"/>
      <c r="C232" s="10" t="n"/>
      <c r="D232" s="10" t="n"/>
      <c r="E232" s="10" t="n"/>
      <c r="F232" s="10" t="n"/>
      <c r="G232" s="14" t="n"/>
      <c r="H232" s="9" t="n"/>
      <c r="I232" s="12" t="str">
        <f>IF(G232="","",IF(H232="לא",0,ROUND(G232*TaxRate/(1+TaxRate),2)))</f>
        <v/>
      </c>
      <c r="J232" s="12" t="str">
        <f>IF(G232="","",G232-I232)</f>
        <v/>
      </c>
      <c r="K232" s="13" t="str">
        <f>IF(A232="","",YEAR(A232))</f>
        <v/>
      </c>
    </row>
    <row r="233">
      <c r="A233" s="8" t="n"/>
      <c r="B233" s="9" t="n"/>
      <c r="C233" s="10" t="n"/>
      <c r="D233" s="10" t="n"/>
      <c r="E233" s="10" t="n"/>
      <c r="F233" s="10" t="n"/>
      <c r="G233" s="14" t="n"/>
      <c r="H233" s="9" t="n"/>
      <c r="I233" s="12" t="str">
        <f>IF(G233="","",IF(H233="לא",0,ROUND(G233*TaxRate/(1+TaxRate),2)))</f>
        <v/>
      </c>
      <c r="J233" s="12" t="str">
        <f>IF(G233="","",G233-I233)</f>
        <v/>
      </c>
      <c r="K233" s="13" t="str">
        <f>IF(A233="","",YEAR(A233))</f>
        <v/>
      </c>
    </row>
    <row r="234">
      <c r="A234" s="8" t="n"/>
      <c r="B234" s="9" t="n"/>
      <c r="C234" s="10" t="n"/>
      <c r="D234" s="10" t="n"/>
      <c r="E234" s="10" t="n"/>
      <c r="F234" s="10" t="n"/>
      <c r="G234" s="14" t="n"/>
      <c r="H234" s="9" t="n"/>
      <c r="I234" s="12" t="str">
        <f>IF(G234="","",IF(H234="לא",0,ROUND(G234*TaxRate/(1+TaxRate),2)))</f>
        <v/>
      </c>
      <c r="J234" s="12" t="str">
        <f>IF(G234="","",G234-I234)</f>
        <v/>
      </c>
      <c r="K234" s="13" t="str">
        <f>IF(A234="","",YEAR(A234))</f>
        <v/>
      </c>
    </row>
    <row r="235">
      <c r="A235" s="8" t="n"/>
      <c r="B235" s="9" t="n"/>
      <c r="C235" s="10" t="n"/>
      <c r="D235" s="10" t="n"/>
      <c r="E235" s="10" t="n"/>
      <c r="F235" s="10" t="n"/>
      <c r="G235" s="14" t="n"/>
      <c r="H235" s="9" t="n"/>
      <c r="I235" s="12" t="str">
        <f>IF(G235="","",IF(H235="לא",0,ROUND(G235*TaxRate/(1+TaxRate),2)))</f>
        <v/>
      </c>
      <c r="J235" s="12" t="str">
        <f>IF(G235="","",G235-I235)</f>
        <v/>
      </c>
      <c r="K235" s="13" t="str">
        <f>IF(A235="","",YEAR(A235))</f>
        <v/>
      </c>
    </row>
    <row r="236">
      <c r="A236" s="8" t="n"/>
      <c r="B236" s="9" t="n"/>
      <c r="C236" s="10" t="n"/>
      <c r="D236" s="10" t="n"/>
      <c r="E236" s="10" t="n"/>
      <c r="F236" s="10" t="n"/>
      <c r="G236" s="14" t="n"/>
      <c r="H236" s="9" t="n"/>
      <c r="I236" s="12" t="str">
        <f>IF(G236="","",IF(H236="לא",0,ROUND(G236*TaxRate/(1+TaxRate),2)))</f>
        <v/>
      </c>
      <c r="J236" s="12" t="str">
        <f>IF(G236="","",G236-I236)</f>
        <v/>
      </c>
      <c r="K236" s="13" t="str">
        <f>IF(A236="","",YEAR(A236))</f>
        <v/>
      </c>
    </row>
    <row r="237">
      <c r="A237" s="8" t="n"/>
      <c r="B237" s="9" t="n"/>
      <c r="C237" s="10" t="n"/>
      <c r="D237" s="10" t="n"/>
      <c r="E237" s="10" t="n"/>
      <c r="F237" s="10" t="n"/>
      <c r="G237" s="14" t="n"/>
      <c r="H237" s="9" t="n"/>
      <c r="I237" s="12" t="str">
        <f>IF(G237="","",IF(H237="לא",0,ROUND(G237*TaxRate/(1+TaxRate),2)))</f>
        <v/>
      </c>
      <c r="J237" s="12" t="str">
        <f>IF(G237="","",G237-I237)</f>
        <v/>
      </c>
      <c r="K237" s="13" t="str">
        <f>IF(A237="","",YEAR(A237))</f>
        <v/>
      </c>
    </row>
    <row r="238">
      <c r="A238" s="8" t="n"/>
      <c r="B238" s="9" t="n"/>
      <c r="C238" s="10" t="n"/>
      <c r="D238" s="10" t="n"/>
      <c r="E238" s="10" t="n"/>
      <c r="F238" s="10" t="n"/>
      <c r="G238" s="14" t="n"/>
      <c r="H238" s="9" t="n"/>
      <c r="I238" s="12" t="str">
        <f>IF(G238="","",IF(H238="לא",0,ROUND(G238*TaxRate/(1+TaxRate),2)))</f>
        <v/>
      </c>
      <c r="J238" s="12" t="str">
        <f>IF(G238="","",G238-I238)</f>
        <v/>
      </c>
      <c r="K238" s="13" t="str">
        <f>IF(A238="","",YEAR(A238))</f>
        <v/>
      </c>
    </row>
    <row r="239">
      <c r="A239" s="8" t="n"/>
      <c r="B239" s="9" t="n"/>
      <c r="C239" s="10" t="n"/>
      <c r="D239" s="10" t="n"/>
      <c r="E239" s="10" t="n"/>
      <c r="F239" s="10" t="n"/>
      <c r="G239" s="14" t="n"/>
      <c r="H239" s="9" t="n"/>
      <c r="I239" s="12" t="str">
        <f>IF(G239="","",IF(H239="לא",0,ROUND(G239*TaxRate/(1+TaxRate),2)))</f>
        <v/>
      </c>
      <c r="J239" s="12" t="str">
        <f>IF(G239="","",G239-I239)</f>
        <v/>
      </c>
      <c r="K239" s="13" t="str">
        <f>IF(A239="","",YEAR(A239))</f>
        <v/>
      </c>
    </row>
    <row r="240">
      <c r="A240" s="8" t="n"/>
      <c r="B240" s="9" t="n"/>
      <c r="C240" s="10" t="n"/>
      <c r="D240" s="10" t="n"/>
      <c r="E240" s="10" t="n"/>
      <c r="F240" s="10" t="n"/>
      <c r="G240" s="14" t="n"/>
      <c r="H240" s="9" t="n"/>
      <c r="I240" s="12" t="str">
        <f>IF(G240="","",IF(H240="לא",0,ROUND(G240*TaxRate/(1+TaxRate),2)))</f>
        <v/>
      </c>
      <c r="J240" s="12" t="str">
        <f>IF(G240="","",G240-I240)</f>
        <v/>
      </c>
      <c r="K240" s="13" t="str">
        <f>IF(A240="","",YEAR(A240))</f>
        <v/>
      </c>
    </row>
    <row r="241">
      <c r="A241" s="8" t="n"/>
      <c r="B241" s="9" t="n"/>
      <c r="C241" s="10" t="n"/>
      <c r="D241" s="10" t="n"/>
      <c r="E241" s="10" t="n"/>
      <c r="F241" s="10" t="n"/>
      <c r="G241" s="14" t="n"/>
      <c r="H241" s="9" t="n"/>
      <c r="I241" s="12" t="str">
        <f>IF(G241="","",IF(H241="לא",0,ROUND(G241*TaxRate/(1+TaxRate),2)))</f>
        <v/>
      </c>
      <c r="J241" s="12" t="str">
        <f>IF(G241="","",G241-I241)</f>
        <v/>
      </c>
      <c r="K241" s="13" t="str">
        <f>IF(A241="","",YEAR(A241))</f>
        <v/>
      </c>
    </row>
    <row r="242">
      <c r="A242" s="8" t="n"/>
      <c r="B242" s="9" t="n"/>
      <c r="C242" s="10" t="n"/>
      <c r="D242" s="10" t="n"/>
      <c r="E242" s="10" t="n"/>
      <c r="F242" s="10" t="n"/>
      <c r="G242" s="14" t="n"/>
      <c r="H242" s="9" t="n"/>
      <c r="I242" s="12" t="str">
        <f>IF(G242="","",IF(H242="לא",0,ROUND(G242*TaxRate/(1+TaxRate),2)))</f>
        <v/>
      </c>
      <c r="J242" s="12" t="str">
        <f>IF(G242="","",G242-I242)</f>
        <v/>
      </c>
      <c r="K242" s="13" t="str">
        <f>IF(A242="","",YEAR(A242))</f>
        <v/>
      </c>
    </row>
    <row r="243">
      <c r="A243" s="8" t="n"/>
      <c r="B243" s="9" t="n"/>
      <c r="C243" s="10" t="n"/>
      <c r="D243" s="10" t="n"/>
      <c r="E243" s="10" t="n"/>
      <c r="F243" s="10" t="n"/>
      <c r="G243" s="14" t="n"/>
      <c r="H243" s="9" t="n"/>
      <c r="I243" s="12" t="str">
        <f>IF(G243="","",IF(H243="לא",0,ROUND(G243*TaxRate/(1+TaxRate),2)))</f>
        <v/>
      </c>
      <c r="J243" s="12" t="str">
        <f>IF(G243="","",G243-I243)</f>
        <v/>
      </c>
      <c r="K243" s="13" t="str">
        <f>IF(A243="","",YEAR(A243))</f>
        <v/>
      </c>
    </row>
    <row r="244">
      <c r="A244" s="8" t="n"/>
      <c r="B244" s="9" t="n"/>
      <c r="C244" s="10" t="n"/>
      <c r="D244" s="10" t="n"/>
      <c r="E244" s="10" t="n"/>
      <c r="F244" s="10" t="n"/>
      <c r="G244" s="14" t="n"/>
      <c r="H244" s="9" t="n"/>
      <c r="I244" s="12" t="str">
        <f>IF(G244="","",IF(H244="לא",0,ROUND(G244*TaxRate/(1+TaxRate),2)))</f>
        <v/>
      </c>
      <c r="J244" s="12" t="str">
        <f>IF(G244="","",G244-I244)</f>
        <v/>
      </c>
      <c r="K244" s="13" t="str">
        <f>IF(A244="","",YEAR(A244))</f>
        <v/>
      </c>
    </row>
    <row r="245">
      <c r="A245" s="8" t="n"/>
      <c r="B245" s="9" t="n"/>
      <c r="C245" s="10" t="n"/>
      <c r="D245" s="10" t="n"/>
      <c r="E245" s="10" t="n"/>
      <c r="F245" s="10" t="n"/>
      <c r="G245" s="14" t="n"/>
      <c r="H245" s="9" t="n"/>
      <c r="I245" s="12" t="str">
        <f>IF(G245="","",IF(H245="לא",0,ROUND(G245*TaxRate/(1+TaxRate),2)))</f>
        <v/>
      </c>
      <c r="J245" s="12" t="str">
        <f>IF(G245="","",G245-I245)</f>
        <v/>
      </c>
      <c r="K245" s="13" t="str">
        <f>IF(A245="","",YEAR(A245))</f>
        <v/>
      </c>
    </row>
    <row r="246">
      <c r="A246" s="8" t="n"/>
      <c r="B246" s="9" t="n"/>
      <c r="C246" s="10" t="n"/>
      <c r="D246" s="10" t="n"/>
      <c r="E246" s="10" t="n"/>
      <c r="F246" s="10" t="n"/>
      <c r="G246" s="14" t="n"/>
      <c r="H246" s="9" t="n"/>
      <c r="I246" s="12" t="str">
        <f>IF(G246="","",IF(H246="לא",0,ROUND(G246*TaxRate/(1+TaxRate),2)))</f>
        <v/>
      </c>
      <c r="J246" s="12" t="str">
        <f>IF(G246="","",G246-I246)</f>
        <v/>
      </c>
      <c r="K246" s="13" t="str">
        <f>IF(A246="","",YEAR(A246))</f>
        <v/>
      </c>
    </row>
    <row r="247">
      <c r="A247" s="8" t="n"/>
      <c r="B247" s="9" t="n"/>
      <c r="C247" s="10" t="n"/>
      <c r="D247" s="10" t="n"/>
      <c r="E247" s="10" t="n"/>
      <c r="F247" s="10" t="n"/>
      <c r="G247" s="14" t="n"/>
      <c r="H247" s="9" t="n"/>
      <c r="I247" s="12" t="str">
        <f>IF(G247="","",IF(H247="לא",0,ROUND(G247*TaxRate/(1+TaxRate),2)))</f>
        <v/>
      </c>
      <c r="J247" s="12" t="str">
        <f>IF(G247="","",G247-I247)</f>
        <v/>
      </c>
      <c r="K247" s="13" t="str">
        <f>IF(A247="","",YEAR(A247))</f>
        <v/>
      </c>
    </row>
    <row r="248">
      <c r="A248" s="8" t="n"/>
      <c r="B248" s="9" t="n"/>
      <c r="C248" s="10" t="n"/>
      <c r="D248" s="10" t="n"/>
      <c r="E248" s="10" t="n"/>
      <c r="F248" s="10" t="n"/>
      <c r="G248" s="14" t="n"/>
      <c r="H248" s="9" t="n"/>
      <c r="I248" s="12" t="str">
        <f>IF(G248="","",IF(H248="לא",0,ROUND(G248*TaxRate/(1+TaxRate),2)))</f>
        <v/>
      </c>
      <c r="J248" s="12" t="str">
        <f>IF(G248="","",G248-I248)</f>
        <v/>
      </c>
      <c r="K248" s="13" t="str">
        <f>IF(A248="","",YEAR(A248))</f>
        <v/>
      </c>
    </row>
    <row r="249">
      <c r="A249" s="8" t="n"/>
      <c r="B249" s="9" t="n"/>
      <c r="C249" s="10" t="n"/>
      <c r="D249" s="10" t="n"/>
      <c r="E249" s="10" t="n"/>
      <c r="F249" s="10" t="n"/>
      <c r="G249" s="14" t="n"/>
      <c r="H249" s="9" t="n"/>
      <c r="I249" s="12" t="str">
        <f>IF(G249="","",IF(H249="לא",0,ROUND(G249*TaxRate/(1+TaxRate),2)))</f>
        <v/>
      </c>
      <c r="J249" s="12" t="str">
        <f>IF(G249="","",G249-I249)</f>
        <v/>
      </c>
      <c r="K249" s="13" t="str">
        <f>IF(A249="","",YEAR(A249))</f>
        <v/>
      </c>
    </row>
    <row r="250">
      <c r="A250" s="8" t="n"/>
      <c r="B250" s="9" t="n"/>
      <c r="C250" s="10" t="n"/>
      <c r="D250" s="10" t="n"/>
      <c r="E250" s="10" t="n"/>
      <c r="F250" s="10" t="n"/>
      <c r="G250" s="14" t="n"/>
      <c r="H250" s="9" t="n"/>
      <c r="I250" s="12" t="str">
        <f>IF(G250="","",IF(H250="לא",0,ROUND(G250*TaxRate/(1+TaxRate),2)))</f>
        <v/>
      </c>
      <c r="J250" s="12" t="str">
        <f>IF(G250="","",G250-I250)</f>
        <v/>
      </c>
      <c r="K250" s="13" t="str">
        <f>IF(A250="","",YEAR(A250))</f>
        <v/>
      </c>
    </row>
    <row r="251">
      <c r="A251" s="8" t="n"/>
      <c r="B251" s="9" t="n"/>
      <c r="C251" s="10" t="n"/>
      <c r="D251" s="10" t="n"/>
      <c r="E251" s="10" t="n"/>
      <c r="F251" s="10" t="n"/>
      <c r="G251" s="14" t="n"/>
      <c r="H251" s="9" t="n"/>
      <c r="I251" s="12" t="str">
        <f>IF(G251="","",IF(H251="לא",0,ROUND(G251*TaxRate/(1+TaxRate),2)))</f>
        <v/>
      </c>
      <c r="J251" s="12" t="str">
        <f>IF(G251="","",G251-I251)</f>
        <v/>
      </c>
      <c r="K251" s="13" t="str">
        <f>IF(A251="","",YEAR(A251))</f>
        <v/>
      </c>
    </row>
    <row r="252">
      <c r="A252" s="8" t="n"/>
      <c r="B252" s="9" t="n"/>
      <c r="C252" s="10" t="n"/>
      <c r="D252" s="10" t="n"/>
      <c r="E252" s="10" t="n"/>
      <c r="F252" s="10" t="n"/>
      <c r="G252" s="14" t="n"/>
      <c r="H252" s="9" t="n"/>
      <c r="I252" s="12" t="str">
        <f>IF(G252="","",IF(H252="לא",0,ROUND(G252*TaxRate/(1+TaxRate),2)))</f>
        <v/>
      </c>
      <c r="J252" s="12" t="str">
        <f>IF(G252="","",G252-I252)</f>
        <v/>
      </c>
      <c r="K252" s="13" t="str">
        <f>IF(A252="","",YEAR(A252))</f>
        <v/>
      </c>
    </row>
    <row r="253">
      <c r="A253" s="8" t="n"/>
      <c r="B253" s="9" t="n"/>
      <c r="C253" s="10" t="n"/>
      <c r="D253" s="10" t="n"/>
      <c r="E253" s="10" t="n"/>
      <c r="F253" s="10" t="n"/>
      <c r="G253" s="14" t="n"/>
      <c r="H253" s="9" t="n"/>
      <c r="I253" s="12" t="str">
        <f>IF(G253="","",IF(H253="לא",0,ROUND(G253*TaxRate/(1+TaxRate),2)))</f>
        <v/>
      </c>
      <c r="J253" s="12" t="str">
        <f>IF(G253="","",G253-I253)</f>
        <v/>
      </c>
      <c r="K253" s="13" t="str">
        <f>IF(A253="","",YEAR(A253))</f>
        <v/>
      </c>
    </row>
    <row r="254">
      <c r="A254" s="8" t="n"/>
      <c r="B254" s="9" t="n"/>
      <c r="C254" s="10" t="n"/>
      <c r="D254" s="10" t="n"/>
      <c r="E254" s="10" t="n"/>
      <c r="F254" s="10" t="n"/>
      <c r="G254" s="14" t="n"/>
      <c r="H254" s="9" t="n"/>
      <c r="I254" s="12" t="str">
        <f>IF(G254="","",IF(H254="לא",0,ROUND(G254*TaxRate/(1+TaxRate),2)))</f>
        <v/>
      </c>
      <c r="J254" s="12" t="str">
        <f>IF(G254="","",G254-I254)</f>
        <v/>
      </c>
      <c r="K254" s="13" t="str">
        <f>IF(A254="","",YEAR(A254))</f>
        <v/>
      </c>
    </row>
    <row r="255">
      <c r="A255" s="8" t="n"/>
      <c r="B255" s="9" t="n"/>
      <c r="C255" s="10" t="n"/>
      <c r="D255" s="10" t="n"/>
      <c r="E255" s="10" t="n"/>
      <c r="F255" s="10" t="n"/>
      <c r="G255" s="14" t="n"/>
      <c r="H255" s="9" t="n"/>
      <c r="I255" s="12" t="str">
        <f>IF(G255="","",IF(H255="לא",0,ROUND(G255*TaxRate/(1+TaxRate),2)))</f>
        <v/>
      </c>
      <c r="J255" s="12" t="str">
        <f>IF(G255="","",G255-I255)</f>
        <v/>
      </c>
      <c r="K255" s="13" t="str">
        <f>IF(A255="","",YEAR(A255))</f>
        <v/>
      </c>
    </row>
    <row r="256">
      <c r="A256" s="8" t="n"/>
      <c r="B256" s="9" t="n"/>
      <c r="C256" s="10" t="n"/>
      <c r="D256" s="10" t="n"/>
      <c r="E256" s="10" t="n"/>
      <c r="F256" s="10" t="n"/>
      <c r="G256" s="14" t="n"/>
      <c r="H256" s="9" t="n"/>
      <c r="I256" s="12" t="str">
        <f>IF(G256="","",IF(H256="לא",0,ROUND(G256*TaxRate/(1+TaxRate),2)))</f>
        <v/>
      </c>
      <c r="J256" s="12" t="str">
        <f>IF(G256="","",G256-I256)</f>
        <v/>
      </c>
      <c r="K256" s="13" t="str">
        <f>IF(A256="","",YEAR(A256))</f>
        <v/>
      </c>
    </row>
    <row r="257">
      <c r="A257" s="8" t="n"/>
      <c r="B257" s="9" t="n"/>
      <c r="C257" s="10" t="n"/>
      <c r="D257" s="10" t="n"/>
      <c r="E257" s="10" t="n"/>
      <c r="F257" s="10" t="n"/>
      <c r="G257" s="14" t="n"/>
      <c r="H257" s="9" t="n"/>
      <c r="I257" s="12" t="str">
        <f>IF(G257="","",IF(H257="לא",0,ROUND(G257*TaxRate/(1+TaxRate),2)))</f>
        <v/>
      </c>
      <c r="J257" s="12" t="str">
        <f>IF(G257="","",G257-I257)</f>
        <v/>
      </c>
      <c r="K257" s="13" t="str">
        <f>IF(A257="","",YEAR(A257))</f>
        <v/>
      </c>
    </row>
    <row r="258">
      <c r="A258" s="8" t="n"/>
      <c r="B258" s="9" t="n"/>
      <c r="C258" s="10" t="n"/>
      <c r="D258" s="10" t="n"/>
      <c r="E258" s="10" t="n"/>
      <c r="F258" s="10" t="n"/>
      <c r="G258" s="14" t="n"/>
      <c r="H258" s="9" t="n"/>
      <c r="I258" s="12" t="str">
        <f>IF(G258="","",IF(H258="לא",0,ROUND(G258*TaxRate/(1+TaxRate),2)))</f>
        <v/>
      </c>
      <c r="J258" s="12" t="str">
        <f>IF(G258="","",G258-I258)</f>
        <v/>
      </c>
      <c r="K258" s="13" t="str">
        <f>IF(A258="","",YEAR(A258))</f>
        <v/>
      </c>
    </row>
    <row r="259">
      <c r="A259" s="8" t="n"/>
      <c r="B259" s="9" t="n"/>
      <c r="C259" s="10" t="n"/>
      <c r="D259" s="10" t="n"/>
      <c r="E259" s="10" t="n"/>
      <c r="F259" s="10" t="n"/>
      <c r="G259" s="14" t="n"/>
      <c r="H259" s="9" t="n"/>
      <c r="I259" s="12" t="str">
        <f>IF(G259="","",IF(H259="לא",0,ROUND(G259*TaxRate/(1+TaxRate),2)))</f>
        <v/>
      </c>
      <c r="J259" s="12" t="str">
        <f>IF(G259="","",G259-I259)</f>
        <v/>
      </c>
      <c r="K259" s="13" t="str">
        <f>IF(A259="","",YEAR(A259))</f>
        <v/>
      </c>
    </row>
    <row r="260">
      <c r="A260" s="8" t="n"/>
      <c r="B260" s="9" t="n"/>
      <c r="C260" s="10" t="n"/>
      <c r="D260" s="10" t="n"/>
      <c r="E260" s="10" t="n"/>
      <c r="F260" s="10" t="n"/>
      <c r="G260" s="14" t="n"/>
      <c r="H260" s="9" t="n"/>
      <c r="I260" s="12" t="str">
        <f>IF(G260="","",IF(H260="לא",0,ROUND(G260*TaxRate/(1+TaxRate),2)))</f>
        <v/>
      </c>
      <c r="J260" s="12" t="str">
        <f>IF(G260="","",G260-I260)</f>
        <v/>
      </c>
      <c r="K260" s="13" t="str">
        <f>IF(A260="","",YEAR(A260))</f>
        <v/>
      </c>
    </row>
    <row r="261">
      <c r="A261" s="8" t="n"/>
      <c r="B261" s="9" t="n"/>
      <c r="C261" s="10" t="n"/>
      <c r="D261" s="10" t="n"/>
      <c r="E261" s="10" t="n"/>
      <c r="F261" s="10" t="n"/>
      <c r="G261" s="14" t="n"/>
      <c r="H261" s="9" t="n"/>
      <c r="I261" s="12" t="str">
        <f>IF(G261="","",IF(H261="לא",0,ROUND(G261*TaxRate/(1+TaxRate),2)))</f>
        <v/>
      </c>
      <c r="J261" s="12" t="str">
        <f>IF(G261="","",G261-I261)</f>
        <v/>
      </c>
      <c r="K261" s="13" t="str">
        <f>IF(A261="","",YEAR(A261))</f>
        <v/>
      </c>
    </row>
    <row r="262">
      <c r="A262" s="8" t="n"/>
      <c r="B262" s="9" t="n"/>
      <c r="C262" s="10" t="n"/>
      <c r="D262" s="10" t="n"/>
      <c r="E262" s="10" t="n"/>
      <c r="F262" s="10" t="n"/>
      <c r="G262" s="14" t="n"/>
      <c r="H262" s="9" t="n"/>
      <c r="I262" s="12" t="str">
        <f>IF(G262="","",IF(H262="לא",0,ROUND(G262*TaxRate/(1+TaxRate),2)))</f>
        <v/>
      </c>
      <c r="J262" s="12" t="str">
        <f>IF(G262="","",G262-I262)</f>
        <v/>
      </c>
      <c r="K262" s="13" t="str">
        <f>IF(A262="","",YEAR(A262))</f>
        <v/>
      </c>
    </row>
    <row r="263">
      <c r="A263" s="8" t="n"/>
      <c r="B263" s="9" t="n"/>
      <c r="C263" s="10" t="n"/>
      <c r="D263" s="10" t="n"/>
      <c r="E263" s="10" t="n"/>
      <c r="F263" s="10" t="n"/>
      <c r="G263" s="14" t="n"/>
      <c r="H263" s="9" t="n"/>
      <c r="I263" s="12" t="str">
        <f>IF(G263="","",IF(H263="לא",0,ROUND(G263*TaxRate/(1+TaxRate),2)))</f>
        <v/>
      </c>
      <c r="J263" s="12" t="str">
        <f>IF(G263="","",G263-I263)</f>
        <v/>
      </c>
      <c r="K263" s="13" t="str">
        <f>IF(A263="","",YEAR(A263))</f>
        <v/>
      </c>
    </row>
    <row r="264">
      <c r="A264" s="8" t="n"/>
      <c r="B264" s="9" t="n"/>
      <c r="C264" s="10" t="n"/>
      <c r="D264" s="10" t="n"/>
      <c r="E264" s="10" t="n"/>
      <c r="F264" s="10" t="n"/>
      <c r="G264" s="14" t="n"/>
      <c r="H264" s="9" t="n"/>
      <c r="I264" s="12" t="str">
        <f>IF(G264="","",IF(H264="לא",0,ROUND(G264*TaxRate/(1+TaxRate),2)))</f>
        <v/>
      </c>
      <c r="J264" s="12" t="str">
        <f>IF(G264="","",G264-I264)</f>
        <v/>
      </c>
      <c r="K264" s="13" t="str">
        <f>IF(A264="","",YEAR(A264))</f>
        <v/>
      </c>
    </row>
    <row r="265">
      <c r="A265" s="8" t="n"/>
      <c r="B265" s="9" t="n"/>
      <c r="C265" s="10" t="n"/>
      <c r="D265" s="10" t="n"/>
      <c r="E265" s="10" t="n"/>
      <c r="F265" s="10" t="n"/>
      <c r="G265" s="14" t="n"/>
      <c r="H265" s="9" t="n"/>
      <c r="I265" s="12" t="str">
        <f>IF(G265="","",IF(H265="לא",0,ROUND(G265*TaxRate/(1+TaxRate),2)))</f>
        <v/>
      </c>
      <c r="J265" s="12" t="str">
        <f>IF(G265="","",G265-I265)</f>
        <v/>
      </c>
      <c r="K265" s="13" t="str">
        <f>IF(A265="","",YEAR(A265))</f>
        <v/>
      </c>
    </row>
    <row r="266">
      <c r="A266" s="8" t="n"/>
      <c r="B266" s="9" t="n"/>
      <c r="C266" s="10" t="n"/>
      <c r="D266" s="10" t="n"/>
      <c r="E266" s="10" t="n"/>
      <c r="F266" s="10" t="n"/>
      <c r="G266" s="14" t="n"/>
      <c r="H266" s="9" t="n"/>
      <c r="I266" s="12" t="str">
        <f>IF(G266="","",IF(H266="לא",0,ROUND(G266*TaxRate/(1+TaxRate),2)))</f>
        <v/>
      </c>
      <c r="J266" s="12" t="str">
        <f>IF(G266="","",G266-I266)</f>
        <v/>
      </c>
      <c r="K266" s="13" t="str">
        <f>IF(A266="","",YEAR(A266))</f>
        <v/>
      </c>
    </row>
    <row r="267">
      <c r="A267" s="8" t="n"/>
      <c r="B267" s="9" t="n"/>
      <c r="C267" s="10" t="n"/>
      <c r="D267" s="10" t="n"/>
      <c r="E267" s="10" t="n"/>
      <c r="F267" s="10" t="n"/>
      <c r="G267" s="14" t="n"/>
      <c r="H267" s="9" t="n"/>
      <c r="I267" s="12" t="str">
        <f>IF(G267="","",IF(H267="לא",0,ROUND(G267*TaxRate/(1+TaxRate),2)))</f>
        <v/>
      </c>
      <c r="J267" s="12" t="str">
        <f>IF(G267="","",G267-I267)</f>
        <v/>
      </c>
      <c r="K267" s="13" t="str">
        <f>IF(A267="","",YEAR(A267))</f>
        <v/>
      </c>
    </row>
    <row r="268">
      <c r="A268" s="8" t="n"/>
      <c r="B268" s="9" t="n"/>
      <c r="C268" s="10" t="n"/>
      <c r="D268" s="10" t="n"/>
      <c r="E268" s="10" t="n"/>
      <c r="F268" s="10" t="n"/>
      <c r="G268" s="14" t="n"/>
      <c r="H268" s="9" t="n"/>
      <c r="I268" s="12" t="str">
        <f>IF(G268="","",IF(H268="לא",0,ROUND(G268*TaxRate/(1+TaxRate),2)))</f>
        <v/>
      </c>
      <c r="J268" s="12" t="str">
        <f>IF(G268="","",G268-I268)</f>
        <v/>
      </c>
      <c r="K268" s="13" t="str">
        <f>IF(A268="","",YEAR(A268))</f>
        <v/>
      </c>
    </row>
    <row r="269">
      <c r="A269" s="8" t="n"/>
      <c r="B269" s="9" t="n"/>
      <c r="C269" s="10" t="n"/>
      <c r="D269" s="10" t="n"/>
      <c r="E269" s="10" t="n"/>
      <c r="F269" s="10" t="n"/>
      <c r="G269" s="14" t="n"/>
      <c r="H269" s="9" t="n"/>
      <c r="I269" s="12" t="str">
        <f>IF(G269="","",IF(H269="לא",0,ROUND(G269*TaxRate/(1+TaxRate),2)))</f>
        <v/>
      </c>
      <c r="J269" s="12" t="str">
        <f>IF(G269="","",G269-I269)</f>
        <v/>
      </c>
      <c r="K269" s="13" t="str">
        <f>IF(A269="","",YEAR(A269))</f>
        <v/>
      </c>
    </row>
    <row r="270">
      <c r="A270" s="8" t="n"/>
      <c r="B270" s="9" t="n"/>
      <c r="C270" s="10" t="n"/>
      <c r="D270" s="10" t="n"/>
      <c r="E270" s="10" t="n"/>
      <c r="F270" s="10" t="n"/>
      <c r="G270" s="14" t="n"/>
      <c r="H270" s="9" t="n"/>
      <c r="I270" s="12" t="str">
        <f>IF(G270="","",IF(H270="לא",0,ROUND(G270*TaxRate/(1+TaxRate),2)))</f>
        <v/>
      </c>
      <c r="J270" s="12" t="str">
        <f>IF(G270="","",G270-I270)</f>
        <v/>
      </c>
      <c r="K270" s="13" t="str">
        <f>IF(A270="","",YEAR(A270))</f>
        <v/>
      </c>
    </row>
    <row r="271">
      <c r="A271" s="8" t="n"/>
      <c r="B271" s="9" t="n"/>
      <c r="C271" s="10" t="n"/>
      <c r="D271" s="10" t="n"/>
      <c r="E271" s="10" t="n"/>
      <c r="F271" s="10" t="n"/>
      <c r="G271" s="14" t="n"/>
      <c r="H271" s="9" t="n"/>
      <c r="I271" s="12" t="str">
        <f>IF(G271="","",IF(H271="לא",0,ROUND(G271*TaxRate/(1+TaxRate),2)))</f>
        <v/>
      </c>
      <c r="J271" s="12" t="str">
        <f>IF(G271="","",G271-I271)</f>
        <v/>
      </c>
      <c r="K271" s="13" t="str">
        <f>IF(A271="","",YEAR(A271))</f>
        <v/>
      </c>
    </row>
    <row r="272">
      <c r="A272" s="8" t="n"/>
      <c r="B272" s="9" t="n"/>
      <c r="C272" s="10" t="n"/>
      <c r="D272" s="10" t="n"/>
      <c r="E272" s="10" t="n"/>
      <c r="F272" s="10" t="n"/>
      <c r="G272" s="14" t="n"/>
      <c r="H272" s="9" t="n"/>
      <c r="I272" s="12" t="str">
        <f>IF(G272="","",IF(H272="לא",0,ROUND(G272*TaxRate/(1+TaxRate),2)))</f>
        <v/>
      </c>
      <c r="J272" s="12" t="str">
        <f>IF(G272="","",G272-I272)</f>
        <v/>
      </c>
      <c r="K272" s="13" t="str">
        <f>IF(A272="","",YEAR(A272))</f>
        <v/>
      </c>
    </row>
    <row r="273">
      <c r="A273" s="8" t="n"/>
      <c r="B273" s="9" t="n"/>
      <c r="C273" s="10" t="n"/>
      <c r="D273" s="10" t="n"/>
      <c r="E273" s="10" t="n"/>
      <c r="F273" s="10" t="n"/>
      <c r="G273" s="14" t="n"/>
      <c r="H273" s="9" t="n"/>
      <c r="I273" s="12" t="str">
        <f>IF(G273="","",IF(H273="לא",0,ROUND(G273*TaxRate/(1+TaxRate),2)))</f>
        <v/>
      </c>
      <c r="J273" s="12" t="str">
        <f>IF(G273="","",G273-I273)</f>
        <v/>
      </c>
      <c r="K273" s="13" t="str">
        <f>IF(A273="","",YEAR(A273))</f>
        <v/>
      </c>
    </row>
    <row r="274">
      <c r="A274" s="8" t="n"/>
      <c r="B274" s="9" t="n"/>
      <c r="C274" s="10" t="n"/>
      <c r="D274" s="10" t="n"/>
      <c r="E274" s="10" t="n"/>
      <c r="F274" s="10" t="n"/>
      <c r="G274" s="14" t="n"/>
      <c r="H274" s="9" t="n"/>
      <c r="I274" s="12" t="str">
        <f>IF(G274="","",IF(H274="לא",0,ROUND(G274*TaxRate/(1+TaxRate),2)))</f>
        <v/>
      </c>
      <c r="J274" s="12" t="str">
        <f>IF(G274="","",G274-I274)</f>
        <v/>
      </c>
      <c r="K274" s="13" t="str">
        <f>IF(A274="","",YEAR(A274))</f>
        <v/>
      </c>
    </row>
    <row r="275">
      <c r="A275" s="8" t="n"/>
      <c r="B275" s="9" t="n"/>
      <c r="C275" s="10" t="n"/>
      <c r="D275" s="10" t="n"/>
      <c r="E275" s="10" t="n"/>
      <c r="F275" s="10" t="n"/>
      <c r="G275" s="14" t="n"/>
      <c r="H275" s="9" t="n"/>
      <c r="I275" s="12" t="str">
        <f>IF(G275="","",IF(H275="לא",0,ROUND(G275*TaxRate/(1+TaxRate),2)))</f>
        <v/>
      </c>
      <c r="J275" s="12" t="str">
        <f>IF(G275="","",G275-I275)</f>
        <v/>
      </c>
      <c r="K275" s="13" t="str">
        <f>IF(A275="","",YEAR(A275))</f>
        <v/>
      </c>
    </row>
    <row r="276">
      <c r="A276" s="8" t="n"/>
      <c r="B276" s="9" t="n"/>
      <c r="C276" s="10" t="n"/>
      <c r="D276" s="10" t="n"/>
      <c r="E276" s="10" t="n"/>
      <c r="F276" s="10" t="n"/>
      <c r="G276" s="14" t="n"/>
      <c r="H276" s="9" t="n"/>
      <c r="I276" s="12" t="str">
        <f>IF(G276="","",IF(H276="לא",0,ROUND(G276*TaxRate/(1+TaxRate),2)))</f>
        <v/>
      </c>
      <c r="J276" s="12" t="str">
        <f>IF(G276="","",G276-I276)</f>
        <v/>
      </c>
      <c r="K276" s="13" t="str">
        <f>IF(A276="","",YEAR(A276))</f>
        <v/>
      </c>
    </row>
    <row r="277">
      <c r="A277" s="8" t="n"/>
      <c r="B277" s="9" t="n"/>
      <c r="C277" s="10" t="n"/>
      <c r="D277" s="10" t="n"/>
      <c r="E277" s="10" t="n"/>
      <c r="F277" s="10" t="n"/>
      <c r="G277" s="14" t="n"/>
      <c r="H277" s="9" t="n"/>
      <c r="I277" s="12" t="str">
        <f>IF(G277="","",IF(H277="לא",0,ROUND(G277*TaxRate/(1+TaxRate),2)))</f>
        <v/>
      </c>
      <c r="J277" s="12" t="str">
        <f>IF(G277="","",G277-I277)</f>
        <v/>
      </c>
      <c r="K277" s="13" t="str">
        <f>IF(A277="","",YEAR(A277))</f>
        <v/>
      </c>
    </row>
    <row r="278">
      <c r="A278" s="8" t="n"/>
      <c r="B278" s="9" t="n"/>
      <c r="C278" s="10" t="n"/>
      <c r="D278" s="10" t="n"/>
      <c r="E278" s="10" t="n"/>
      <c r="F278" s="10" t="n"/>
      <c r="G278" s="14" t="n"/>
      <c r="H278" s="9" t="n"/>
      <c r="I278" s="12" t="str">
        <f>IF(G278="","",IF(H278="לא",0,ROUND(G278*TaxRate/(1+TaxRate),2)))</f>
        <v/>
      </c>
      <c r="J278" s="12" t="str">
        <f>IF(G278="","",G278-I278)</f>
        <v/>
      </c>
      <c r="K278" s="13" t="str">
        <f>IF(A278="","",YEAR(A278))</f>
        <v/>
      </c>
    </row>
    <row r="279">
      <c r="A279" s="8" t="n"/>
      <c r="B279" s="9" t="n"/>
      <c r="C279" s="10" t="n"/>
      <c r="D279" s="10" t="n"/>
      <c r="E279" s="10" t="n"/>
      <c r="F279" s="10" t="n"/>
      <c r="G279" s="14" t="n"/>
      <c r="H279" s="9" t="n"/>
      <c r="I279" s="12" t="str">
        <f>IF(G279="","",IF(H279="לא",0,ROUND(G279*TaxRate/(1+TaxRate),2)))</f>
        <v/>
      </c>
      <c r="J279" s="12" t="str">
        <f>IF(G279="","",G279-I279)</f>
        <v/>
      </c>
      <c r="K279" s="13" t="str">
        <f>IF(A279="","",YEAR(A279))</f>
        <v/>
      </c>
    </row>
    <row r="280">
      <c r="A280" s="8" t="n"/>
      <c r="B280" s="9" t="n"/>
      <c r="C280" s="10" t="n"/>
      <c r="D280" s="10" t="n"/>
      <c r="E280" s="10" t="n"/>
      <c r="F280" s="10" t="n"/>
      <c r="G280" s="14" t="n"/>
      <c r="H280" s="9" t="n"/>
      <c r="I280" s="12" t="str">
        <f>IF(G280="","",IF(H280="לא",0,ROUND(G280*TaxRate/(1+TaxRate),2)))</f>
        <v/>
      </c>
      <c r="J280" s="12" t="str">
        <f>IF(G280="","",G280-I280)</f>
        <v/>
      </c>
      <c r="K280" s="13" t="str">
        <f>IF(A280="","",YEAR(A280))</f>
        <v/>
      </c>
    </row>
    <row r="281">
      <c r="A281" s="8" t="n"/>
      <c r="B281" s="9" t="n"/>
      <c r="C281" s="10" t="n"/>
      <c r="D281" s="10" t="n"/>
      <c r="E281" s="10" t="n"/>
      <c r="F281" s="10" t="n"/>
      <c r="G281" s="14" t="n"/>
      <c r="H281" s="9" t="n"/>
      <c r="I281" s="12" t="str">
        <f>IF(G281="","",IF(H281="לא",0,ROUND(G281*TaxRate/(1+TaxRate),2)))</f>
        <v/>
      </c>
      <c r="J281" s="12" t="str">
        <f>IF(G281="","",G281-I281)</f>
        <v/>
      </c>
      <c r="K281" s="13" t="str">
        <f>IF(A281="","",YEAR(A281))</f>
        <v/>
      </c>
    </row>
    <row r="282">
      <c r="A282" s="8" t="n"/>
      <c r="B282" s="9" t="n"/>
      <c r="C282" s="10" t="n"/>
      <c r="D282" s="10" t="n"/>
      <c r="E282" s="10" t="n"/>
      <c r="F282" s="10" t="n"/>
      <c r="G282" s="14" t="n"/>
      <c r="H282" s="9" t="n"/>
      <c r="I282" s="12" t="str">
        <f>IF(G282="","",IF(H282="לא",0,ROUND(G282*TaxRate/(1+TaxRate),2)))</f>
        <v/>
      </c>
      <c r="J282" s="12" t="str">
        <f>IF(G282="","",G282-I282)</f>
        <v/>
      </c>
      <c r="K282" s="13" t="str">
        <f>IF(A282="","",YEAR(A282))</f>
        <v/>
      </c>
    </row>
    <row r="283">
      <c r="A283" s="8" t="n"/>
      <c r="B283" s="9" t="n"/>
      <c r="C283" s="10" t="n"/>
      <c r="D283" s="10" t="n"/>
      <c r="E283" s="10" t="n"/>
      <c r="F283" s="10" t="n"/>
      <c r="G283" s="14" t="n"/>
      <c r="H283" s="9" t="n"/>
      <c r="I283" s="12" t="str">
        <f>IF(G283="","",IF(H283="לא",0,ROUND(G283*TaxRate/(1+TaxRate),2)))</f>
        <v/>
      </c>
      <c r="J283" s="12" t="str">
        <f>IF(G283="","",G283-I283)</f>
        <v/>
      </c>
      <c r="K283" s="13" t="str">
        <f>IF(A283="","",YEAR(A283))</f>
        <v/>
      </c>
    </row>
    <row r="284">
      <c r="A284" s="8" t="n"/>
      <c r="B284" s="9" t="n"/>
      <c r="C284" s="10" t="n"/>
      <c r="D284" s="10" t="n"/>
      <c r="E284" s="10" t="n"/>
      <c r="F284" s="10" t="n"/>
      <c r="G284" s="14" t="n"/>
      <c r="H284" s="9" t="n"/>
      <c r="I284" s="12" t="str">
        <f>IF(G284="","",IF(H284="לא",0,ROUND(G284*TaxRate/(1+TaxRate),2)))</f>
        <v/>
      </c>
      <c r="J284" s="12" t="str">
        <f>IF(G284="","",G284-I284)</f>
        <v/>
      </c>
      <c r="K284" s="13" t="str">
        <f>IF(A284="","",YEAR(A284))</f>
        <v/>
      </c>
    </row>
    <row r="285">
      <c r="A285" s="8" t="n"/>
      <c r="B285" s="9" t="n"/>
      <c r="C285" s="10" t="n"/>
      <c r="D285" s="10" t="n"/>
      <c r="E285" s="10" t="n"/>
      <c r="F285" s="10" t="n"/>
      <c r="G285" s="14" t="n"/>
      <c r="H285" s="9" t="n"/>
      <c r="I285" s="12" t="str">
        <f>IF(G285="","",IF(H285="לא",0,ROUND(G285*TaxRate/(1+TaxRate),2)))</f>
        <v/>
      </c>
      <c r="J285" s="12" t="str">
        <f>IF(G285="","",G285-I285)</f>
        <v/>
      </c>
      <c r="K285" s="13" t="str">
        <f>IF(A285="","",YEAR(A285))</f>
        <v/>
      </c>
    </row>
    <row r="286">
      <c r="A286" s="8" t="n"/>
      <c r="B286" s="9" t="n"/>
      <c r="C286" s="10" t="n"/>
      <c r="D286" s="10" t="n"/>
      <c r="E286" s="10" t="n"/>
      <c r="F286" s="10" t="n"/>
      <c r="G286" s="14" t="n"/>
      <c r="H286" s="9" t="n"/>
      <c r="I286" s="12" t="str">
        <f>IF(G286="","",IF(H286="לא",0,ROUND(G286*TaxRate/(1+TaxRate),2)))</f>
        <v/>
      </c>
      <c r="J286" s="12" t="str">
        <f>IF(G286="","",G286-I286)</f>
        <v/>
      </c>
      <c r="K286" s="13" t="str">
        <f>IF(A286="","",YEAR(A286))</f>
        <v/>
      </c>
    </row>
    <row r="287">
      <c r="A287" s="8" t="n"/>
      <c r="B287" s="9" t="n"/>
      <c r="C287" s="10" t="n"/>
      <c r="D287" s="10" t="n"/>
      <c r="E287" s="10" t="n"/>
      <c r="F287" s="10" t="n"/>
      <c r="G287" s="14" t="n"/>
      <c r="H287" s="9" t="n"/>
      <c r="I287" s="12" t="str">
        <f>IF(G287="","",IF(H287="לא",0,ROUND(G287*TaxRate/(1+TaxRate),2)))</f>
        <v/>
      </c>
      <c r="J287" s="12" t="str">
        <f>IF(G287="","",G287-I287)</f>
        <v/>
      </c>
      <c r="K287" s="13" t="str">
        <f>IF(A287="","",YEAR(A287))</f>
        <v/>
      </c>
    </row>
    <row r="288">
      <c r="A288" s="8" t="n"/>
      <c r="B288" s="9" t="n"/>
      <c r="C288" s="10" t="n"/>
      <c r="D288" s="10" t="n"/>
      <c r="E288" s="10" t="n"/>
      <c r="F288" s="10" t="n"/>
      <c r="G288" s="14" t="n"/>
      <c r="H288" s="9" t="n"/>
      <c r="I288" s="12" t="str">
        <f>IF(G288="","",IF(H288="לא",0,ROUND(G288*TaxRate/(1+TaxRate),2)))</f>
        <v/>
      </c>
      <c r="J288" s="12" t="str">
        <f>IF(G288="","",G288-I288)</f>
        <v/>
      </c>
      <c r="K288" s="13" t="str">
        <f>IF(A288="","",YEAR(A288))</f>
        <v/>
      </c>
    </row>
    <row r="289">
      <c r="A289" s="8" t="n"/>
      <c r="B289" s="9" t="n"/>
      <c r="C289" s="10" t="n"/>
      <c r="D289" s="10" t="n"/>
      <c r="E289" s="10" t="n"/>
      <c r="F289" s="10" t="n"/>
      <c r="G289" s="14" t="n"/>
      <c r="H289" s="9" t="n"/>
      <c r="I289" s="12" t="str">
        <f>IF(G289="","",IF(H289="לא",0,ROUND(G289*TaxRate/(1+TaxRate),2)))</f>
        <v/>
      </c>
      <c r="J289" s="12" t="str">
        <f>IF(G289="","",G289-I289)</f>
        <v/>
      </c>
      <c r="K289" s="13" t="str">
        <f>IF(A289="","",YEAR(A289))</f>
        <v/>
      </c>
    </row>
    <row r="290">
      <c r="A290" s="8" t="n"/>
      <c r="B290" s="9" t="n"/>
      <c r="C290" s="10" t="n"/>
      <c r="D290" s="10" t="n"/>
      <c r="E290" s="10" t="n"/>
      <c r="F290" s="10" t="n"/>
      <c r="G290" s="14" t="n"/>
      <c r="H290" s="9" t="n"/>
      <c r="I290" s="12" t="str">
        <f>IF(G290="","",IF(H290="לא",0,ROUND(G290*TaxRate/(1+TaxRate),2)))</f>
        <v/>
      </c>
      <c r="J290" s="12" t="str">
        <f>IF(G290="","",G290-I290)</f>
        <v/>
      </c>
      <c r="K290" s="13" t="str">
        <f>IF(A290="","",YEAR(A290))</f>
        <v/>
      </c>
    </row>
    <row r="291">
      <c r="A291" s="8" t="n"/>
      <c r="B291" s="9" t="n"/>
      <c r="C291" s="10" t="n"/>
      <c r="D291" s="10" t="n"/>
      <c r="E291" s="10" t="n"/>
      <c r="F291" s="10" t="n"/>
      <c r="G291" s="14" t="n"/>
      <c r="H291" s="9" t="n"/>
      <c r="I291" s="12" t="str">
        <f>IF(G291="","",IF(H291="לא",0,ROUND(G291*TaxRate/(1+TaxRate),2)))</f>
        <v/>
      </c>
      <c r="J291" s="12" t="str">
        <f>IF(G291="","",G291-I291)</f>
        <v/>
      </c>
      <c r="K291" s="13" t="str">
        <f>IF(A291="","",YEAR(A291))</f>
        <v/>
      </c>
    </row>
    <row r="292">
      <c r="A292" s="8" t="n"/>
      <c r="B292" s="9" t="n"/>
      <c r="C292" s="10" t="n"/>
      <c r="D292" s="10" t="n"/>
      <c r="E292" s="10" t="n"/>
      <c r="F292" s="10" t="n"/>
      <c r="G292" s="14" t="n"/>
      <c r="H292" s="9" t="n"/>
      <c r="I292" s="12" t="str">
        <f>IF(G292="","",IF(H292="לא",0,ROUND(G292*TaxRate/(1+TaxRate),2)))</f>
        <v/>
      </c>
      <c r="J292" s="12" t="str">
        <f>IF(G292="","",G292-I292)</f>
        <v/>
      </c>
      <c r="K292" s="13" t="str">
        <f>IF(A292="","",YEAR(A292))</f>
        <v/>
      </c>
    </row>
    <row r="293">
      <c r="A293" s="8" t="n"/>
      <c r="B293" s="9" t="n"/>
      <c r="C293" s="10" t="n"/>
      <c r="D293" s="10" t="n"/>
      <c r="E293" s="10" t="n"/>
      <c r="F293" s="10" t="n"/>
      <c r="G293" s="14" t="n"/>
      <c r="H293" s="9" t="n"/>
      <c r="I293" s="12" t="str">
        <f>IF(G293="","",IF(H293="לא",0,ROUND(G293*TaxRate/(1+TaxRate),2)))</f>
        <v/>
      </c>
      <c r="J293" s="12" t="str">
        <f>IF(G293="","",G293-I293)</f>
        <v/>
      </c>
      <c r="K293" s="13" t="str">
        <f>IF(A293="","",YEAR(A293))</f>
        <v/>
      </c>
    </row>
    <row r="294">
      <c r="A294" s="8" t="n"/>
      <c r="B294" s="9" t="n"/>
      <c r="C294" s="10" t="n"/>
      <c r="D294" s="10" t="n"/>
      <c r="E294" s="10" t="n"/>
      <c r="F294" s="10" t="n"/>
      <c r="G294" s="14" t="n"/>
      <c r="H294" s="9" t="n"/>
      <c r="I294" s="12" t="str">
        <f>IF(G294="","",IF(H294="לא",0,ROUND(G294*TaxRate/(1+TaxRate),2)))</f>
        <v/>
      </c>
      <c r="J294" s="12" t="str">
        <f>IF(G294="","",G294-I294)</f>
        <v/>
      </c>
      <c r="K294" s="13" t="str">
        <f>IF(A294="","",YEAR(A294))</f>
        <v/>
      </c>
    </row>
    <row r="295">
      <c r="A295" s="8" t="n"/>
      <c r="B295" s="9" t="n"/>
      <c r="C295" s="10" t="n"/>
      <c r="D295" s="10" t="n"/>
      <c r="E295" s="10" t="n"/>
      <c r="F295" s="10" t="n"/>
      <c r="G295" s="14" t="n"/>
      <c r="H295" s="9" t="n"/>
      <c r="I295" s="12" t="str">
        <f>IF(G295="","",IF(H295="לא",0,ROUND(G295*TaxRate/(1+TaxRate),2)))</f>
        <v/>
      </c>
      <c r="J295" s="12" t="str">
        <f>IF(G295="","",G295-I295)</f>
        <v/>
      </c>
      <c r="K295" s="13" t="str">
        <f>IF(A295="","",YEAR(A295))</f>
        <v/>
      </c>
    </row>
    <row r="296">
      <c r="A296" s="8" t="n"/>
      <c r="B296" s="9" t="n"/>
      <c r="C296" s="10" t="n"/>
      <c r="D296" s="10" t="n"/>
      <c r="E296" s="10" t="n"/>
      <c r="F296" s="10" t="n"/>
      <c r="G296" s="14" t="n"/>
      <c r="H296" s="9" t="n"/>
      <c r="I296" s="12" t="str">
        <f>IF(G296="","",IF(H296="לא",0,ROUND(G296*TaxRate/(1+TaxRate),2)))</f>
        <v/>
      </c>
      <c r="J296" s="12" t="str">
        <f>IF(G296="","",G296-I296)</f>
        <v/>
      </c>
      <c r="K296" s="13" t="str">
        <f>IF(A296="","",YEAR(A296))</f>
        <v/>
      </c>
    </row>
    <row r="297">
      <c r="A297" s="8" t="n"/>
      <c r="B297" s="9" t="n"/>
      <c r="C297" s="10" t="n"/>
      <c r="D297" s="10" t="n"/>
      <c r="E297" s="10" t="n"/>
      <c r="F297" s="10" t="n"/>
      <c r="G297" s="14" t="n"/>
      <c r="H297" s="9" t="n"/>
      <c r="I297" s="12" t="str">
        <f>IF(G297="","",IF(H297="לא",0,ROUND(G297*TaxRate/(1+TaxRate),2)))</f>
        <v/>
      </c>
      <c r="J297" s="12" t="str">
        <f>IF(G297="","",G297-I297)</f>
        <v/>
      </c>
      <c r="K297" s="13" t="str">
        <f>IF(A297="","",YEAR(A297))</f>
        <v/>
      </c>
    </row>
    <row r="298">
      <c r="A298" s="8" t="n"/>
      <c r="B298" s="9" t="n"/>
      <c r="C298" s="10" t="n"/>
      <c r="D298" s="10" t="n"/>
      <c r="E298" s="10" t="n"/>
      <c r="F298" s="10" t="n"/>
      <c r="G298" s="14" t="n"/>
      <c r="H298" s="9" t="n"/>
      <c r="I298" s="12" t="str">
        <f>IF(G298="","",IF(H298="לא",0,ROUND(G298*TaxRate/(1+TaxRate),2)))</f>
        <v/>
      </c>
      <c r="J298" s="12" t="str">
        <f>IF(G298="","",G298-I298)</f>
        <v/>
      </c>
      <c r="K298" s="13" t="str">
        <f>IF(A298="","",YEAR(A298))</f>
        <v/>
      </c>
    </row>
    <row r="299">
      <c r="A299" s="8" t="n"/>
      <c r="B299" s="9" t="n"/>
      <c r="C299" s="10" t="n"/>
      <c r="D299" s="10" t="n"/>
      <c r="E299" s="10" t="n"/>
      <c r="F299" s="10" t="n"/>
      <c r="G299" s="14" t="n"/>
      <c r="H299" s="9" t="n"/>
      <c r="I299" s="12" t="str">
        <f>IF(G299="","",IF(H299="לא",0,ROUND(G299*TaxRate/(1+TaxRate),2)))</f>
        <v/>
      </c>
      <c r="J299" s="12" t="str">
        <f>IF(G299="","",G299-I299)</f>
        <v/>
      </c>
      <c r="K299" s="13" t="str">
        <f>IF(A299="","",YEAR(A299))</f>
        <v/>
      </c>
    </row>
    <row r="300">
      <c r="A300" s="8" t="n"/>
      <c r="B300" s="9" t="n"/>
      <c r="C300" s="10" t="n"/>
      <c r="D300" s="10" t="n"/>
      <c r="E300" s="10" t="n"/>
      <c r="F300" s="10" t="n"/>
      <c r="G300" s="14" t="n"/>
      <c r="H300" s="9" t="n"/>
      <c r="I300" s="12" t="str">
        <f>IF(G300="","",IF(H300="לא",0,ROUND(G300*TaxRate/(1+TaxRate),2)))</f>
        <v/>
      </c>
      <c r="J300" s="12" t="str">
        <f>IF(G300="","",G300-I300)</f>
        <v/>
      </c>
      <c r="K300" s="13" t="str">
        <f>IF(A300="","",YEAR(A300))</f>
        <v/>
      </c>
    </row>
    <row r="301">
      <c r="A301" s="8" t="n"/>
      <c r="B301" s="9" t="n"/>
      <c r="C301" s="10" t="n"/>
      <c r="D301" s="10" t="n"/>
      <c r="E301" s="10" t="n"/>
      <c r="F301" s="10" t="n"/>
      <c r="G301" s="14" t="n"/>
      <c r="H301" s="9" t="n"/>
      <c r="I301" s="12" t="str">
        <f>IF(G301="","",IF(H301="לא",0,ROUND(G301*TaxRate/(1+TaxRate),2)))</f>
        <v/>
      </c>
      <c r="J301" s="12" t="str">
        <f>IF(G301="","",G301-I301)</f>
        <v/>
      </c>
      <c r="K301" s="13" t="str">
        <f>IF(A301="","",YEAR(A301))</f>
        <v/>
      </c>
    </row>
    <row r="302">
      <c r="A302" s="8" t="n"/>
      <c r="B302" s="9" t="n"/>
      <c r="C302" s="10" t="n"/>
      <c r="D302" s="10" t="n"/>
      <c r="E302" s="10" t="n"/>
      <c r="F302" s="10" t="n"/>
      <c r="G302" s="14" t="n"/>
      <c r="H302" s="9" t="n"/>
      <c r="I302" s="12" t="str">
        <f>IF(G302="","",IF(H302="לא",0,ROUND(G302*TaxRate/(1+TaxRate),2)))</f>
        <v/>
      </c>
      <c r="J302" s="12" t="str">
        <f>IF(G302="","",G302-I302)</f>
        <v/>
      </c>
      <c r="K302" s="13" t="str">
        <f>IF(A302="","",YEAR(A302))</f>
        <v/>
      </c>
    </row>
    <row r="303">
      <c r="A303" s="8" t="n"/>
      <c r="B303" s="9" t="n"/>
      <c r="C303" s="10" t="n"/>
      <c r="D303" s="10" t="n"/>
      <c r="E303" s="10" t="n"/>
      <c r="F303" s="10" t="n"/>
      <c r="G303" s="14" t="n"/>
      <c r="H303" s="9" t="n"/>
      <c r="I303" s="12" t="str">
        <f>IF(G303="","",IF(H303="לא",0,ROUND(G303*TaxRate/(1+TaxRate),2)))</f>
        <v/>
      </c>
      <c r="J303" s="12" t="str">
        <f>IF(G303="","",G303-I303)</f>
        <v/>
      </c>
      <c r="K303" s="13" t="str">
        <f>IF(A303="","",YEAR(A303))</f>
        <v/>
      </c>
    </row>
    <row r="304">
      <c r="A304" s="8" t="n"/>
      <c r="B304" s="9" t="n"/>
      <c r="C304" s="10" t="n"/>
      <c r="D304" s="10" t="n"/>
      <c r="E304" s="10" t="n"/>
      <c r="F304" s="10" t="n"/>
      <c r="G304" s="14" t="n"/>
      <c r="H304" s="9" t="n"/>
      <c r="I304" s="12" t="str">
        <f>IF(G304="","",IF(H304="לא",0,ROUND(G304*TaxRate/(1+TaxRate),2)))</f>
        <v/>
      </c>
      <c r="J304" s="12" t="str">
        <f>IF(G304="","",G304-I304)</f>
        <v/>
      </c>
      <c r="K304" s="13" t="str">
        <f>IF(A304="","",YEAR(A304))</f>
        <v/>
      </c>
    </row>
    <row r="305">
      <c r="A305" s="8" t="n"/>
      <c r="B305" s="9" t="n"/>
      <c r="C305" s="10" t="n"/>
      <c r="D305" s="10" t="n"/>
      <c r="E305" s="10" t="n"/>
      <c r="F305" s="10" t="n"/>
      <c r="G305" s="14" t="n"/>
      <c r="H305" s="9" t="n"/>
      <c r="I305" s="12" t="str">
        <f>IF(G305="","",IF(H305="לא",0,ROUND(G305*TaxRate/(1+TaxRate),2)))</f>
        <v/>
      </c>
      <c r="J305" s="12" t="str">
        <f>IF(G305="","",G305-I305)</f>
        <v/>
      </c>
      <c r="K305" s="13" t="str">
        <f>IF(A305="","",YEAR(A305))</f>
        <v/>
      </c>
    </row>
    <row r="306">
      <c r="A306" s="8" t="n"/>
      <c r="B306" s="9" t="n"/>
      <c r="C306" s="10" t="n"/>
      <c r="D306" s="10" t="n"/>
      <c r="E306" s="10" t="n"/>
      <c r="F306" s="10" t="n"/>
      <c r="G306" s="14" t="n"/>
      <c r="H306" s="9" t="n"/>
      <c r="I306" s="12" t="str">
        <f>IF(G306="","",IF(H306="לא",0,ROUND(G306*TaxRate/(1+TaxRate),2)))</f>
        <v/>
      </c>
      <c r="J306" s="12" t="str">
        <f>IF(G306="","",G306-I306)</f>
        <v/>
      </c>
      <c r="K306" s="13" t="str">
        <f>IF(A306="","",YEAR(A306))</f>
        <v/>
      </c>
    </row>
    <row r="307">
      <c r="A307" s="8" t="n"/>
      <c r="B307" s="9" t="n"/>
      <c r="C307" s="10" t="n"/>
      <c r="D307" s="10" t="n"/>
      <c r="E307" s="10" t="n"/>
      <c r="F307" s="10" t="n"/>
      <c r="G307" s="14" t="n"/>
      <c r="H307" s="9" t="n"/>
      <c r="I307" s="12" t="str">
        <f>IF(G307="","",IF(H307="לא",0,ROUND(G307*TaxRate/(1+TaxRate),2)))</f>
        <v/>
      </c>
      <c r="J307" s="12" t="str">
        <f>IF(G307="","",G307-I307)</f>
        <v/>
      </c>
      <c r="K307" s="13" t="str">
        <f>IF(A307="","",YEAR(A307))</f>
        <v/>
      </c>
    </row>
    <row r="308">
      <c r="A308" s="8" t="n"/>
      <c r="B308" s="9" t="n"/>
      <c r="C308" s="10" t="n"/>
      <c r="D308" s="10" t="n"/>
      <c r="E308" s="10" t="n"/>
      <c r="F308" s="10" t="n"/>
      <c r="G308" s="14" t="n"/>
      <c r="H308" s="9" t="n"/>
      <c r="I308" s="12" t="str">
        <f>IF(G308="","",IF(H308="לא",0,ROUND(G308*TaxRate/(1+TaxRate),2)))</f>
        <v/>
      </c>
      <c r="J308" s="12" t="str">
        <f>IF(G308="","",G308-I308)</f>
        <v/>
      </c>
      <c r="K308" s="13" t="str">
        <f>IF(A308="","",YEAR(A308))</f>
        <v/>
      </c>
    </row>
    <row r="309">
      <c r="A309" s="8" t="n"/>
      <c r="B309" s="9" t="n"/>
      <c r="C309" s="10" t="n"/>
      <c r="D309" s="10" t="n"/>
      <c r="E309" s="10" t="n"/>
      <c r="F309" s="10" t="n"/>
      <c r="G309" s="14" t="n"/>
      <c r="H309" s="9" t="n"/>
      <c r="I309" s="12" t="str">
        <f>IF(G309="","",IF(H309="לא",0,ROUND(G309*TaxRate/(1+TaxRate),2)))</f>
        <v/>
      </c>
      <c r="J309" s="12" t="str">
        <f>IF(G309="","",G309-I309)</f>
        <v/>
      </c>
      <c r="K309" s="13" t="str">
        <f>IF(A309="","",YEAR(A309))</f>
        <v/>
      </c>
    </row>
    <row r="310">
      <c r="A310" s="8" t="n"/>
      <c r="B310" s="9" t="n"/>
      <c r="C310" s="10" t="n"/>
      <c r="D310" s="10" t="n"/>
      <c r="E310" s="10" t="n"/>
      <c r="F310" s="10" t="n"/>
      <c r="G310" s="14" t="n"/>
      <c r="H310" s="9" t="n"/>
      <c r="I310" s="12" t="str">
        <f>IF(G310="","",IF(H310="לא",0,ROUND(G310*TaxRate/(1+TaxRate),2)))</f>
        <v/>
      </c>
      <c r="J310" s="12" t="str">
        <f>IF(G310="","",G310-I310)</f>
        <v/>
      </c>
      <c r="K310" s="13" t="str">
        <f>IF(A310="","",YEAR(A310))</f>
        <v/>
      </c>
    </row>
    <row r="311">
      <c r="A311" s="8" t="n"/>
      <c r="B311" s="9" t="n"/>
      <c r="C311" s="10" t="n"/>
      <c r="D311" s="10" t="n"/>
      <c r="E311" s="10" t="n"/>
      <c r="F311" s="10" t="n"/>
      <c r="G311" s="14" t="n"/>
      <c r="H311" s="9" t="n"/>
      <c r="I311" s="12" t="str">
        <f>IF(G311="","",IF(H311="לא",0,ROUND(G311*TaxRate/(1+TaxRate),2)))</f>
        <v/>
      </c>
      <c r="J311" s="12" t="str">
        <f>IF(G311="","",G311-I311)</f>
        <v/>
      </c>
      <c r="K311" s="13" t="str">
        <f>IF(A311="","",YEAR(A311))</f>
        <v/>
      </c>
    </row>
    <row r="312">
      <c r="A312" s="8" t="n"/>
      <c r="B312" s="9" t="n"/>
      <c r="C312" s="10" t="n"/>
      <c r="D312" s="10" t="n"/>
      <c r="E312" s="10" t="n"/>
      <c r="F312" s="10" t="n"/>
      <c r="G312" s="14" t="n"/>
      <c r="H312" s="9" t="n"/>
      <c r="I312" s="12" t="str">
        <f>IF(G312="","",IF(H312="לא",0,ROUND(G312*TaxRate/(1+TaxRate),2)))</f>
        <v/>
      </c>
      <c r="J312" s="12" t="str">
        <f>IF(G312="","",G312-I312)</f>
        <v/>
      </c>
      <c r="K312" s="13" t="str">
        <f>IF(A312="","",YEAR(A312))</f>
        <v/>
      </c>
    </row>
    <row r="313">
      <c r="A313" s="8" t="n"/>
      <c r="B313" s="9" t="n"/>
      <c r="C313" s="10" t="n"/>
      <c r="D313" s="10" t="n"/>
      <c r="E313" s="10" t="n"/>
      <c r="F313" s="10" t="n"/>
      <c r="G313" s="14" t="n"/>
      <c r="H313" s="9" t="n"/>
      <c r="I313" s="12" t="str">
        <f>IF(G313="","",IF(H313="לא",0,ROUND(G313*TaxRate/(1+TaxRate),2)))</f>
        <v/>
      </c>
      <c r="J313" s="12" t="str">
        <f>IF(G313="","",G313-I313)</f>
        <v/>
      </c>
      <c r="K313" s="13" t="str">
        <f>IF(A313="","",YEAR(A313))</f>
        <v/>
      </c>
    </row>
    <row r="314">
      <c r="A314" s="8" t="n"/>
      <c r="B314" s="9" t="n"/>
      <c r="C314" s="10" t="n"/>
      <c r="D314" s="10" t="n"/>
      <c r="E314" s="10" t="n"/>
      <c r="F314" s="10" t="n"/>
      <c r="G314" s="14" t="n"/>
      <c r="H314" s="9" t="n"/>
      <c r="I314" s="12" t="str">
        <f>IF(G314="","",IF(H314="לא",0,ROUND(G314*TaxRate/(1+TaxRate),2)))</f>
        <v/>
      </c>
      <c r="J314" s="12" t="str">
        <f>IF(G314="","",G314-I314)</f>
        <v/>
      </c>
      <c r="K314" s="13" t="str">
        <f>IF(A314="","",YEAR(A314))</f>
        <v/>
      </c>
    </row>
    <row r="315">
      <c r="A315" s="8" t="n"/>
      <c r="B315" s="9" t="n"/>
      <c r="C315" s="10" t="n"/>
      <c r="D315" s="10" t="n"/>
      <c r="E315" s="10" t="n"/>
      <c r="F315" s="10" t="n"/>
      <c r="G315" s="14" t="n"/>
      <c r="H315" s="9" t="n"/>
      <c r="I315" s="12" t="str">
        <f>IF(G315="","",IF(H315="לא",0,ROUND(G315*TaxRate/(1+TaxRate),2)))</f>
        <v/>
      </c>
      <c r="J315" s="12" t="str">
        <f>IF(G315="","",G315-I315)</f>
        <v/>
      </c>
      <c r="K315" s="13" t="str">
        <f>IF(A315="","",YEAR(A315))</f>
        <v/>
      </c>
    </row>
    <row r="316">
      <c r="A316" s="8" t="n"/>
      <c r="B316" s="9" t="n"/>
      <c r="C316" s="10" t="n"/>
      <c r="D316" s="10" t="n"/>
      <c r="E316" s="10" t="n"/>
      <c r="F316" s="10" t="n"/>
      <c r="G316" s="14" t="n"/>
      <c r="H316" s="9" t="n"/>
      <c r="I316" s="12" t="str">
        <f>IF(G316="","",IF(H316="לא",0,ROUND(G316*TaxRate/(1+TaxRate),2)))</f>
        <v/>
      </c>
      <c r="J316" s="12" t="str">
        <f>IF(G316="","",G316-I316)</f>
        <v/>
      </c>
      <c r="K316" s="13" t="str">
        <f>IF(A316="","",YEAR(A316))</f>
        <v/>
      </c>
    </row>
    <row r="317">
      <c r="A317" s="8" t="n"/>
      <c r="B317" s="9" t="n"/>
      <c r="C317" s="10" t="n"/>
      <c r="D317" s="10" t="n"/>
      <c r="E317" s="10" t="n"/>
      <c r="F317" s="10" t="n"/>
      <c r="G317" s="14" t="n"/>
      <c r="H317" s="9" t="n"/>
      <c r="I317" s="12" t="str">
        <f>IF(G317="","",IF(H317="לא",0,ROUND(G317*TaxRate/(1+TaxRate),2)))</f>
        <v/>
      </c>
      <c r="J317" s="12" t="str">
        <f>IF(G317="","",G317-I317)</f>
        <v/>
      </c>
      <c r="K317" s="13" t="str">
        <f>IF(A317="","",YEAR(A317))</f>
        <v/>
      </c>
    </row>
    <row r="318">
      <c r="A318" s="8" t="n"/>
      <c r="B318" s="9" t="n"/>
      <c r="C318" s="10" t="n"/>
      <c r="D318" s="10" t="n"/>
      <c r="E318" s="10" t="n"/>
      <c r="F318" s="10" t="n"/>
      <c r="G318" s="14" t="n"/>
      <c r="H318" s="9" t="n"/>
      <c r="I318" s="12" t="str">
        <f>IF(G318="","",IF(H318="לא",0,ROUND(G318*TaxRate/(1+TaxRate),2)))</f>
        <v/>
      </c>
      <c r="J318" s="12" t="str">
        <f>IF(G318="","",G318-I318)</f>
        <v/>
      </c>
      <c r="K318" s="13" t="str">
        <f>IF(A318="","",YEAR(A318))</f>
        <v/>
      </c>
    </row>
    <row r="319">
      <c r="A319" s="8" t="n"/>
      <c r="B319" s="9" t="n"/>
      <c r="C319" s="10" t="n"/>
      <c r="D319" s="10" t="n"/>
      <c r="E319" s="10" t="n"/>
      <c r="F319" s="10" t="n"/>
      <c r="G319" s="14" t="n"/>
      <c r="H319" s="9" t="n"/>
      <c r="I319" s="12" t="str">
        <f>IF(G319="","",IF(H319="לא",0,ROUND(G319*TaxRate/(1+TaxRate),2)))</f>
        <v/>
      </c>
      <c r="J319" s="12" t="str">
        <f>IF(G319="","",G319-I319)</f>
        <v/>
      </c>
      <c r="K319" s="13" t="str">
        <f>IF(A319="","",YEAR(A319))</f>
        <v/>
      </c>
    </row>
    <row r="320">
      <c r="A320" s="8" t="n"/>
      <c r="B320" s="9" t="n"/>
      <c r="C320" s="10" t="n"/>
      <c r="D320" s="10" t="n"/>
      <c r="E320" s="10" t="n"/>
      <c r="F320" s="10" t="n"/>
      <c r="G320" s="14" t="n"/>
      <c r="H320" s="9" t="n"/>
      <c r="I320" s="12" t="str">
        <f>IF(G320="","",IF(H320="לא",0,ROUND(G320*TaxRate/(1+TaxRate),2)))</f>
        <v/>
      </c>
      <c r="J320" s="12" t="str">
        <f>IF(G320="","",G320-I320)</f>
        <v/>
      </c>
      <c r="K320" s="13" t="str">
        <f>IF(A320="","",YEAR(A320))</f>
        <v/>
      </c>
    </row>
    <row r="321">
      <c r="A321" s="8" t="n"/>
      <c r="B321" s="9" t="n"/>
      <c r="C321" s="10" t="n"/>
      <c r="D321" s="10" t="n"/>
      <c r="E321" s="10" t="n"/>
      <c r="F321" s="10" t="n"/>
      <c r="G321" s="14" t="n"/>
      <c r="H321" s="9" t="n"/>
      <c r="I321" s="12" t="str">
        <f>IF(G321="","",IF(H321="לא",0,ROUND(G321*TaxRate/(1+TaxRate),2)))</f>
        <v/>
      </c>
      <c r="J321" s="12" t="str">
        <f>IF(G321="","",G321-I321)</f>
        <v/>
      </c>
      <c r="K321" s="13" t="str">
        <f>IF(A321="","",YEAR(A321))</f>
        <v/>
      </c>
    </row>
    <row r="322">
      <c r="A322" s="8" t="n"/>
      <c r="B322" s="9" t="n"/>
      <c r="C322" s="10" t="n"/>
      <c r="D322" s="10" t="n"/>
      <c r="E322" s="10" t="n"/>
      <c r="F322" s="10" t="n"/>
      <c r="G322" s="14" t="n"/>
      <c r="H322" s="9" t="n"/>
      <c r="I322" s="12" t="str">
        <f>IF(G322="","",IF(H322="לא",0,ROUND(G322*TaxRate/(1+TaxRate),2)))</f>
        <v/>
      </c>
      <c r="J322" s="12" t="str">
        <f>IF(G322="","",G322-I322)</f>
        <v/>
      </c>
      <c r="K322" s="13" t="str">
        <f>IF(A322="","",YEAR(A322))</f>
        <v/>
      </c>
    </row>
    <row r="323">
      <c r="A323" s="8" t="n"/>
      <c r="B323" s="9" t="n"/>
      <c r="C323" s="10" t="n"/>
      <c r="D323" s="10" t="n"/>
      <c r="E323" s="10" t="n"/>
      <c r="F323" s="10" t="n"/>
      <c r="G323" s="14" t="n"/>
      <c r="H323" s="9" t="n"/>
      <c r="I323" s="12" t="str">
        <f>IF(G323="","",IF(H323="לא",0,ROUND(G323*TaxRate/(1+TaxRate),2)))</f>
        <v/>
      </c>
      <c r="J323" s="12" t="str">
        <f>IF(G323="","",G323-I323)</f>
        <v/>
      </c>
      <c r="K323" s="13" t="str">
        <f>IF(A323="","",YEAR(A323))</f>
        <v/>
      </c>
    </row>
    <row r="324">
      <c r="A324" s="8" t="n"/>
      <c r="B324" s="9" t="n"/>
      <c r="C324" s="10" t="n"/>
      <c r="D324" s="10" t="n"/>
      <c r="E324" s="10" t="n"/>
      <c r="F324" s="10" t="n"/>
      <c r="G324" s="14" t="n"/>
      <c r="H324" s="9" t="n"/>
      <c r="I324" s="12" t="str">
        <f>IF(G324="","",IF(H324="לא",0,ROUND(G324*TaxRate/(1+TaxRate),2)))</f>
        <v/>
      </c>
      <c r="J324" s="12" t="str">
        <f>IF(G324="","",G324-I324)</f>
        <v/>
      </c>
      <c r="K324" s="13" t="str">
        <f>IF(A324="","",YEAR(A324))</f>
        <v/>
      </c>
    </row>
    <row r="325">
      <c r="A325" s="8" t="n"/>
      <c r="B325" s="9" t="n"/>
      <c r="C325" s="10" t="n"/>
      <c r="D325" s="10" t="n"/>
      <c r="E325" s="10" t="n"/>
      <c r="F325" s="10" t="n"/>
      <c r="G325" s="14" t="n"/>
      <c r="H325" s="9" t="n"/>
      <c r="I325" s="12" t="str">
        <f>IF(G325="","",IF(H325="לא",0,ROUND(G325*TaxRate/(1+TaxRate),2)))</f>
        <v/>
      </c>
      <c r="J325" s="12" t="str">
        <f>IF(G325="","",G325-I325)</f>
        <v/>
      </c>
      <c r="K325" s="13" t="str">
        <f>IF(A325="","",YEAR(A325))</f>
        <v/>
      </c>
    </row>
    <row r="326">
      <c r="A326" s="8" t="n"/>
      <c r="B326" s="9" t="n"/>
      <c r="C326" s="10" t="n"/>
      <c r="D326" s="10" t="n"/>
      <c r="E326" s="10" t="n"/>
      <c r="F326" s="10" t="n"/>
      <c r="G326" s="14" t="n"/>
      <c r="H326" s="9" t="n"/>
      <c r="I326" s="12" t="str">
        <f>IF(G326="","",IF(H326="לא",0,ROUND(G326*TaxRate/(1+TaxRate),2)))</f>
        <v/>
      </c>
      <c r="J326" s="12" t="str">
        <f>IF(G326="","",G326-I326)</f>
        <v/>
      </c>
      <c r="K326" s="13" t="str">
        <f>IF(A326="","",YEAR(A326))</f>
        <v/>
      </c>
    </row>
    <row r="327">
      <c r="A327" s="8" t="n"/>
      <c r="B327" s="9" t="n"/>
      <c r="C327" s="10" t="n"/>
      <c r="D327" s="10" t="n"/>
      <c r="E327" s="10" t="n"/>
      <c r="F327" s="10" t="n"/>
      <c r="G327" s="14" t="n"/>
      <c r="H327" s="9" t="n"/>
      <c r="I327" s="12" t="str">
        <f>IF(G327="","",IF(H327="לא",0,ROUND(G327*TaxRate/(1+TaxRate),2)))</f>
        <v/>
      </c>
      <c r="J327" s="12" t="str">
        <f>IF(G327="","",G327-I327)</f>
        <v/>
      </c>
      <c r="K327" s="13" t="str">
        <f>IF(A327="","",YEAR(A327))</f>
        <v/>
      </c>
    </row>
    <row r="328">
      <c r="A328" s="8" t="n"/>
      <c r="B328" s="9" t="n"/>
      <c r="C328" s="10" t="n"/>
      <c r="D328" s="10" t="n"/>
      <c r="E328" s="10" t="n"/>
      <c r="F328" s="10" t="n"/>
      <c r="G328" s="14" t="n"/>
      <c r="H328" s="9" t="n"/>
      <c r="I328" s="12" t="str">
        <f>IF(G328="","",IF(H328="לא",0,ROUND(G328*TaxRate/(1+TaxRate),2)))</f>
        <v/>
      </c>
      <c r="J328" s="12" t="str">
        <f>IF(G328="","",G328-I328)</f>
        <v/>
      </c>
      <c r="K328" s="13" t="str">
        <f>IF(A328="","",YEAR(A328))</f>
        <v/>
      </c>
    </row>
    <row r="329">
      <c r="A329" s="8" t="n"/>
      <c r="B329" s="9" t="n"/>
      <c r="C329" s="10" t="n"/>
      <c r="D329" s="10" t="n"/>
      <c r="E329" s="10" t="n"/>
      <c r="F329" s="10" t="n"/>
      <c r="G329" s="14" t="n"/>
      <c r="H329" s="9" t="n"/>
      <c r="I329" s="12" t="str">
        <f>IF(G329="","",IF(H329="לא",0,ROUND(G329*TaxRate/(1+TaxRate),2)))</f>
        <v/>
      </c>
      <c r="J329" s="12" t="str">
        <f>IF(G329="","",G329-I329)</f>
        <v/>
      </c>
      <c r="K329" s="13" t="str">
        <f>IF(A329="","",YEAR(A329))</f>
        <v/>
      </c>
    </row>
    <row r="330">
      <c r="A330" s="8" t="n"/>
      <c r="B330" s="9" t="n"/>
      <c r="C330" s="10" t="n"/>
      <c r="D330" s="10" t="n"/>
      <c r="E330" s="10" t="n"/>
      <c r="F330" s="10" t="n"/>
      <c r="G330" s="14" t="n"/>
      <c r="H330" s="9" t="n"/>
      <c r="I330" s="12" t="str">
        <f>IF(G330="","",IF(H330="לא",0,ROUND(G330*TaxRate/(1+TaxRate),2)))</f>
        <v/>
      </c>
      <c r="J330" s="12" t="str">
        <f>IF(G330="","",G330-I330)</f>
        <v/>
      </c>
      <c r="K330" s="13" t="str">
        <f>IF(A330="","",YEAR(A330))</f>
        <v/>
      </c>
    </row>
    <row r="331">
      <c r="A331" s="8" t="n"/>
      <c r="B331" s="9" t="n"/>
      <c r="C331" s="10" t="n"/>
      <c r="D331" s="10" t="n"/>
      <c r="E331" s="10" t="n"/>
      <c r="F331" s="10" t="n"/>
      <c r="G331" s="14" t="n"/>
      <c r="H331" s="9" t="n"/>
      <c r="I331" s="12" t="str">
        <f>IF(G331="","",IF(H331="לא",0,ROUND(G331*TaxRate/(1+TaxRate),2)))</f>
        <v/>
      </c>
      <c r="J331" s="12" t="str">
        <f>IF(G331="","",G331-I331)</f>
        <v/>
      </c>
      <c r="K331" s="13" t="str">
        <f>IF(A331="","",YEAR(A331))</f>
        <v/>
      </c>
    </row>
    <row r="332">
      <c r="A332" s="8" t="n"/>
      <c r="B332" s="9" t="n"/>
      <c r="C332" s="10" t="n"/>
      <c r="D332" s="10" t="n"/>
      <c r="E332" s="10" t="n"/>
      <c r="F332" s="10" t="n"/>
      <c r="G332" s="14" t="n"/>
      <c r="H332" s="9" t="n"/>
      <c r="I332" s="12" t="str">
        <f>IF(G332="","",IF(H332="לא",0,ROUND(G332*TaxRate/(1+TaxRate),2)))</f>
        <v/>
      </c>
      <c r="J332" s="12" t="str">
        <f>IF(G332="","",G332-I332)</f>
        <v/>
      </c>
      <c r="K332" s="13" t="str">
        <f>IF(A332="","",YEAR(A332))</f>
        <v/>
      </c>
    </row>
    <row r="333">
      <c r="A333" s="8" t="n"/>
      <c r="B333" s="9" t="n"/>
      <c r="C333" s="10" t="n"/>
      <c r="D333" s="10" t="n"/>
      <c r="E333" s="10" t="n"/>
      <c r="F333" s="10" t="n"/>
      <c r="G333" s="14" t="n"/>
      <c r="H333" s="9" t="n"/>
      <c r="I333" s="12" t="str">
        <f>IF(G333="","",IF(H333="לא",0,ROUND(G333*TaxRate/(1+TaxRate),2)))</f>
        <v/>
      </c>
      <c r="J333" s="12" t="str">
        <f>IF(G333="","",G333-I333)</f>
        <v/>
      </c>
      <c r="K333" s="13" t="str">
        <f>IF(A333="","",YEAR(A333))</f>
        <v/>
      </c>
    </row>
    <row r="334">
      <c r="A334" s="8" t="n"/>
      <c r="B334" s="9" t="n"/>
      <c r="C334" s="10" t="n"/>
      <c r="D334" s="10" t="n"/>
      <c r="E334" s="10" t="n"/>
      <c r="F334" s="10" t="n"/>
      <c r="G334" s="14" t="n"/>
      <c r="H334" s="9" t="n"/>
      <c r="I334" s="12" t="str">
        <f>IF(G334="","",IF(H334="לא",0,ROUND(G334*TaxRate/(1+TaxRate),2)))</f>
        <v/>
      </c>
      <c r="J334" s="12" t="str">
        <f>IF(G334="","",G334-I334)</f>
        <v/>
      </c>
      <c r="K334" s="13" t="str">
        <f>IF(A334="","",YEAR(A334))</f>
        <v/>
      </c>
    </row>
    <row r="335">
      <c r="A335" s="8" t="n"/>
      <c r="B335" s="9" t="n"/>
      <c r="C335" s="10" t="n"/>
      <c r="D335" s="10" t="n"/>
      <c r="E335" s="10" t="n"/>
      <c r="F335" s="10" t="n"/>
      <c r="G335" s="14" t="n"/>
      <c r="H335" s="9" t="n"/>
      <c r="I335" s="12" t="str">
        <f>IF(G335="","",IF(H335="לא",0,ROUND(G335*TaxRate/(1+TaxRate),2)))</f>
        <v/>
      </c>
      <c r="J335" s="12" t="str">
        <f>IF(G335="","",G335-I335)</f>
        <v/>
      </c>
      <c r="K335" s="13" t="str">
        <f>IF(A335="","",YEAR(A335))</f>
        <v/>
      </c>
    </row>
    <row r="336">
      <c r="A336" s="8" t="n"/>
      <c r="B336" s="9" t="n"/>
      <c r="C336" s="10" t="n"/>
      <c r="D336" s="10" t="n"/>
      <c r="E336" s="10" t="n"/>
      <c r="F336" s="10" t="n"/>
      <c r="G336" s="14" t="n"/>
      <c r="H336" s="9" t="n"/>
      <c r="I336" s="12" t="str">
        <f>IF(G336="","",IF(H336="לא",0,ROUND(G336*TaxRate/(1+TaxRate),2)))</f>
        <v/>
      </c>
      <c r="J336" s="12" t="str">
        <f>IF(G336="","",G336-I336)</f>
        <v/>
      </c>
      <c r="K336" s="13" t="str">
        <f>IF(A336="","",YEAR(A336))</f>
        <v/>
      </c>
    </row>
    <row r="337">
      <c r="A337" s="8" t="n"/>
      <c r="B337" s="9" t="n"/>
      <c r="C337" s="10" t="n"/>
      <c r="D337" s="10" t="n"/>
      <c r="E337" s="10" t="n"/>
      <c r="F337" s="10" t="n"/>
      <c r="G337" s="14" t="n"/>
      <c r="H337" s="9" t="n"/>
      <c r="I337" s="12" t="str">
        <f>IF(G337="","",IF(H337="לא",0,ROUND(G337*TaxRate/(1+TaxRate),2)))</f>
        <v/>
      </c>
      <c r="J337" s="12" t="str">
        <f>IF(G337="","",G337-I337)</f>
        <v/>
      </c>
      <c r="K337" s="13" t="str">
        <f>IF(A337="","",YEAR(A337))</f>
        <v/>
      </c>
    </row>
    <row r="338">
      <c r="A338" s="8" t="n"/>
      <c r="B338" s="9" t="n"/>
      <c r="C338" s="10" t="n"/>
      <c r="D338" s="10" t="n"/>
      <c r="E338" s="10" t="n"/>
      <c r="F338" s="10" t="n"/>
      <c r="G338" s="14" t="n"/>
      <c r="H338" s="9" t="n"/>
      <c r="I338" s="12" t="str">
        <f>IF(G338="","",IF(H338="לא",0,ROUND(G338*TaxRate/(1+TaxRate),2)))</f>
        <v/>
      </c>
      <c r="J338" s="12" t="str">
        <f>IF(G338="","",G338-I338)</f>
        <v/>
      </c>
      <c r="K338" s="13" t="str">
        <f>IF(A338="","",YEAR(A338))</f>
        <v/>
      </c>
    </row>
    <row r="339">
      <c r="A339" s="8" t="n"/>
      <c r="B339" s="9" t="n"/>
      <c r="C339" s="10" t="n"/>
      <c r="D339" s="10" t="n"/>
      <c r="E339" s="10" t="n"/>
      <c r="F339" s="10" t="n"/>
      <c r="G339" s="14" t="n"/>
      <c r="H339" s="9" t="n"/>
      <c r="I339" s="12" t="str">
        <f>IF(G339="","",IF(H339="לא",0,ROUND(G339*TaxRate/(1+TaxRate),2)))</f>
        <v/>
      </c>
      <c r="J339" s="12" t="str">
        <f>IF(G339="","",G339-I339)</f>
        <v/>
      </c>
      <c r="K339" s="13" t="str">
        <f>IF(A339="","",YEAR(A339))</f>
        <v/>
      </c>
    </row>
    <row r="340">
      <c r="A340" s="8" t="n"/>
      <c r="B340" s="9" t="n"/>
      <c r="C340" s="10" t="n"/>
      <c r="D340" s="10" t="n"/>
      <c r="E340" s="10" t="n"/>
      <c r="F340" s="10" t="n"/>
      <c r="G340" s="14" t="n"/>
      <c r="H340" s="9" t="n"/>
      <c r="I340" s="12" t="str">
        <f>IF(G340="","",IF(H340="לא",0,ROUND(G340*TaxRate/(1+TaxRate),2)))</f>
        <v/>
      </c>
      <c r="J340" s="12" t="str">
        <f>IF(G340="","",G340-I340)</f>
        <v/>
      </c>
      <c r="K340" s="13" t="str">
        <f>IF(A340="","",YEAR(A340))</f>
        <v/>
      </c>
    </row>
    <row r="341">
      <c r="A341" s="8" t="n"/>
      <c r="B341" s="9" t="n"/>
      <c r="C341" s="10" t="n"/>
      <c r="D341" s="10" t="n"/>
      <c r="E341" s="10" t="n"/>
      <c r="F341" s="10" t="n"/>
      <c r="G341" s="14" t="n"/>
      <c r="H341" s="9" t="n"/>
      <c r="I341" s="12" t="str">
        <f>IF(G341="","",IF(H341="לא",0,ROUND(G341*TaxRate/(1+TaxRate),2)))</f>
        <v/>
      </c>
      <c r="J341" s="12" t="str">
        <f>IF(G341="","",G341-I341)</f>
        <v/>
      </c>
      <c r="K341" s="13" t="str">
        <f>IF(A341="","",YEAR(A341))</f>
        <v/>
      </c>
    </row>
    <row r="342">
      <c r="A342" s="8" t="n"/>
      <c r="B342" s="9" t="n"/>
      <c r="C342" s="10" t="n"/>
      <c r="D342" s="10" t="n"/>
      <c r="E342" s="10" t="n"/>
      <c r="F342" s="10" t="n"/>
      <c r="G342" s="14" t="n"/>
      <c r="H342" s="9" t="n"/>
      <c r="I342" s="12" t="str">
        <f>IF(G342="","",IF(H342="לא",0,ROUND(G342*TaxRate/(1+TaxRate),2)))</f>
        <v/>
      </c>
      <c r="J342" s="12" t="str">
        <f>IF(G342="","",G342-I342)</f>
        <v/>
      </c>
      <c r="K342" s="13" t="str">
        <f>IF(A342="","",YEAR(A342))</f>
        <v/>
      </c>
    </row>
    <row r="343">
      <c r="A343" s="8" t="n"/>
      <c r="B343" s="9" t="n"/>
      <c r="C343" s="10" t="n"/>
      <c r="D343" s="10" t="n"/>
      <c r="E343" s="10" t="n"/>
      <c r="F343" s="10" t="n"/>
      <c r="G343" s="14" t="n"/>
      <c r="H343" s="9" t="n"/>
      <c r="I343" s="12" t="str">
        <f>IF(G343="","",IF(H343="לא",0,ROUND(G343*TaxRate/(1+TaxRate),2)))</f>
        <v/>
      </c>
      <c r="J343" s="12" t="str">
        <f>IF(G343="","",G343-I343)</f>
        <v/>
      </c>
      <c r="K343" s="13" t="str">
        <f>IF(A343="","",YEAR(A343))</f>
        <v/>
      </c>
    </row>
    <row r="344">
      <c r="A344" s="8" t="n"/>
      <c r="B344" s="9" t="n"/>
      <c r="C344" s="10" t="n"/>
      <c r="D344" s="10" t="n"/>
      <c r="E344" s="10" t="n"/>
      <c r="F344" s="10" t="n"/>
      <c r="G344" s="14" t="n"/>
      <c r="H344" s="9" t="n"/>
      <c r="I344" s="12" t="str">
        <f>IF(G344="","",IF(H344="לא",0,ROUND(G344*TaxRate/(1+TaxRate),2)))</f>
        <v/>
      </c>
      <c r="J344" s="12" t="str">
        <f>IF(G344="","",G344-I344)</f>
        <v/>
      </c>
      <c r="K344" s="13" t="str">
        <f>IF(A344="","",YEAR(A344))</f>
        <v/>
      </c>
    </row>
    <row r="345">
      <c r="A345" s="8" t="n"/>
      <c r="B345" s="9" t="n"/>
      <c r="C345" s="10" t="n"/>
      <c r="D345" s="10" t="n"/>
      <c r="E345" s="10" t="n"/>
      <c r="F345" s="10" t="n"/>
      <c r="G345" s="14" t="n"/>
      <c r="H345" s="9" t="n"/>
      <c r="I345" s="12" t="str">
        <f>IF(G345="","",IF(H345="לא",0,ROUND(G345*TaxRate/(1+TaxRate),2)))</f>
        <v/>
      </c>
      <c r="J345" s="12" t="str">
        <f>IF(G345="","",G345-I345)</f>
        <v/>
      </c>
      <c r="K345" s="13" t="str">
        <f>IF(A345="","",YEAR(A345))</f>
        <v/>
      </c>
    </row>
    <row r="346">
      <c r="A346" s="8" t="n"/>
      <c r="B346" s="9" t="n"/>
      <c r="C346" s="10" t="n"/>
      <c r="D346" s="10" t="n"/>
      <c r="E346" s="10" t="n"/>
      <c r="F346" s="10" t="n"/>
      <c r="G346" s="14" t="n"/>
      <c r="H346" s="9" t="n"/>
      <c r="I346" s="12" t="str">
        <f>IF(G346="","",IF(H346="לא",0,ROUND(G346*TaxRate/(1+TaxRate),2)))</f>
        <v/>
      </c>
      <c r="J346" s="12" t="str">
        <f>IF(G346="","",G346-I346)</f>
        <v/>
      </c>
      <c r="K346" s="13" t="str">
        <f>IF(A346="","",YEAR(A346))</f>
        <v/>
      </c>
    </row>
    <row r="347">
      <c r="A347" s="8" t="n"/>
      <c r="B347" s="9" t="n"/>
      <c r="C347" s="10" t="n"/>
      <c r="D347" s="10" t="n"/>
      <c r="E347" s="10" t="n"/>
      <c r="F347" s="10" t="n"/>
      <c r="G347" s="14" t="n"/>
      <c r="H347" s="9" t="n"/>
      <c r="I347" s="12" t="str">
        <f>IF(G347="","",IF(H347="לא",0,ROUND(G347*TaxRate/(1+TaxRate),2)))</f>
        <v/>
      </c>
      <c r="J347" s="12" t="str">
        <f>IF(G347="","",G347-I347)</f>
        <v/>
      </c>
      <c r="K347" s="13" t="str">
        <f>IF(A347="","",YEAR(A347))</f>
        <v/>
      </c>
    </row>
    <row r="348">
      <c r="A348" s="8" t="n"/>
      <c r="B348" s="9" t="n"/>
      <c r="C348" s="10" t="n"/>
      <c r="D348" s="10" t="n"/>
      <c r="E348" s="10" t="n"/>
      <c r="F348" s="10" t="n"/>
      <c r="G348" s="14" t="n"/>
      <c r="H348" s="9" t="n"/>
      <c r="I348" s="12" t="str">
        <f>IF(G348="","",IF(H348="לא",0,ROUND(G348*TaxRate/(1+TaxRate),2)))</f>
        <v/>
      </c>
      <c r="J348" s="12" t="str">
        <f>IF(G348="","",G348-I348)</f>
        <v/>
      </c>
      <c r="K348" s="13" t="str">
        <f>IF(A348="","",YEAR(A348))</f>
        <v/>
      </c>
    </row>
    <row r="349">
      <c r="A349" s="8" t="n"/>
      <c r="B349" s="9" t="n"/>
      <c r="C349" s="10" t="n"/>
      <c r="D349" s="10" t="n"/>
      <c r="E349" s="10" t="n"/>
      <c r="F349" s="10" t="n"/>
      <c r="G349" s="14" t="n"/>
      <c r="H349" s="9" t="n"/>
      <c r="I349" s="12" t="str">
        <f>IF(G349="","",IF(H349="לא",0,ROUND(G349*TaxRate/(1+TaxRate),2)))</f>
        <v/>
      </c>
      <c r="J349" s="12" t="str">
        <f>IF(G349="","",G349-I349)</f>
        <v/>
      </c>
      <c r="K349" s="13" t="str">
        <f>IF(A349="","",YEAR(A349))</f>
        <v/>
      </c>
    </row>
    <row r="350">
      <c r="A350" s="8" t="n"/>
      <c r="B350" s="9" t="n"/>
      <c r="C350" s="10" t="n"/>
      <c r="D350" s="10" t="n"/>
      <c r="E350" s="10" t="n"/>
      <c r="F350" s="10" t="n"/>
      <c r="G350" s="14" t="n"/>
      <c r="H350" s="9" t="n"/>
      <c r="I350" s="12" t="str">
        <f>IF(G350="","",IF(H350="לא",0,ROUND(G350*TaxRate/(1+TaxRate),2)))</f>
        <v/>
      </c>
      <c r="J350" s="12" t="str">
        <f>IF(G350="","",G350-I350)</f>
        <v/>
      </c>
      <c r="K350" s="13" t="str">
        <f>IF(A350="","",YEAR(A350))</f>
        <v/>
      </c>
    </row>
    <row r="351">
      <c r="A351" s="8" t="n"/>
      <c r="B351" s="9" t="n"/>
      <c r="C351" s="10" t="n"/>
      <c r="D351" s="10" t="n"/>
      <c r="E351" s="10" t="n"/>
      <c r="F351" s="10" t="n"/>
      <c r="G351" s="14" t="n"/>
      <c r="H351" s="9" t="n"/>
      <c r="I351" s="12" t="str">
        <f>IF(G351="","",IF(H351="לא",0,ROUND(G351*TaxRate/(1+TaxRate),2)))</f>
        <v/>
      </c>
      <c r="J351" s="12" t="str">
        <f>IF(G351="","",G351-I351)</f>
        <v/>
      </c>
      <c r="K351" s="13" t="str">
        <f>IF(A351="","",YEAR(A351))</f>
        <v/>
      </c>
    </row>
    <row r="352">
      <c r="A352" s="8" t="n"/>
      <c r="B352" s="9" t="n"/>
      <c r="C352" s="10" t="n"/>
      <c r="D352" s="10" t="n"/>
      <c r="E352" s="10" t="n"/>
      <c r="F352" s="10" t="n"/>
      <c r="G352" s="14" t="n"/>
      <c r="H352" s="9" t="n"/>
      <c r="I352" s="12" t="str">
        <f>IF(G352="","",IF(H352="לא",0,ROUND(G352*TaxRate/(1+TaxRate),2)))</f>
        <v/>
      </c>
      <c r="J352" s="12" t="str">
        <f>IF(G352="","",G352-I352)</f>
        <v/>
      </c>
      <c r="K352" s="13" t="str">
        <f>IF(A352="","",YEAR(A352))</f>
        <v/>
      </c>
    </row>
    <row r="353">
      <c r="A353" s="8" t="n"/>
      <c r="B353" s="9" t="n"/>
      <c r="C353" s="10" t="n"/>
      <c r="D353" s="10" t="n"/>
      <c r="E353" s="10" t="n"/>
      <c r="F353" s="10" t="n"/>
      <c r="G353" s="14" t="n"/>
      <c r="H353" s="9" t="n"/>
      <c r="I353" s="12" t="str">
        <f>IF(G353="","",IF(H353="לא",0,ROUND(G353*TaxRate/(1+TaxRate),2)))</f>
        <v/>
      </c>
      <c r="J353" s="12" t="str">
        <f>IF(G353="","",G353-I353)</f>
        <v/>
      </c>
      <c r="K353" s="13" t="str">
        <f>IF(A353="","",YEAR(A353))</f>
        <v/>
      </c>
    </row>
    <row r="354">
      <c r="A354" s="8" t="n"/>
      <c r="B354" s="9" t="n"/>
      <c r="C354" s="10" t="n"/>
      <c r="D354" s="10" t="n"/>
      <c r="E354" s="10" t="n"/>
      <c r="F354" s="10" t="n"/>
      <c r="G354" s="14" t="n"/>
      <c r="H354" s="9" t="n"/>
      <c r="I354" s="12" t="str">
        <f>IF(G354="","",IF(H354="לא",0,ROUND(G354*TaxRate/(1+TaxRate),2)))</f>
        <v/>
      </c>
      <c r="J354" s="12" t="str">
        <f>IF(G354="","",G354-I354)</f>
        <v/>
      </c>
      <c r="K354" s="13" t="str">
        <f>IF(A354="","",YEAR(A354))</f>
        <v/>
      </c>
    </row>
    <row r="355">
      <c r="A355" s="8" t="n"/>
      <c r="B355" s="9" t="n"/>
      <c r="C355" s="10" t="n"/>
      <c r="D355" s="10" t="n"/>
      <c r="E355" s="10" t="n"/>
      <c r="F355" s="10" t="n"/>
      <c r="G355" s="14" t="n"/>
      <c r="H355" s="9" t="n"/>
      <c r="I355" s="12" t="str">
        <f>IF(G355="","",IF(H355="לא",0,ROUND(G355*TaxRate/(1+TaxRate),2)))</f>
        <v/>
      </c>
      <c r="J355" s="12" t="str">
        <f>IF(G355="","",G355-I355)</f>
        <v/>
      </c>
      <c r="K355" s="13" t="str">
        <f>IF(A355="","",YEAR(A355))</f>
        <v/>
      </c>
    </row>
    <row r="356">
      <c r="A356" s="8" t="n"/>
      <c r="B356" s="9" t="n"/>
      <c r="C356" s="10" t="n"/>
      <c r="D356" s="10" t="n"/>
      <c r="E356" s="10" t="n"/>
      <c r="F356" s="10" t="n"/>
      <c r="G356" s="14" t="n"/>
      <c r="H356" s="9" t="n"/>
      <c r="I356" s="12" t="str">
        <f>IF(G356="","",IF(H356="לא",0,ROUND(G356*TaxRate/(1+TaxRate),2)))</f>
        <v/>
      </c>
      <c r="J356" s="12" t="str">
        <f>IF(G356="","",G356-I356)</f>
        <v/>
      </c>
      <c r="K356" s="13" t="str">
        <f>IF(A356="","",YEAR(A356))</f>
        <v/>
      </c>
    </row>
    <row r="357">
      <c r="A357" s="8" t="n"/>
      <c r="B357" s="9" t="n"/>
      <c r="C357" s="10" t="n"/>
      <c r="D357" s="10" t="n"/>
      <c r="E357" s="10" t="n"/>
      <c r="F357" s="10" t="n"/>
      <c r="G357" s="14" t="n"/>
      <c r="H357" s="9" t="n"/>
      <c r="I357" s="12" t="str">
        <f>IF(G357="","",IF(H357="לא",0,ROUND(G357*TaxRate/(1+TaxRate),2)))</f>
        <v/>
      </c>
      <c r="J357" s="12" t="str">
        <f>IF(G357="","",G357-I357)</f>
        <v/>
      </c>
      <c r="K357" s="13" t="str">
        <f>IF(A357="","",YEAR(A357))</f>
        <v/>
      </c>
    </row>
    <row r="358">
      <c r="A358" s="8" t="n"/>
      <c r="B358" s="9" t="n"/>
      <c r="C358" s="10" t="n"/>
      <c r="D358" s="10" t="n"/>
      <c r="E358" s="10" t="n"/>
      <c r="F358" s="10" t="n"/>
      <c r="G358" s="14" t="n"/>
      <c r="H358" s="9" t="n"/>
      <c r="I358" s="12" t="str">
        <f>IF(G358="","",IF(H358="לא",0,ROUND(G358*TaxRate/(1+TaxRate),2)))</f>
        <v/>
      </c>
      <c r="J358" s="12" t="str">
        <f>IF(G358="","",G358-I358)</f>
        <v/>
      </c>
      <c r="K358" s="13" t="str">
        <f>IF(A358="","",YEAR(A358))</f>
        <v/>
      </c>
    </row>
    <row r="359">
      <c r="A359" s="8" t="n"/>
      <c r="B359" s="9" t="n"/>
      <c r="C359" s="10" t="n"/>
      <c r="D359" s="10" t="n"/>
      <c r="E359" s="10" t="n"/>
      <c r="F359" s="10" t="n"/>
      <c r="G359" s="14" t="n"/>
      <c r="H359" s="9" t="n"/>
      <c r="I359" s="12" t="str">
        <f>IF(G359="","",IF(H359="לא",0,ROUND(G359*TaxRate/(1+TaxRate),2)))</f>
        <v/>
      </c>
      <c r="J359" s="12" t="str">
        <f>IF(G359="","",G359-I359)</f>
        <v/>
      </c>
      <c r="K359" s="13" t="str">
        <f>IF(A359="","",YEAR(A359))</f>
        <v/>
      </c>
    </row>
    <row r="360">
      <c r="A360" s="8" t="n"/>
      <c r="B360" s="9" t="n"/>
      <c r="C360" s="10" t="n"/>
      <c r="D360" s="10" t="n"/>
      <c r="E360" s="10" t="n"/>
      <c r="F360" s="10" t="n"/>
      <c r="G360" s="14" t="n"/>
      <c r="H360" s="9" t="n"/>
      <c r="I360" s="12" t="str">
        <f>IF(G360="","",IF(H360="לא",0,ROUND(G360*TaxRate/(1+TaxRate),2)))</f>
        <v/>
      </c>
      <c r="J360" s="12" t="str">
        <f>IF(G360="","",G360-I360)</f>
        <v/>
      </c>
      <c r="K360" s="13" t="str">
        <f>IF(A360="","",YEAR(A360))</f>
        <v/>
      </c>
    </row>
    <row r="361">
      <c r="A361" s="8" t="n"/>
      <c r="B361" s="9" t="n"/>
      <c r="C361" s="10" t="n"/>
      <c r="D361" s="10" t="n"/>
      <c r="E361" s="10" t="n"/>
      <c r="F361" s="10" t="n"/>
      <c r="G361" s="14" t="n"/>
      <c r="H361" s="9" t="n"/>
      <c r="I361" s="12" t="str">
        <f>IF(G361="","",IF(H361="לא",0,ROUND(G361*TaxRate/(1+TaxRate),2)))</f>
        <v/>
      </c>
      <c r="J361" s="12" t="str">
        <f>IF(G361="","",G361-I361)</f>
        <v/>
      </c>
      <c r="K361" s="13" t="str">
        <f>IF(A361="","",YEAR(A361))</f>
        <v/>
      </c>
    </row>
    <row r="362">
      <c r="A362" s="8" t="n"/>
      <c r="B362" s="9" t="n"/>
      <c r="C362" s="10" t="n"/>
      <c r="D362" s="10" t="n"/>
      <c r="E362" s="10" t="n"/>
      <c r="F362" s="10" t="n"/>
      <c r="G362" s="14" t="n"/>
      <c r="H362" s="9" t="n"/>
      <c r="I362" s="12" t="str">
        <f>IF(G362="","",IF(H362="לא",0,ROUND(G362*TaxRate/(1+TaxRate),2)))</f>
        <v/>
      </c>
      <c r="J362" s="12" t="str">
        <f>IF(G362="","",G362-I362)</f>
        <v/>
      </c>
      <c r="K362" s="13" t="str">
        <f>IF(A362="","",YEAR(A362))</f>
        <v/>
      </c>
    </row>
    <row r="363">
      <c r="A363" s="8" t="n"/>
      <c r="B363" s="9" t="n"/>
      <c r="C363" s="10" t="n"/>
      <c r="D363" s="10" t="n"/>
      <c r="E363" s="10" t="n"/>
      <c r="F363" s="10" t="n"/>
      <c r="G363" s="14" t="n"/>
      <c r="H363" s="9" t="n"/>
      <c r="I363" s="12" t="str">
        <f>IF(G363="","",IF(H363="לא",0,ROUND(G363*TaxRate/(1+TaxRate),2)))</f>
        <v/>
      </c>
      <c r="J363" s="12" t="str">
        <f>IF(G363="","",G363-I363)</f>
        <v/>
      </c>
      <c r="K363" s="13" t="str">
        <f>IF(A363="","",YEAR(A363))</f>
        <v/>
      </c>
    </row>
    <row r="364">
      <c r="A364" s="8" t="n"/>
      <c r="B364" s="9" t="n"/>
      <c r="C364" s="10" t="n"/>
      <c r="D364" s="10" t="n"/>
      <c r="E364" s="10" t="n"/>
      <c r="F364" s="10" t="n"/>
      <c r="G364" s="14" t="n"/>
      <c r="H364" s="9" t="n"/>
      <c r="I364" s="12" t="str">
        <f>IF(G364="","",IF(H364="לא",0,ROUND(G364*TaxRate/(1+TaxRate),2)))</f>
        <v/>
      </c>
      <c r="J364" s="12" t="str">
        <f>IF(G364="","",G364-I364)</f>
        <v/>
      </c>
      <c r="K364" s="13" t="str">
        <f>IF(A364="","",YEAR(A364))</f>
        <v/>
      </c>
    </row>
    <row r="365">
      <c r="A365" s="8" t="n"/>
      <c r="B365" s="9" t="n"/>
      <c r="C365" s="10" t="n"/>
      <c r="D365" s="10" t="n"/>
      <c r="E365" s="10" t="n"/>
      <c r="F365" s="10" t="n"/>
      <c r="G365" s="14" t="n"/>
      <c r="H365" s="9" t="n"/>
      <c r="I365" s="12" t="str">
        <f>IF(G365="","",IF(H365="לא",0,ROUND(G365*TaxRate/(1+TaxRate),2)))</f>
        <v/>
      </c>
      <c r="J365" s="12" t="str">
        <f>IF(G365="","",G365-I365)</f>
        <v/>
      </c>
      <c r="K365" s="13" t="str">
        <f>IF(A365="","",YEAR(A365))</f>
        <v/>
      </c>
    </row>
    <row r="366">
      <c r="A366" s="8" t="n"/>
      <c r="B366" s="9" t="n"/>
      <c r="C366" s="10" t="n"/>
      <c r="D366" s="10" t="n"/>
      <c r="E366" s="10" t="n"/>
      <c r="F366" s="10" t="n"/>
      <c r="G366" s="14" t="n"/>
      <c r="H366" s="9" t="n"/>
      <c r="I366" s="12" t="str">
        <f>IF(G366="","",IF(H366="לא",0,ROUND(G366*TaxRate/(1+TaxRate),2)))</f>
        <v/>
      </c>
      <c r="J366" s="12" t="str">
        <f>IF(G366="","",G366-I366)</f>
        <v/>
      </c>
      <c r="K366" s="13" t="str">
        <f>IF(A366="","",YEAR(A366))</f>
        <v/>
      </c>
    </row>
    <row r="367">
      <c r="A367" s="8" t="n"/>
      <c r="B367" s="9" t="n"/>
      <c r="C367" s="10" t="n"/>
      <c r="D367" s="10" t="n"/>
      <c r="E367" s="10" t="n"/>
      <c r="F367" s="10" t="n"/>
      <c r="G367" s="14" t="n"/>
      <c r="H367" s="9" t="n"/>
      <c r="I367" s="12" t="str">
        <f>IF(G367="","",IF(H367="לא",0,ROUND(G367*TaxRate/(1+TaxRate),2)))</f>
        <v/>
      </c>
      <c r="J367" s="12" t="str">
        <f>IF(G367="","",G367-I367)</f>
        <v/>
      </c>
      <c r="K367" s="13" t="str">
        <f>IF(A367="","",YEAR(A367))</f>
        <v/>
      </c>
    </row>
    <row r="368">
      <c r="A368" s="8" t="n"/>
      <c r="B368" s="9" t="n"/>
      <c r="C368" s="10" t="n"/>
      <c r="D368" s="10" t="n"/>
      <c r="E368" s="10" t="n"/>
      <c r="F368" s="10" t="n"/>
      <c r="G368" s="14" t="n"/>
      <c r="H368" s="9" t="n"/>
      <c r="I368" s="12" t="str">
        <f>IF(G368="","",IF(H368="לא",0,ROUND(G368*TaxRate/(1+TaxRate),2)))</f>
        <v/>
      </c>
      <c r="J368" s="12" t="str">
        <f>IF(G368="","",G368-I368)</f>
        <v/>
      </c>
      <c r="K368" s="13" t="str">
        <f>IF(A368="","",YEAR(A368))</f>
        <v/>
      </c>
    </row>
    <row r="369">
      <c r="A369" s="8" t="n"/>
      <c r="B369" s="9" t="n"/>
      <c r="C369" s="10" t="n"/>
      <c r="D369" s="10" t="n"/>
      <c r="E369" s="10" t="n"/>
      <c r="F369" s="10" t="n"/>
      <c r="G369" s="14" t="n"/>
      <c r="H369" s="9" t="n"/>
      <c r="I369" s="12" t="str">
        <f>IF(G369="","",IF(H369="לא",0,ROUND(G369*TaxRate/(1+TaxRate),2)))</f>
        <v/>
      </c>
      <c r="J369" s="12" t="str">
        <f>IF(G369="","",G369-I369)</f>
        <v/>
      </c>
      <c r="K369" s="13" t="str">
        <f>IF(A369="","",YEAR(A369))</f>
        <v/>
      </c>
    </row>
    <row r="370">
      <c r="A370" s="8" t="n"/>
      <c r="B370" s="9" t="n"/>
      <c r="C370" s="10" t="n"/>
      <c r="D370" s="10" t="n"/>
      <c r="E370" s="10" t="n"/>
      <c r="F370" s="10" t="n"/>
      <c r="G370" s="14" t="n"/>
      <c r="H370" s="9" t="n"/>
      <c r="I370" s="12" t="str">
        <f>IF(G370="","",IF(H370="לא",0,ROUND(G370*TaxRate/(1+TaxRate),2)))</f>
        <v/>
      </c>
      <c r="J370" s="12" t="str">
        <f>IF(G370="","",G370-I370)</f>
        <v/>
      </c>
      <c r="K370" s="13" t="str">
        <f>IF(A370="","",YEAR(A370))</f>
        <v/>
      </c>
    </row>
    <row r="371">
      <c r="A371" s="8" t="n"/>
      <c r="B371" s="9" t="n"/>
      <c r="C371" s="10" t="n"/>
      <c r="D371" s="10" t="n"/>
      <c r="E371" s="10" t="n"/>
      <c r="F371" s="10" t="n"/>
      <c r="G371" s="14" t="n"/>
      <c r="H371" s="9" t="n"/>
      <c r="I371" s="12" t="str">
        <f>IF(G371="","",IF(H371="לא",0,ROUND(G371*TaxRate/(1+TaxRate),2)))</f>
        <v/>
      </c>
      <c r="J371" s="12" t="str">
        <f>IF(G371="","",G371-I371)</f>
        <v/>
      </c>
      <c r="K371" s="13" t="str">
        <f>IF(A371="","",YEAR(A371))</f>
        <v/>
      </c>
    </row>
    <row r="372">
      <c r="A372" s="8" t="n"/>
      <c r="B372" s="9" t="n"/>
      <c r="C372" s="10" t="n"/>
      <c r="D372" s="10" t="n"/>
      <c r="E372" s="10" t="n"/>
      <c r="F372" s="10" t="n"/>
      <c r="G372" s="14" t="n"/>
      <c r="H372" s="9" t="n"/>
      <c r="I372" s="12" t="str">
        <f>IF(G372="","",IF(H372="לא",0,ROUND(G372*TaxRate/(1+TaxRate),2)))</f>
        <v/>
      </c>
      <c r="J372" s="12" t="str">
        <f>IF(G372="","",G372-I372)</f>
        <v/>
      </c>
      <c r="K372" s="13" t="str">
        <f>IF(A372="","",YEAR(A372))</f>
        <v/>
      </c>
    </row>
    <row r="373">
      <c r="A373" s="8" t="n"/>
      <c r="B373" s="9" t="n"/>
      <c r="C373" s="10" t="n"/>
      <c r="D373" s="10" t="n"/>
      <c r="E373" s="10" t="n"/>
      <c r="F373" s="10" t="n"/>
      <c r="G373" s="14" t="n"/>
      <c r="H373" s="9" t="n"/>
      <c r="I373" s="12" t="str">
        <f>IF(G373="","",IF(H373="לא",0,ROUND(G373*TaxRate/(1+TaxRate),2)))</f>
        <v/>
      </c>
      <c r="J373" s="12" t="str">
        <f>IF(G373="","",G373-I373)</f>
        <v/>
      </c>
      <c r="K373" s="13" t="str">
        <f>IF(A373="","",YEAR(A373))</f>
        <v/>
      </c>
    </row>
    <row r="374">
      <c r="A374" s="8" t="n"/>
      <c r="B374" s="9" t="n"/>
      <c r="C374" s="10" t="n"/>
      <c r="D374" s="10" t="n"/>
      <c r="E374" s="10" t="n"/>
      <c r="F374" s="10" t="n"/>
      <c r="G374" s="14" t="n"/>
      <c r="H374" s="9" t="n"/>
      <c r="I374" s="12" t="str">
        <f>IF(G374="","",IF(H374="לא",0,ROUND(G374*TaxRate/(1+TaxRate),2)))</f>
        <v/>
      </c>
      <c r="J374" s="12" t="str">
        <f>IF(G374="","",G374-I374)</f>
        <v/>
      </c>
      <c r="K374" s="13" t="str">
        <f>IF(A374="","",YEAR(A374))</f>
        <v/>
      </c>
    </row>
    <row r="375">
      <c r="A375" s="8" t="n"/>
      <c r="B375" s="9" t="n"/>
      <c r="C375" s="10" t="n"/>
      <c r="D375" s="10" t="n"/>
      <c r="E375" s="10" t="n"/>
      <c r="F375" s="10" t="n"/>
      <c r="G375" s="14" t="n"/>
      <c r="H375" s="9" t="n"/>
      <c r="I375" s="12" t="str">
        <f>IF(G375="","",IF(H375="לא",0,ROUND(G375*TaxRate/(1+TaxRate),2)))</f>
        <v/>
      </c>
      <c r="J375" s="12" t="str">
        <f>IF(G375="","",G375-I375)</f>
        <v/>
      </c>
      <c r="K375" s="13" t="str">
        <f>IF(A375="","",YEAR(A375))</f>
        <v/>
      </c>
    </row>
    <row r="376">
      <c r="A376" s="8" t="n"/>
      <c r="B376" s="9" t="n"/>
      <c r="C376" s="10" t="n"/>
      <c r="D376" s="10" t="n"/>
      <c r="E376" s="10" t="n"/>
      <c r="F376" s="10" t="n"/>
      <c r="G376" s="14" t="n"/>
      <c r="H376" s="9" t="n"/>
      <c r="I376" s="12" t="str">
        <f>IF(G376="","",IF(H376="לא",0,ROUND(G376*TaxRate/(1+TaxRate),2)))</f>
        <v/>
      </c>
      <c r="J376" s="12" t="str">
        <f>IF(G376="","",G376-I376)</f>
        <v/>
      </c>
      <c r="K376" s="13" t="str">
        <f>IF(A376="","",YEAR(A376))</f>
        <v/>
      </c>
    </row>
    <row r="377">
      <c r="A377" s="8" t="n"/>
      <c r="B377" s="9" t="n"/>
      <c r="C377" s="10" t="n"/>
      <c r="D377" s="10" t="n"/>
      <c r="E377" s="10" t="n"/>
      <c r="F377" s="10" t="n"/>
      <c r="G377" s="14" t="n"/>
      <c r="H377" s="9" t="n"/>
      <c r="I377" s="12" t="str">
        <f>IF(G377="","",IF(H377="לא",0,ROUND(G377*TaxRate/(1+TaxRate),2)))</f>
        <v/>
      </c>
      <c r="J377" s="12" t="str">
        <f>IF(G377="","",G377-I377)</f>
        <v/>
      </c>
      <c r="K377" s="13" t="str">
        <f>IF(A377="","",YEAR(A377))</f>
        <v/>
      </c>
    </row>
    <row r="378">
      <c r="A378" s="8" t="n"/>
      <c r="B378" s="9" t="n"/>
      <c r="C378" s="10" t="n"/>
      <c r="D378" s="10" t="n"/>
      <c r="E378" s="10" t="n"/>
      <c r="F378" s="10" t="n"/>
      <c r="G378" s="14" t="n"/>
      <c r="H378" s="9" t="n"/>
      <c r="I378" s="12" t="str">
        <f>IF(G378="","",IF(H378="לא",0,ROUND(G378*TaxRate/(1+TaxRate),2)))</f>
        <v/>
      </c>
      <c r="J378" s="12" t="str">
        <f>IF(G378="","",G378-I378)</f>
        <v/>
      </c>
      <c r="K378" s="13" t="str">
        <f>IF(A378="","",YEAR(A378))</f>
        <v/>
      </c>
    </row>
    <row r="379">
      <c r="A379" s="8" t="n"/>
      <c r="B379" s="9" t="n"/>
      <c r="C379" s="10" t="n"/>
      <c r="D379" s="10" t="n"/>
      <c r="E379" s="10" t="n"/>
      <c r="F379" s="10" t="n"/>
      <c r="G379" s="14" t="n"/>
      <c r="H379" s="9" t="n"/>
      <c r="I379" s="12" t="str">
        <f>IF(G379="","",IF(H379="לא",0,ROUND(G379*TaxRate/(1+TaxRate),2)))</f>
        <v/>
      </c>
      <c r="J379" s="12" t="str">
        <f>IF(G379="","",G379-I379)</f>
        <v/>
      </c>
      <c r="K379" s="13" t="str">
        <f>IF(A379="","",YEAR(A379))</f>
        <v/>
      </c>
    </row>
    <row r="380">
      <c r="A380" s="8" t="n"/>
      <c r="B380" s="9" t="n"/>
      <c r="C380" s="10" t="n"/>
      <c r="D380" s="10" t="n"/>
      <c r="E380" s="10" t="n"/>
      <c r="F380" s="10" t="n"/>
      <c r="G380" s="14" t="n"/>
      <c r="H380" s="9" t="n"/>
      <c r="I380" s="12" t="str">
        <f>IF(G380="","",IF(H380="לא",0,ROUND(G380*TaxRate/(1+TaxRate),2)))</f>
        <v/>
      </c>
      <c r="J380" s="12" t="str">
        <f>IF(G380="","",G380-I380)</f>
        <v/>
      </c>
      <c r="K380" s="13" t="str">
        <f>IF(A380="","",YEAR(A380))</f>
        <v/>
      </c>
    </row>
    <row r="381">
      <c r="A381" s="8" t="n"/>
      <c r="B381" s="9" t="n"/>
      <c r="C381" s="10" t="n"/>
      <c r="D381" s="10" t="n"/>
      <c r="E381" s="10" t="n"/>
      <c r="F381" s="10" t="n"/>
      <c r="G381" s="14" t="n"/>
      <c r="H381" s="9" t="n"/>
      <c r="I381" s="12" t="str">
        <f>IF(G381="","",IF(H381="לא",0,ROUND(G381*TaxRate/(1+TaxRate),2)))</f>
        <v/>
      </c>
      <c r="J381" s="12" t="str">
        <f>IF(G381="","",G381-I381)</f>
        <v/>
      </c>
      <c r="K381" s="13" t="str">
        <f>IF(A381="","",YEAR(A381))</f>
        <v/>
      </c>
    </row>
    <row r="382">
      <c r="A382" s="8" t="n"/>
      <c r="B382" s="9" t="n"/>
      <c r="C382" s="10" t="n"/>
      <c r="D382" s="10" t="n"/>
      <c r="E382" s="10" t="n"/>
      <c r="F382" s="10" t="n"/>
      <c r="G382" s="14" t="n"/>
      <c r="H382" s="9" t="n"/>
      <c r="I382" s="12" t="str">
        <f>IF(G382="","",IF(H382="לא",0,ROUND(G382*TaxRate/(1+TaxRate),2)))</f>
        <v/>
      </c>
      <c r="J382" s="12" t="str">
        <f>IF(G382="","",G382-I382)</f>
        <v/>
      </c>
      <c r="K382" s="13" t="str">
        <f>IF(A382="","",YEAR(A382))</f>
        <v/>
      </c>
    </row>
    <row r="383">
      <c r="A383" s="8" t="n"/>
      <c r="B383" s="9" t="n"/>
      <c r="C383" s="10" t="n"/>
      <c r="D383" s="10" t="n"/>
      <c r="E383" s="10" t="n"/>
      <c r="F383" s="10" t="n"/>
      <c r="G383" s="14" t="n"/>
      <c r="H383" s="9" t="n"/>
      <c r="I383" s="12" t="str">
        <f>IF(G383="","",IF(H383="לא",0,ROUND(G383*TaxRate/(1+TaxRate),2)))</f>
        <v/>
      </c>
      <c r="J383" s="12" t="str">
        <f>IF(G383="","",G383-I383)</f>
        <v/>
      </c>
      <c r="K383" s="13" t="str">
        <f>IF(A383="","",YEAR(A383))</f>
        <v/>
      </c>
    </row>
    <row r="384">
      <c r="A384" s="8" t="n"/>
      <c r="B384" s="9" t="n"/>
      <c r="C384" s="10" t="n"/>
      <c r="D384" s="10" t="n"/>
      <c r="E384" s="10" t="n"/>
      <c r="F384" s="10" t="n"/>
      <c r="G384" s="14" t="n"/>
      <c r="H384" s="9" t="n"/>
      <c r="I384" s="12" t="str">
        <f>IF(G384="","",IF(H384="לא",0,ROUND(G384*TaxRate/(1+TaxRate),2)))</f>
        <v/>
      </c>
      <c r="J384" s="12" t="str">
        <f>IF(G384="","",G384-I384)</f>
        <v/>
      </c>
      <c r="K384" s="13" t="str">
        <f>IF(A384="","",YEAR(A384))</f>
        <v/>
      </c>
    </row>
    <row r="385">
      <c r="A385" s="8" t="n"/>
      <c r="B385" s="9" t="n"/>
      <c r="C385" s="10" t="n"/>
      <c r="D385" s="10" t="n"/>
      <c r="E385" s="10" t="n"/>
      <c r="F385" s="10" t="n"/>
      <c r="G385" s="14" t="n"/>
      <c r="H385" s="9" t="n"/>
      <c r="I385" s="12" t="str">
        <f>IF(G385="","",IF(H385="לא",0,ROUND(G385*TaxRate/(1+TaxRate),2)))</f>
        <v/>
      </c>
      <c r="J385" s="12" t="str">
        <f>IF(G385="","",G385-I385)</f>
        <v/>
      </c>
      <c r="K385" s="13" t="str">
        <f>IF(A385="","",YEAR(A385))</f>
        <v/>
      </c>
    </row>
    <row r="386">
      <c r="A386" s="8" t="n"/>
      <c r="B386" s="9" t="n"/>
      <c r="C386" s="10" t="n"/>
      <c r="D386" s="10" t="n"/>
      <c r="E386" s="10" t="n"/>
      <c r="F386" s="10" t="n"/>
      <c r="G386" s="14" t="n"/>
      <c r="H386" s="9" t="n"/>
      <c r="I386" s="12" t="str">
        <f>IF(G386="","",IF(H386="לא",0,ROUND(G386*TaxRate/(1+TaxRate),2)))</f>
        <v/>
      </c>
      <c r="J386" s="12" t="str">
        <f>IF(G386="","",G386-I386)</f>
        <v/>
      </c>
      <c r="K386" s="13" t="str">
        <f>IF(A386="","",YEAR(A386))</f>
        <v/>
      </c>
    </row>
    <row r="387">
      <c r="A387" s="8" t="n"/>
      <c r="B387" s="9" t="n"/>
      <c r="C387" s="10" t="n"/>
      <c r="D387" s="10" t="n"/>
      <c r="E387" s="10" t="n"/>
      <c r="F387" s="10" t="n"/>
      <c r="G387" s="14" t="n"/>
      <c r="H387" s="9" t="n"/>
      <c r="I387" s="12" t="str">
        <f>IF(G387="","",IF(H387="לא",0,ROUND(G387*TaxRate/(1+TaxRate),2)))</f>
        <v/>
      </c>
      <c r="J387" s="12" t="str">
        <f>IF(G387="","",G387-I387)</f>
        <v/>
      </c>
      <c r="K387" s="13" t="str">
        <f>IF(A387="","",YEAR(A387))</f>
        <v/>
      </c>
    </row>
    <row r="388">
      <c r="A388" s="8" t="n"/>
      <c r="B388" s="9" t="n"/>
      <c r="C388" s="10" t="n"/>
      <c r="D388" s="10" t="n"/>
      <c r="E388" s="10" t="n"/>
      <c r="F388" s="10" t="n"/>
      <c r="G388" s="14" t="n"/>
      <c r="H388" s="9" t="n"/>
      <c r="I388" s="12" t="str">
        <f>IF(G388="","",IF(H388="לא",0,ROUND(G388*TaxRate/(1+TaxRate),2)))</f>
        <v/>
      </c>
      <c r="J388" s="12" t="str">
        <f>IF(G388="","",G388-I388)</f>
        <v/>
      </c>
      <c r="K388" s="13" t="str">
        <f>IF(A388="","",YEAR(A388))</f>
        <v/>
      </c>
    </row>
    <row r="389">
      <c r="A389" s="8" t="n"/>
      <c r="B389" s="9" t="n"/>
      <c r="C389" s="10" t="n"/>
      <c r="D389" s="10" t="n"/>
      <c r="E389" s="10" t="n"/>
      <c r="F389" s="10" t="n"/>
      <c r="G389" s="14" t="n"/>
      <c r="H389" s="9" t="n"/>
      <c r="I389" s="12" t="str">
        <f>IF(G389="","",IF(H389="לא",0,ROUND(G389*TaxRate/(1+TaxRate),2)))</f>
        <v/>
      </c>
      <c r="J389" s="12" t="str">
        <f>IF(G389="","",G389-I389)</f>
        <v/>
      </c>
      <c r="K389" s="13" t="str">
        <f>IF(A389="","",YEAR(A389))</f>
        <v/>
      </c>
    </row>
    <row r="390">
      <c r="A390" s="8" t="n"/>
      <c r="B390" s="9" t="n"/>
      <c r="C390" s="10" t="n"/>
      <c r="D390" s="10" t="n"/>
      <c r="E390" s="10" t="n"/>
      <c r="F390" s="10" t="n"/>
      <c r="G390" s="14" t="n"/>
      <c r="H390" s="9" t="n"/>
      <c r="I390" s="12" t="str">
        <f>IF(G390="","",IF(H390="לא",0,ROUND(G390*TaxRate/(1+TaxRate),2)))</f>
        <v/>
      </c>
      <c r="J390" s="12" t="str">
        <f>IF(G390="","",G390-I390)</f>
        <v/>
      </c>
      <c r="K390" s="13" t="str">
        <f>IF(A390="","",YEAR(A390))</f>
        <v/>
      </c>
    </row>
    <row r="391">
      <c r="A391" s="8" t="n"/>
      <c r="B391" s="9" t="n"/>
      <c r="C391" s="10" t="n"/>
      <c r="D391" s="10" t="n"/>
      <c r="E391" s="10" t="n"/>
      <c r="F391" s="10" t="n"/>
      <c r="G391" s="14" t="n"/>
      <c r="H391" s="9" t="n"/>
      <c r="I391" s="12" t="str">
        <f>IF(G391="","",IF(H391="לא",0,ROUND(G391*TaxRate/(1+TaxRate),2)))</f>
        <v/>
      </c>
      <c r="J391" s="12" t="str">
        <f>IF(G391="","",G391-I391)</f>
        <v/>
      </c>
      <c r="K391" s="13" t="str">
        <f>IF(A391="","",YEAR(A391))</f>
        <v/>
      </c>
    </row>
    <row r="392">
      <c r="A392" s="8" t="n"/>
      <c r="B392" s="9" t="n"/>
      <c r="C392" s="10" t="n"/>
      <c r="D392" s="10" t="n"/>
      <c r="E392" s="10" t="n"/>
      <c r="F392" s="10" t="n"/>
      <c r="G392" s="14" t="n"/>
      <c r="H392" s="9" t="n"/>
      <c r="I392" s="12" t="str">
        <f>IF(G392="","",IF(H392="לא",0,ROUND(G392*TaxRate/(1+TaxRate),2)))</f>
        <v/>
      </c>
      <c r="J392" s="12" t="str">
        <f>IF(G392="","",G392-I392)</f>
        <v/>
      </c>
      <c r="K392" s="13" t="str">
        <f>IF(A392="","",YEAR(A392))</f>
        <v/>
      </c>
    </row>
    <row r="393">
      <c r="A393" s="8" t="n"/>
      <c r="B393" s="9" t="n"/>
      <c r="C393" s="10" t="n"/>
      <c r="D393" s="10" t="n"/>
      <c r="E393" s="10" t="n"/>
      <c r="F393" s="10" t="n"/>
      <c r="G393" s="14" t="n"/>
      <c r="H393" s="9" t="n"/>
      <c r="I393" s="12" t="str">
        <f>IF(G393="","",IF(H393="לא",0,ROUND(G393*TaxRate/(1+TaxRate),2)))</f>
        <v/>
      </c>
      <c r="J393" s="12" t="str">
        <f>IF(G393="","",G393-I393)</f>
        <v/>
      </c>
      <c r="K393" s="13" t="str">
        <f>IF(A393="","",YEAR(A393))</f>
        <v/>
      </c>
    </row>
    <row r="394">
      <c r="A394" s="8" t="n"/>
      <c r="B394" s="9" t="n"/>
      <c r="C394" s="10" t="n"/>
      <c r="D394" s="10" t="n"/>
      <c r="E394" s="10" t="n"/>
      <c r="F394" s="10" t="n"/>
      <c r="G394" s="14" t="n"/>
      <c r="H394" s="9" t="n"/>
      <c r="I394" s="12" t="str">
        <f>IF(G394="","",IF(H394="לא",0,ROUND(G394*TaxRate/(1+TaxRate),2)))</f>
        <v/>
      </c>
      <c r="J394" s="12" t="str">
        <f>IF(G394="","",G394-I394)</f>
        <v/>
      </c>
      <c r="K394" s="13" t="str">
        <f>IF(A394="","",YEAR(A394))</f>
        <v/>
      </c>
    </row>
    <row r="395">
      <c r="A395" s="8" t="n"/>
      <c r="B395" s="9" t="n"/>
      <c r="C395" s="10" t="n"/>
      <c r="D395" s="10" t="n"/>
      <c r="E395" s="10" t="n"/>
      <c r="F395" s="10" t="n"/>
      <c r="G395" s="14" t="n"/>
      <c r="H395" s="9" t="n"/>
      <c r="I395" s="12" t="str">
        <f>IF(G395="","",IF(H395="לא",0,ROUND(G395*TaxRate/(1+TaxRate),2)))</f>
        <v/>
      </c>
      <c r="J395" s="12" t="str">
        <f>IF(G395="","",G395-I395)</f>
        <v/>
      </c>
      <c r="K395" s="13" t="str">
        <f>IF(A395="","",YEAR(A395))</f>
        <v/>
      </c>
    </row>
    <row r="396">
      <c r="A396" s="8" t="n"/>
      <c r="B396" s="9" t="n"/>
      <c r="C396" s="10" t="n"/>
      <c r="D396" s="10" t="n"/>
      <c r="E396" s="10" t="n"/>
      <c r="F396" s="10" t="n"/>
      <c r="G396" s="14" t="n"/>
      <c r="H396" s="9" t="n"/>
      <c r="I396" s="12" t="str">
        <f>IF(G396="","",IF(H396="לא",0,ROUND(G396*TaxRate/(1+TaxRate),2)))</f>
        <v/>
      </c>
      <c r="J396" s="12" t="str">
        <f>IF(G396="","",G396-I396)</f>
        <v/>
      </c>
      <c r="K396" s="13" t="str">
        <f>IF(A396="","",YEAR(A396))</f>
        <v/>
      </c>
    </row>
    <row r="397">
      <c r="A397" s="8" t="n"/>
      <c r="B397" s="9" t="n"/>
      <c r="C397" s="10" t="n"/>
      <c r="D397" s="10" t="n"/>
      <c r="E397" s="10" t="n"/>
      <c r="F397" s="10" t="n"/>
      <c r="G397" s="14" t="n"/>
      <c r="H397" s="9" t="n"/>
      <c r="I397" s="12" t="str">
        <f>IF(G397="","",IF(H397="לא",0,ROUND(G397*TaxRate/(1+TaxRate),2)))</f>
        <v/>
      </c>
      <c r="J397" s="12" t="str">
        <f>IF(G397="","",G397-I397)</f>
        <v/>
      </c>
      <c r="K397" s="13" t="str">
        <f>IF(A397="","",YEAR(A397))</f>
        <v/>
      </c>
    </row>
    <row r="398">
      <c r="A398" s="8" t="n"/>
      <c r="B398" s="9" t="n"/>
      <c r="C398" s="10" t="n"/>
      <c r="D398" s="10" t="n"/>
      <c r="E398" s="10" t="n"/>
      <c r="F398" s="10" t="n"/>
      <c r="G398" s="14" t="n"/>
      <c r="H398" s="9" t="n"/>
      <c r="I398" s="12" t="str">
        <f>IF(G398="","",IF(H398="לא",0,ROUND(G398*TaxRate/(1+TaxRate),2)))</f>
        <v/>
      </c>
      <c r="J398" s="12" t="str">
        <f>IF(G398="","",G398-I398)</f>
        <v/>
      </c>
      <c r="K398" s="13" t="str">
        <f>IF(A398="","",YEAR(A398))</f>
        <v/>
      </c>
    </row>
    <row r="399">
      <c r="A399" s="8" t="n"/>
      <c r="B399" s="9" t="n"/>
      <c r="C399" s="10" t="n"/>
      <c r="D399" s="10" t="n"/>
      <c r="E399" s="10" t="n"/>
      <c r="F399" s="10" t="n"/>
      <c r="G399" s="14" t="n"/>
      <c r="H399" s="9" t="n"/>
      <c r="I399" s="12" t="str">
        <f>IF(G399="","",IF(H399="לא",0,ROUND(G399*TaxRate/(1+TaxRate),2)))</f>
        <v/>
      </c>
      <c r="J399" s="12" t="str">
        <f>IF(G399="","",G399-I399)</f>
        <v/>
      </c>
      <c r="K399" s="13" t="str">
        <f>IF(A399="","",YEAR(A399))</f>
        <v/>
      </c>
    </row>
    <row r="400">
      <c r="A400" s="8" t="n"/>
      <c r="B400" s="9" t="n"/>
      <c r="C400" s="10" t="n"/>
      <c r="D400" s="10" t="n"/>
      <c r="E400" s="10" t="n"/>
      <c r="F400" s="10" t="n"/>
      <c r="G400" s="14" t="n"/>
      <c r="H400" s="9" t="n"/>
      <c r="I400" s="12" t="str">
        <f>IF(G400="","",IF(H400="לא",0,ROUND(G400*TaxRate/(1+TaxRate),2)))</f>
        <v/>
      </c>
      <c r="J400" s="12" t="str">
        <f>IF(G400="","",G400-I400)</f>
        <v/>
      </c>
      <c r="K400" s="13" t="str">
        <f>IF(A400="","",YEAR(A400))</f>
        <v/>
      </c>
    </row>
    <row r="401">
      <c r="A401" s="8" t="n"/>
      <c r="B401" s="9" t="n"/>
      <c r="C401" s="10" t="n"/>
      <c r="D401" s="10" t="n"/>
      <c r="E401" s="10" t="n"/>
      <c r="F401" s="10" t="n"/>
      <c r="G401" s="14" t="n"/>
      <c r="H401" s="9" t="n"/>
      <c r="I401" s="12" t="str">
        <f>IF(G401="","",IF(H401="לא",0,ROUND(G401*TaxRate/(1+TaxRate),2)))</f>
        <v/>
      </c>
      <c r="J401" s="12" t="str">
        <f>IF(G401="","",G401-I401)</f>
        <v/>
      </c>
      <c r="K401" s="13" t="str">
        <f>IF(A401="","",YEAR(A401))</f>
        <v/>
      </c>
    </row>
    <row r="402">
      <c r="A402" s="8" t="n"/>
      <c r="B402" s="9" t="n"/>
      <c r="C402" s="10" t="n"/>
      <c r="D402" s="10" t="n"/>
      <c r="E402" s="10" t="n"/>
      <c r="F402" s="10" t="n"/>
      <c r="G402" s="14" t="n"/>
      <c r="H402" s="9" t="n"/>
      <c r="I402" s="12" t="str">
        <f>IF(G402="","",IF(H402="לא",0,ROUND(G402*TaxRate/(1+TaxRate),2)))</f>
        <v/>
      </c>
      <c r="J402" s="12" t="str">
        <f>IF(G402="","",G402-I402)</f>
        <v/>
      </c>
      <c r="K402" s="13" t="str">
        <f>IF(A402="","",YEAR(A402))</f>
        <v/>
      </c>
    </row>
    <row r="403">
      <c r="A403" s="8" t="n"/>
      <c r="B403" s="9" t="n"/>
      <c r="C403" s="10" t="n"/>
      <c r="D403" s="10" t="n"/>
      <c r="E403" s="10" t="n"/>
      <c r="F403" s="10" t="n"/>
      <c r="G403" s="14" t="n"/>
      <c r="H403" s="9" t="n"/>
      <c r="I403" s="12" t="str">
        <f>IF(G403="","",IF(H403="לא",0,ROUND(G403*TaxRate/(1+TaxRate),2)))</f>
        <v/>
      </c>
      <c r="J403" s="12" t="str">
        <f>IF(G403="","",G403-I403)</f>
        <v/>
      </c>
      <c r="K403" s="13" t="str">
        <f>IF(A403="","",YEAR(A403))</f>
        <v/>
      </c>
    </row>
    <row r="404">
      <c r="A404" s="8" t="n"/>
      <c r="B404" s="9" t="n"/>
      <c r="C404" s="10" t="n"/>
      <c r="D404" s="10" t="n"/>
      <c r="E404" s="10" t="n"/>
      <c r="F404" s="10" t="n"/>
      <c r="G404" s="14" t="n"/>
      <c r="H404" s="9" t="n"/>
      <c r="I404" s="12" t="str">
        <f>IF(G404="","",IF(H404="לא",0,ROUND(G404*TaxRate/(1+TaxRate),2)))</f>
        <v/>
      </c>
      <c r="J404" s="12" t="str">
        <f>IF(G404="","",G404-I404)</f>
        <v/>
      </c>
      <c r="K404" s="13" t="str">
        <f>IF(A404="","",YEAR(A404))</f>
        <v/>
      </c>
    </row>
    <row r="405">
      <c r="A405" s="8" t="n"/>
      <c r="B405" s="9" t="n"/>
      <c r="C405" s="10" t="n"/>
      <c r="D405" s="10" t="n"/>
      <c r="E405" s="10" t="n"/>
      <c r="F405" s="10" t="n"/>
      <c r="G405" s="14" t="n"/>
      <c r="H405" s="9" t="n"/>
      <c r="I405" s="12" t="str">
        <f>IF(G405="","",IF(H405="לא",0,ROUND(G405*TaxRate/(1+TaxRate),2)))</f>
        <v/>
      </c>
      <c r="J405" s="12" t="str">
        <f>IF(G405="","",G405-I405)</f>
        <v/>
      </c>
      <c r="K405" s="13" t="str">
        <f>IF(A405="","",YEAR(A405))</f>
        <v/>
      </c>
    </row>
    <row r="406">
      <c r="A406" s="8" t="n"/>
      <c r="B406" s="9" t="n"/>
      <c r="C406" s="10" t="n"/>
      <c r="D406" s="10" t="n"/>
      <c r="E406" s="10" t="n"/>
      <c r="F406" s="10" t="n"/>
      <c r="G406" s="14" t="n"/>
      <c r="H406" s="9" t="n"/>
      <c r="I406" s="12" t="str">
        <f>IF(G406="","",IF(H406="לא",0,ROUND(G406*TaxRate/(1+TaxRate),2)))</f>
        <v/>
      </c>
      <c r="J406" s="12" t="str">
        <f>IF(G406="","",G406-I406)</f>
        <v/>
      </c>
      <c r="K406" s="13" t="str">
        <f>IF(A406="","",YEAR(A406))</f>
        <v/>
      </c>
    </row>
    <row r="407">
      <c r="A407" s="8" t="n"/>
      <c r="B407" s="9" t="n"/>
      <c r="C407" s="10" t="n"/>
      <c r="D407" s="10" t="n"/>
      <c r="E407" s="10" t="n"/>
      <c r="F407" s="10" t="n"/>
      <c r="G407" s="14" t="n"/>
      <c r="H407" s="9" t="n"/>
      <c r="I407" s="12" t="str">
        <f>IF(G407="","",IF(H407="לא",0,ROUND(G407*TaxRate/(1+TaxRate),2)))</f>
        <v/>
      </c>
      <c r="J407" s="12" t="str">
        <f>IF(G407="","",G407-I407)</f>
        <v/>
      </c>
      <c r="K407" s="13" t="str">
        <f>IF(A407="","",YEAR(A407))</f>
        <v/>
      </c>
    </row>
    <row r="408">
      <c r="A408" s="8" t="n"/>
      <c r="B408" s="9" t="n"/>
      <c r="C408" s="10" t="n"/>
      <c r="D408" s="10" t="n"/>
      <c r="E408" s="10" t="n"/>
      <c r="F408" s="10" t="n"/>
      <c r="G408" s="14" t="n"/>
      <c r="H408" s="9" t="n"/>
      <c r="I408" s="12" t="str">
        <f>IF(G408="","",IF(H408="לא",0,ROUND(G408*TaxRate/(1+TaxRate),2)))</f>
        <v/>
      </c>
      <c r="J408" s="12" t="str">
        <f>IF(G408="","",G408-I408)</f>
        <v/>
      </c>
      <c r="K408" s="13" t="str">
        <f>IF(A408="","",YEAR(A408))</f>
        <v/>
      </c>
    </row>
    <row r="409">
      <c r="A409" s="8" t="n"/>
      <c r="B409" s="9" t="n"/>
      <c r="C409" s="10" t="n"/>
      <c r="D409" s="10" t="n"/>
      <c r="E409" s="10" t="n"/>
      <c r="F409" s="10" t="n"/>
      <c r="G409" s="14" t="n"/>
      <c r="H409" s="9" t="n"/>
      <c r="I409" s="12" t="str">
        <f>IF(G409="","",IF(H409="לא",0,ROUND(G409*TaxRate/(1+TaxRate),2)))</f>
        <v/>
      </c>
      <c r="J409" s="12" t="str">
        <f>IF(G409="","",G409-I409)</f>
        <v/>
      </c>
      <c r="K409" s="13" t="str">
        <f>IF(A409="","",YEAR(A409))</f>
        <v/>
      </c>
    </row>
    <row r="410">
      <c r="A410" s="8" t="n"/>
      <c r="B410" s="9" t="n"/>
      <c r="C410" s="10" t="n"/>
      <c r="D410" s="10" t="n"/>
      <c r="E410" s="10" t="n"/>
      <c r="F410" s="10" t="n"/>
      <c r="G410" s="14" t="n"/>
      <c r="H410" s="9" t="n"/>
      <c r="I410" s="12" t="str">
        <f>IF(G410="","",IF(H410="לא",0,ROUND(G410*TaxRate/(1+TaxRate),2)))</f>
        <v/>
      </c>
      <c r="J410" s="12" t="str">
        <f>IF(G410="","",G410-I410)</f>
        <v/>
      </c>
      <c r="K410" s="13" t="str">
        <f>IF(A410="","",YEAR(A410))</f>
        <v/>
      </c>
    </row>
    <row r="411">
      <c r="A411" s="8" t="n"/>
      <c r="B411" s="9" t="n"/>
      <c r="C411" s="10" t="n"/>
      <c r="D411" s="10" t="n"/>
      <c r="E411" s="10" t="n"/>
      <c r="F411" s="10" t="n"/>
      <c r="G411" s="14" t="n"/>
      <c r="H411" s="9" t="n"/>
      <c r="I411" s="12" t="str">
        <f>IF(G411="","",IF(H411="לא",0,ROUND(G411*TaxRate/(1+TaxRate),2)))</f>
        <v/>
      </c>
      <c r="J411" s="12" t="str">
        <f>IF(G411="","",G411-I411)</f>
        <v/>
      </c>
      <c r="K411" s="13" t="str">
        <f>IF(A411="","",YEAR(A411))</f>
        <v/>
      </c>
    </row>
    <row r="412">
      <c r="A412" s="8" t="n"/>
      <c r="B412" s="9" t="n"/>
      <c r="C412" s="10" t="n"/>
      <c r="D412" s="10" t="n"/>
      <c r="E412" s="10" t="n"/>
      <c r="F412" s="10" t="n"/>
      <c r="G412" s="14" t="n"/>
      <c r="H412" s="9" t="n"/>
      <c r="I412" s="12" t="str">
        <f>IF(G412="","",IF(H412="לא",0,ROUND(G412*TaxRate/(1+TaxRate),2)))</f>
        <v/>
      </c>
      <c r="J412" s="12" t="str">
        <f>IF(G412="","",G412-I412)</f>
        <v/>
      </c>
      <c r="K412" s="13" t="str">
        <f>IF(A412="","",YEAR(A412))</f>
        <v/>
      </c>
    </row>
    <row r="413">
      <c r="A413" s="8" t="n"/>
      <c r="B413" s="9" t="n"/>
      <c r="C413" s="10" t="n"/>
      <c r="D413" s="10" t="n"/>
      <c r="E413" s="10" t="n"/>
      <c r="F413" s="10" t="n"/>
      <c r="G413" s="14" t="n"/>
      <c r="H413" s="9" t="n"/>
      <c r="I413" s="12" t="str">
        <f>IF(G413="","",IF(H413="לא",0,ROUND(G413*TaxRate/(1+TaxRate),2)))</f>
        <v/>
      </c>
      <c r="J413" s="12" t="str">
        <f>IF(G413="","",G413-I413)</f>
        <v/>
      </c>
      <c r="K413" s="13" t="str">
        <f>IF(A413="","",YEAR(A413))</f>
        <v/>
      </c>
    </row>
    <row r="414">
      <c r="A414" s="8" t="n"/>
      <c r="B414" s="9" t="n"/>
      <c r="C414" s="10" t="n"/>
      <c r="D414" s="10" t="n"/>
      <c r="E414" s="10" t="n"/>
      <c r="F414" s="10" t="n"/>
      <c r="G414" s="14" t="n"/>
      <c r="H414" s="9" t="n"/>
      <c r="I414" s="12" t="str">
        <f>IF(G414="","",IF(H414="לא",0,ROUND(G414*TaxRate/(1+TaxRate),2)))</f>
        <v/>
      </c>
      <c r="J414" s="12" t="str">
        <f>IF(G414="","",G414-I414)</f>
        <v/>
      </c>
      <c r="K414" s="13" t="str">
        <f>IF(A414="","",YEAR(A414))</f>
        <v/>
      </c>
    </row>
    <row r="415">
      <c r="A415" s="8" t="n"/>
      <c r="B415" s="9" t="n"/>
      <c r="C415" s="10" t="n"/>
      <c r="D415" s="10" t="n"/>
      <c r="E415" s="10" t="n"/>
      <c r="F415" s="10" t="n"/>
      <c r="G415" s="14" t="n"/>
      <c r="H415" s="9" t="n"/>
      <c r="I415" s="12" t="str">
        <f>IF(G415="","",IF(H415="לא",0,ROUND(G415*TaxRate/(1+TaxRate),2)))</f>
        <v/>
      </c>
      <c r="J415" s="12" t="str">
        <f>IF(G415="","",G415-I415)</f>
        <v/>
      </c>
      <c r="K415" s="13" t="str">
        <f>IF(A415="","",YEAR(A415))</f>
        <v/>
      </c>
    </row>
    <row r="416">
      <c r="A416" s="8" t="n"/>
      <c r="B416" s="9" t="n"/>
      <c r="C416" s="10" t="n"/>
      <c r="D416" s="10" t="n"/>
      <c r="E416" s="10" t="n"/>
      <c r="F416" s="10" t="n"/>
      <c r="G416" s="14" t="n"/>
      <c r="H416" s="9" t="n"/>
      <c r="I416" s="12" t="str">
        <f>IF(G416="","",IF(H416="לא",0,ROUND(G416*TaxRate/(1+TaxRate),2)))</f>
        <v/>
      </c>
      <c r="J416" s="12" t="str">
        <f>IF(G416="","",G416-I416)</f>
        <v/>
      </c>
      <c r="K416" s="13" t="str">
        <f>IF(A416="","",YEAR(A416))</f>
        <v/>
      </c>
    </row>
    <row r="417">
      <c r="A417" s="8" t="n"/>
      <c r="B417" s="9" t="n"/>
      <c r="C417" s="10" t="n"/>
      <c r="D417" s="10" t="n"/>
      <c r="E417" s="10" t="n"/>
      <c r="F417" s="10" t="n"/>
      <c r="G417" s="14" t="n"/>
      <c r="H417" s="9" t="n"/>
      <c r="I417" s="12" t="str">
        <f>IF(G417="","",IF(H417="לא",0,ROUND(G417*TaxRate/(1+TaxRate),2)))</f>
        <v/>
      </c>
      <c r="J417" s="12" t="str">
        <f>IF(G417="","",G417-I417)</f>
        <v/>
      </c>
      <c r="K417" s="13" t="str">
        <f>IF(A417="","",YEAR(A417))</f>
        <v/>
      </c>
    </row>
    <row r="418">
      <c r="A418" s="8" t="n"/>
      <c r="B418" s="9" t="n"/>
      <c r="C418" s="10" t="n"/>
      <c r="D418" s="10" t="n"/>
      <c r="E418" s="10" t="n"/>
      <c r="F418" s="10" t="n"/>
      <c r="G418" s="14" t="n"/>
      <c r="H418" s="9" t="n"/>
      <c r="I418" s="12" t="str">
        <f>IF(G418="","",IF(H418="לא",0,ROUND(G418*TaxRate/(1+TaxRate),2)))</f>
        <v/>
      </c>
      <c r="J418" s="12" t="str">
        <f>IF(G418="","",G418-I418)</f>
        <v/>
      </c>
      <c r="K418" s="13" t="str">
        <f>IF(A418="","",YEAR(A418))</f>
        <v/>
      </c>
    </row>
    <row r="419">
      <c r="A419" s="8" t="n"/>
      <c r="B419" s="9" t="n"/>
      <c r="C419" s="10" t="n"/>
      <c r="D419" s="10" t="n"/>
      <c r="E419" s="10" t="n"/>
      <c r="F419" s="10" t="n"/>
      <c r="G419" s="14" t="n"/>
      <c r="H419" s="9" t="n"/>
      <c r="I419" s="12" t="str">
        <f>IF(G419="","",IF(H419="לא",0,ROUND(G419*TaxRate/(1+TaxRate),2)))</f>
        <v/>
      </c>
      <c r="J419" s="12" t="str">
        <f>IF(G419="","",G419-I419)</f>
        <v/>
      </c>
      <c r="K419" s="13" t="str">
        <f>IF(A419="","",YEAR(A419))</f>
        <v/>
      </c>
    </row>
    <row r="420">
      <c r="A420" s="8" t="n"/>
      <c r="B420" s="9" t="n"/>
      <c r="C420" s="10" t="n"/>
      <c r="D420" s="10" t="n"/>
      <c r="E420" s="10" t="n"/>
      <c r="F420" s="10" t="n"/>
      <c r="G420" s="14" t="n"/>
      <c r="H420" s="9" t="n"/>
      <c r="I420" s="12" t="str">
        <f>IF(G420="","",IF(H420="לא",0,ROUND(G420*TaxRate/(1+TaxRate),2)))</f>
        <v/>
      </c>
      <c r="J420" s="12" t="str">
        <f>IF(G420="","",G420-I420)</f>
        <v/>
      </c>
      <c r="K420" s="13" t="str">
        <f>IF(A420="","",YEAR(A420))</f>
        <v/>
      </c>
    </row>
    <row r="421">
      <c r="A421" s="8" t="n"/>
      <c r="B421" s="9" t="n"/>
      <c r="C421" s="10" t="n"/>
      <c r="D421" s="10" t="n"/>
      <c r="E421" s="10" t="n"/>
      <c r="F421" s="10" t="n"/>
      <c r="G421" s="14" t="n"/>
      <c r="H421" s="9" t="n"/>
      <c r="I421" s="12" t="str">
        <f>IF(G421="","",IF(H421="לא",0,ROUND(G421*TaxRate/(1+TaxRate),2)))</f>
        <v/>
      </c>
      <c r="J421" s="12" t="str">
        <f>IF(G421="","",G421-I421)</f>
        <v/>
      </c>
      <c r="K421" s="13" t="str">
        <f>IF(A421="","",YEAR(A421))</f>
        <v/>
      </c>
    </row>
    <row r="422">
      <c r="A422" s="8" t="n"/>
      <c r="B422" s="9" t="n"/>
      <c r="C422" s="10" t="n"/>
      <c r="D422" s="10" t="n"/>
      <c r="E422" s="10" t="n"/>
      <c r="F422" s="10" t="n"/>
      <c r="G422" s="14" t="n"/>
      <c r="H422" s="9" t="n"/>
      <c r="I422" s="12" t="str">
        <f>IF(G422="","",IF(H422="לא",0,ROUND(G422*TaxRate/(1+TaxRate),2)))</f>
        <v/>
      </c>
      <c r="J422" s="12" t="str">
        <f>IF(G422="","",G422-I422)</f>
        <v/>
      </c>
      <c r="K422" s="13" t="str">
        <f>IF(A422="","",YEAR(A422))</f>
        <v/>
      </c>
    </row>
    <row r="423">
      <c r="A423" s="8" t="n"/>
      <c r="B423" s="9" t="n"/>
      <c r="C423" s="10" t="n"/>
      <c r="D423" s="10" t="n"/>
      <c r="E423" s="10" t="n"/>
      <c r="F423" s="10" t="n"/>
      <c r="G423" s="14" t="n"/>
      <c r="H423" s="9" t="n"/>
      <c r="I423" s="12" t="str">
        <f>IF(G423="","",IF(H423="לא",0,ROUND(G423*TaxRate/(1+TaxRate),2)))</f>
        <v/>
      </c>
      <c r="J423" s="12" t="str">
        <f>IF(G423="","",G423-I423)</f>
        <v/>
      </c>
      <c r="K423" s="13" t="str">
        <f>IF(A423="","",YEAR(A423))</f>
        <v/>
      </c>
    </row>
    <row r="424">
      <c r="A424" s="8" t="n"/>
      <c r="B424" s="9" t="n"/>
      <c r="C424" s="10" t="n"/>
      <c r="D424" s="10" t="n"/>
      <c r="E424" s="10" t="n"/>
      <c r="F424" s="10" t="n"/>
      <c r="G424" s="14" t="n"/>
      <c r="H424" s="9" t="n"/>
      <c r="I424" s="12" t="str">
        <f>IF(G424="","",IF(H424="לא",0,ROUND(G424*TaxRate/(1+TaxRate),2)))</f>
        <v/>
      </c>
      <c r="J424" s="12" t="str">
        <f>IF(G424="","",G424-I424)</f>
        <v/>
      </c>
      <c r="K424" s="13" t="str">
        <f>IF(A424="","",YEAR(A424))</f>
        <v/>
      </c>
    </row>
    <row r="425">
      <c r="A425" s="8" t="n"/>
      <c r="B425" s="9" t="n"/>
      <c r="C425" s="10" t="n"/>
      <c r="D425" s="10" t="n"/>
      <c r="E425" s="10" t="n"/>
      <c r="F425" s="10" t="n"/>
      <c r="G425" s="14" t="n"/>
      <c r="H425" s="9" t="n"/>
      <c r="I425" s="12" t="str">
        <f>IF(G425="","",IF(H425="לא",0,ROUND(G425*TaxRate/(1+TaxRate),2)))</f>
        <v/>
      </c>
      <c r="J425" s="12" t="str">
        <f>IF(G425="","",G425-I425)</f>
        <v/>
      </c>
      <c r="K425" s="13" t="str">
        <f>IF(A425="","",YEAR(A425))</f>
        <v/>
      </c>
    </row>
    <row r="426">
      <c r="A426" s="8" t="n"/>
      <c r="B426" s="9" t="n"/>
      <c r="C426" s="10" t="n"/>
      <c r="D426" s="10" t="n"/>
      <c r="E426" s="10" t="n"/>
      <c r="F426" s="10" t="n"/>
      <c r="G426" s="14" t="n"/>
      <c r="H426" s="9" t="n"/>
      <c r="I426" s="12" t="str">
        <f>IF(G426="","",IF(H426="לא",0,ROUND(G426*TaxRate/(1+TaxRate),2)))</f>
        <v/>
      </c>
      <c r="J426" s="12" t="str">
        <f>IF(G426="","",G426-I426)</f>
        <v/>
      </c>
      <c r="K426" s="13" t="str">
        <f>IF(A426="","",YEAR(A426))</f>
        <v/>
      </c>
    </row>
    <row r="427">
      <c r="A427" s="8" t="n"/>
      <c r="B427" s="9" t="n"/>
      <c r="C427" s="10" t="n"/>
      <c r="D427" s="10" t="n"/>
      <c r="E427" s="10" t="n"/>
      <c r="F427" s="10" t="n"/>
      <c r="G427" s="14" t="n"/>
      <c r="H427" s="9" t="n"/>
      <c r="I427" s="12" t="str">
        <f>IF(G427="","",IF(H427="לא",0,ROUND(G427*TaxRate/(1+TaxRate),2)))</f>
        <v/>
      </c>
      <c r="J427" s="12" t="str">
        <f>IF(G427="","",G427-I427)</f>
        <v/>
      </c>
      <c r="K427" s="13" t="str">
        <f>IF(A427="","",YEAR(A427))</f>
        <v/>
      </c>
    </row>
    <row r="428">
      <c r="A428" s="8" t="n"/>
      <c r="B428" s="9" t="n"/>
      <c r="C428" s="10" t="n"/>
      <c r="D428" s="10" t="n"/>
      <c r="E428" s="10" t="n"/>
      <c r="F428" s="10" t="n"/>
      <c r="G428" s="14" t="n"/>
      <c r="H428" s="9" t="n"/>
      <c r="I428" s="12" t="str">
        <f>IF(G428="","",IF(H428="לא",0,ROUND(G428*TaxRate/(1+TaxRate),2)))</f>
        <v/>
      </c>
      <c r="J428" s="12" t="str">
        <f>IF(G428="","",G428-I428)</f>
        <v/>
      </c>
      <c r="K428" s="13" t="str">
        <f>IF(A428="","",YEAR(A428))</f>
        <v/>
      </c>
    </row>
    <row r="429">
      <c r="A429" s="8" t="n"/>
      <c r="B429" s="9" t="n"/>
      <c r="C429" s="10" t="n"/>
      <c r="D429" s="10" t="n"/>
      <c r="E429" s="10" t="n"/>
      <c r="F429" s="10" t="n"/>
      <c r="G429" s="14" t="n"/>
      <c r="H429" s="9" t="n"/>
      <c r="I429" s="12" t="str">
        <f>IF(G429="","",IF(H429="לא",0,ROUND(G429*TaxRate/(1+TaxRate),2)))</f>
        <v/>
      </c>
      <c r="J429" s="12" t="str">
        <f>IF(G429="","",G429-I429)</f>
        <v/>
      </c>
      <c r="K429" s="13" t="str">
        <f>IF(A429="","",YEAR(A429))</f>
        <v/>
      </c>
    </row>
    <row r="430">
      <c r="A430" s="8" t="n"/>
      <c r="B430" s="9" t="n"/>
      <c r="C430" s="10" t="n"/>
      <c r="D430" s="10" t="n"/>
      <c r="E430" s="10" t="n"/>
      <c r="F430" s="10" t="n"/>
      <c r="G430" s="14" t="n"/>
      <c r="H430" s="9" t="n"/>
      <c r="I430" s="12" t="str">
        <f>IF(G430="","",IF(H430="לא",0,ROUND(G430*TaxRate/(1+TaxRate),2)))</f>
        <v/>
      </c>
      <c r="J430" s="12" t="str">
        <f>IF(G430="","",G430-I430)</f>
        <v/>
      </c>
      <c r="K430" s="13" t="str">
        <f>IF(A430="","",YEAR(A430))</f>
        <v/>
      </c>
    </row>
    <row r="431">
      <c r="A431" s="8" t="n"/>
      <c r="B431" s="9" t="n"/>
      <c r="C431" s="10" t="n"/>
      <c r="D431" s="10" t="n"/>
      <c r="E431" s="10" t="n"/>
      <c r="F431" s="10" t="n"/>
      <c r="G431" s="14" t="n"/>
      <c r="H431" s="9" t="n"/>
      <c r="I431" s="12" t="str">
        <f>IF(G431="","",IF(H431="לא",0,ROUND(G431*TaxRate/(1+TaxRate),2)))</f>
        <v/>
      </c>
      <c r="J431" s="12" t="str">
        <f>IF(G431="","",G431-I431)</f>
        <v/>
      </c>
      <c r="K431" s="13" t="str">
        <f>IF(A431="","",YEAR(A431))</f>
        <v/>
      </c>
    </row>
    <row r="432">
      <c r="A432" s="8" t="n"/>
      <c r="B432" s="9" t="n"/>
      <c r="C432" s="10" t="n"/>
      <c r="D432" s="10" t="n"/>
      <c r="E432" s="10" t="n"/>
      <c r="F432" s="10" t="n"/>
      <c r="G432" s="14" t="n"/>
      <c r="H432" s="9" t="n"/>
      <c r="I432" s="12" t="str">
        <f>IF(G432="","",IF(H432="לא",0,ROUND(G432*TaxRate/(1+TaxRate),2)))</f>
        <v/>
      </c>
      <c r="J432" s="12" t="str">
        <f>IF(G432="","",G432-I432)</f>
        <v/>
      </c>
      <c r="K432" s="13" t="str">
        <f>IF(A432="","",YEAR(A432))</f>
        <v/>
      </c>
    </row>
    <row r="433">
      <c r="A433" s="8" t="n"/>
      <c r="B433" s="9" t="n"/>
      <c r="C433" s="10" t="n"/>
      <c r="D433" s="10" t="n"/>
      <c r="E433" s="10" t="n"/>
      <c r="F433" s="10" t="n"/>
      <c r="G433" s="14" t="n"/>
      <c r="H433" s="9" t="n"/>
      <c r="I433" s="12" t="str">
        <f>IF(G433="","",IF(H433="לא",0,ROUND(G433*TaxRate/(1+TaxRate),2)))</f>
        <v/>
      </c>
      <c r="J433" s="12" t="str">
        <f>IF(G433="","",G433-I433)</f>
        <v/>
      </c>
      <c r="K433" s="13" t="str">
        <f>IF(A433="","",YEAR(A433))</f>
        <v/>
      </c>
    </row>
    <row r="434">
      <c r="A434" s="8" t="n"/>
      <c r="B434" s="9" t="n"/>
      <c r="C434" s="10" t="n"/>
      <c r="D434" s="10" t="n"/>
      <c r="E434" s="10" t="n"/>
      <c r="F434" s="10" t="n"/>
      <c r="G434" s="14" t="n"/>
      <c r="H434" s="9" t="n"/>
      <c r="I434" s="12" t="str">
        <f>IF(G434="","",IF(H434="לא",0,ROUND(G434*TaxRate/(1+TaxRate),2)))</f>
        <v/>
      </c>
      <c r="J434" s="12" t="str">
        <f>IF(G434="","",G434-I434)</f>
        <v/>
      </c>
      <c r="K434" s="13" t="str">
        <f>IF(A434="","",YEAR(A434))</f>
        <v/>
      </c>
    </row>
    <row r="435">
      <c r="A435" s="8" t="n"/>
      <c r="B435" s="9" t="n"/>
      <c r="C435" s="10" t="n"/>
      <c r="D435" s="10" t="n"/>
      <c r="E435" s="10" t="n"/>
      <c r="F435" s="10" t="n"/>
      <c r="G435" s="14" t="n"/>
      <c r="H435" s="9" t="n"/>
      <c r="I435" s="12" t="str">
        <f>IF(G435="","",IF(H435="לא",0,ROUND(G435*TaxRate/(1+TaxRate),2)))</f>
        <v/>
      </c>
      <c r="J435" s="12" t="str">
        <f>IF(G435="","",G435-I435)</f>
        <v/>
      </c>
      <c r="K435" s="13" t="str">
        <f>IF(A435="","",YEAR(A435))</f>
        <v/>
      </c>
    </row>
    <row r="436">
      <c r="A436" s="8" t="n"/>
      <c r="B436" s="9" t="n"/>
      <c r="C436" s="10" t="n"/>
      <c r="D436" s="10" t="n"/>
      <c r="E436" s="10" t="n"/>
      <c r="F436" s="10" t="n"/>
      <c r="G436" s="14" t="n"/>
      <c r="H436" s="9" t="n"/>
      <c r="I436" s="12" t="str">
        <f>IF(G436="","",IF(H436="לא",0,ROUND(G436*TaxRate/(1+TaxRate),2)))</f>
        <v/>
      </c>
      <c r="J436" s="12" t="str">
        <f>IF(G436="","",G436-I436)</f>
        <v/>
      </c>
      <c r="K436" s="13" t="str">
        <f>IF(A436="","",YEAR(A436))</f>
        <v/>
      </c>
    </row>
    <row r="437">
      <c r="A437" s="8" t="n"/>
      <c r="B437" s="9" t="n"/>
      <c r="C437" s="10" t="n"/>
      <c r="D437" s="10" t="n"/>
      <c r="E437" s="10" t="n"/>
      <c r="F437" s="10" t="n"/>
      <c r="G437" s="14" t="n"/>
      <c r="H437" s="9" t="n"/>
      <c r="I437" s="12" t="str">
        <f>IF(G437="","",IF(H437="לא",0,ROUND(G437*TaxRate/(1+TaxRate),2)))</f>
        <v/>
      </c>
      <c r="J437" s="12" t="str">
        <f>IF(G437="","",G437-I437)</f>
        <v/>
      </c>
      <c r="K437" s="13" t="str">
        <f>IF(A437="","",YEAR(A437))</f>
        <v/>
      </c>
    </row>
    <row r="438">
      <c r="A438" s="8" t="n"/>
      <c r="B438" s="9" t="n"/>
      <c r="C438" s="10" t="n"/>
      <c r="D438" s="10" t="n"/>
      <c r="E438" s="10" t="n"/>
      <c r="F438" s="10" t="n"/>
      <c r="G438" s="14" t="n"/>
      <c r="H438" s="9" t="n"/>
      <c r="I438" s="12" t="str">
        <f>IF(G438="","",IF(H438="לא",0,ROUND(G438*TaxRate/(1+TaxRate),2)))</f>
        <v/>
      </c>
      <c r="J438" s="12" t="str">
        <f>IF(G438="","",G438-I438)</f>
        <v/>
      </c>
      <c r="K438" s="13" t="str">
        <f>IF(A438="","",YEAR(A438))</f>
        <v/>
      </c>
    </row>
    <row r="439">
      <c r="A439" s="8" t="n"/>
      <c r="B439" s="9" t="n"/>
      <c r="C439" s="10" t="n"/>
      <c r="D439" s="10" t="n"/>
      <c r="E439" s="10" t="n"/>
      <c r="F439" s="10" t="n"/>
      <c r="G439" s="14" t="n"/>
      <c r="H439" s="9" t="n"/>
      <c r="I439" s="12" t="str">
        <f>IF(G439="","",IF(H439="לא",0,ROUND(G439*TaxRate/(1+TaxRate),2)))</f>
        <v/>
      </c>
      <c r="J439" s="12" t="str">
        <f>IF(G439="","",G439-I439)</f>
        <v/>
      </c>
      <c r="K439" s="13" t="str">
        <f>IF(A439="","",YEAR(A439))</f>
        <v/>
      </c>
    </row>
    <row r="440">
      <c r="A440" s="8" t="n"/>
      <c r="B440" s="9" t="n"/>
      <c r="C440" s="10" t="n"/>
      <c r="D440" s="10" t="n"/>
      <c r="E440" s="10" t="n"/>
      <c r="F440" s="10" t="n"/>
      <c r="G440" s="14" t="n"/>
      <c r="H440" s="9" t="n"/>
      <c r="I440" s="12" t="str">
        <f>IF(G440="","",IF(H440="לא",0,ROUND(G440*TaxRate/(1+TaxRate),2)))</f>
        <v/>
      </c>
      <c r="J440" s="12" t="str">
        <f>IF(G440="","",G440-I440)</f>
        <v/>
      </c>
      <c r="K440" s="13" t="str">
        <f>IF(A440="","",YEAR(A440))</f>
        <v/>
      </c>
    </row>
    <row r="441">
      <c r="A441" s="8" t="n"/>
      <c r="B441" s="9" t="n"/>
      <c r="C441" s="10" t="n"/>
      <c r="D441" s="10" t="n"/>
      <c r="E441" s="10" t="n"/>
      <c r="F441" s="10" t="n"/>
      <c r="G441" s="14" t="n"/>
      <c r="H441" s="9" t="n"/>
      <c r="I441" s="12" t="str">
        <f>IF(G441="","",IF(H441="לא",0,ROUND(G441*TaxRate/(1+TaxRate),2)))</f>
        <v/>
      </c>
      <c r="J441" s="12" t="str">
        <f>IF(G441="","",G441-I441)</f>
        <v/>
      </c>
      <c r="K441" s="13" t="str">
        <f>IF(A441="","",YEAR(A441))</f>
        <v/>
      </c>
    </row>
    <row r="442">
      <c r="A442" s="8" t="n"/>
      <c r="B442" s="9" t="n"/>
      <c r="C442" s="10" t="n"/>
      <c r="D442" s="10" t="n"/>
      <c r="E442" s="10" t="n"/>
      <c r="F442" s="10" t="n"/>
      <c r="G442" s="14" t="n"/>
      <c r="H442" s="9" t="n"/>
      <c r="I442" s="12" t="str">
        <f>IF(G442="","",IF(H442="לא",0,ROUND(G442*TaxRate/(1+TaxRate),2)))</f>
        <v/>
      </c>
      <c r="J442" s="12" t="str">
        <f>IF(G442="","",G442-I442)</f>
        <v/>
      </c>
      <c r="K442" s="13" t="str">
        <f>IF(A442="","",YEAR(A442))</f>
        <v/>
      </c>
    </row>
    <row r="443">
      <c r="A443" s="8" t="n"/>
      <c r="B443" s="9" t="n"/>
      <c r="C443" s="10" t="n"/>
      <c r="D443" s="10" t="n"/>
      <c r="E443" s="10" t="n"/>
      <c r="F443" s="10" t="n"/>
      <c r="G443" s="14" t="n"/>
      <c r="H443" s="9" t="n"/>
      <c r="I443" s="12" t="str">
        <f>IF(G443="","",IF(H443="לא",0,ROUND(G443*TaxRate/(1+TaxRate),2)))</f>
        <v/>
      </c>
      <c r="J443" s="12" t="str">
        <f>IF(G443="","",G443-I443)</f>
        <v/>
      </c>
      <c r="K443" s="13" t="str">
        <f>IF(A443="","",YEAR(A443))</f>
        <v/>
      </c>
    </row>
    <row r="444">
      <c r="A444" s="8" t="n"/>
      <c r="B444" s="9" t="n"/>
      <c r="C444" s="10" t="n"/>
      <c r="D444" s="10" t="n"/>
      <c r="E444" s="10" t="n"/>
      <c r="F444" s="10" t="n"/>
      <c r="G444" s="14" t="n"/>
      <c r="H444" s="9" t="n"/>
      <c r="I444" s="12" t="str">
        <f>IF(G444="","",IF(H444="לא",0,ROUND(G444*TaxRate/(1+TaxRate),2)))</f>
        <v/>
      </c>
      <c r="J444" s="12" t="str">
        <f>IF(G444="","",G444-I444)</f>
        <v/>
      </c>
      <c r="K444" s="13" t="str">
        <f>IF(A444="","",YEAR(A444))</f>
        <v/>
      </c>
    </row>
    <row r="445">
      <c r="A445" s="8" t="n"/>
      <c r="B445" s="9" t="n"/>
      <c r="C445" s="10" t="n"/>
      <c r="D445" s="10" t="n"/>
      <c r="E445" s="10" t="n"/>
      <c r="F445" s="10" t="n"/>
      <c r="G445" s="14" t="n"/>
      <c r="H445" s="9" t="n"/>
      <c r="I445" s="12" t="str">
        <f>IF(G445="","",IF(H445="לא",0,ROUND(G445*TaxRate/(1+TaxRate),2)))</f>
        <v/>
      </c>
      <c r="J445" s="12" t="str">
        <f>IF(G445="","",G445-I445)</f>
        <v/>
      </c>
      <c r="K445" s="13" t="str">
        <f>IF(A445="","",YEAR(A445))</f>
        <v/>
      </c>
    </row>
    <row r="446">
      <c r="A446" s="8" t="n"/>
      <c r="B446" s="9" t="n"/>
      <c r="C446" s="10" t="n"/>
      <c r="D446" s="10" t="n"/>
      <c r="E446" s="10" t="n"/>
      <c r="F446" s="10" t="n"/>
      <c r="G446" s="14" t="n"/>
      <c r="H446" s="9" t="n"/>
      <c r="I446" s="12" t="str">
        <f>IF(G446="","",IF(H446="לא",0,ROUND(G446*TaxRate/(1+TaxRate),2)))</f>
        <v/>
      </c>
      <c r="J446" s="12" t="str">
        <f>IF(G446="","",G446-I446)</f>
        <v/>
      </c>
      <c r="K446" s="13" t="str">
        <f>IF(A446="","",YEAR(A446))</f>
        <v/>
      </c>
    </row>
    <row r="447">
      <c r="A447" s="8" t="n"/>
      <c r="B447" s="9" t="n"/>
      <c r="C447" s="10" t="n"/>
      <c r="D447" s="10" t="n"/>
      <c r="E447" s="10" t="n"/>
      <c r="F447" s="10" t="n"/>
      <c r="G447" s="14" t="n"/>
      <c r="H447" s="9" t="n"/>
      <c r="I447" s="12" t="str">
        <f>IF(G447="","",IF(H447="לא",0,ROUND(G447*TaxRate/(1+TaxRate),2)))</f>
        <v/>
      </c>
      <c r="J447" s="12" t="str">
        <f>IF(G447="","",G447-I447)</f>
        <v/>
      </c>
      <c r="K447" s="13" t="str">
        <f>IF(A447="","",YEAR(A447))</f>
        <v/>
      </c>
    </row>
    <row r="448">
      <c r="A448" s="8" t="n"/>
      <c r="B448" s="9" t="n"/>
      <c r="C448" s="10" t="n"/>
      <c r="D448" s="10" t="n"/>
      <c r="E448" s="10" t="n"/>
      <c r="F448" s="10" t="n"/>
      <c r="G448" s="14" t="n"/>
      <c r="H448" s="9" t="n"/>
      <c r="I448" s="12" t="str">
        <f>IF(G448="","",IF(H448="לא",0,ROUND(G448*TaxRate/(1+TaxRate),2)))</f>
        <v/>
      </c>
      <c r="J448" s="12" t="str">
        <f>IF(G448="","",G448-I448)</f>
        <v/>
      </c>
      <c r="K448" s="13" t="str">
        <f>IF(A448="","",YEAR(A448))</f>
        <v/>
      </c>
    </row>
    <row r="449">
      <c r="A449" s="8" t="n"/>
      <c r="B449" s="9" t="n"/>
      <c r="C449" s="10" t="n"/>
      <c r="D449" s="10" t="n"/>
      <c r="E449" s="10" t="n"/>
      <c r="F449" s="10" t="n"/>
      <c r="G449" s="14" t="n"/>
      <c r="H449" s="9" t="n"/>
      <c r="I449" s="12" t="str">
        <f>IF(G449="","",IF(H449="לא",0,ROUND(G449*TaxRate/(1+TaxRate),2)))</f>
        <v/>
      </c>
      <c r="J449" s="12" t="str">
        <f>IF(G449="","",G449-I449)</f>
        <v/>
      </c>
      <c r="K449" s="13" t="str">
        <f>IF(A449="","",YEAR(A449))</f>
        <v/>
      </c>
    </row>
    <row r="450">
      <c r="A450" s="8" t="n"/>
      <c r="B450" s="9" t="n"/>
      <c r="C450" s="10" t="n"/>
      <c r="D450" s="10" t="n"/>
      <c r="E450" s="10" t="n"/>
      <c r="F450" s="10" t="n"/>
      <c r="G450" s="14" t="n"/>
      <c r="H450" s="9" t="n"/>
      <c r="I450" s="12" t="str">
        <f>IF(G450="","",IF(H450="לא",0,ROUND(G450*TaxRate/(1+TaxRate),2)))</f>
        <v/>
      </c>
      <c r="J450" s="12" t="str">
        <f>IF(G450="","",G450-I450)</f>
        <v/>
      </c>
      <c r="K450" s="13" t="str">
        <f>IF(A450="","",YEAR(A450))</f>
        <v/>
      </c>
    </row>
    <row r="451">
      <c r="A451" s="8" t="n"/>
      <c r="B451" s="9" t="n"/>
      <c r="C451" s="10" t="n"/>
      <c r="D451" s="10" t="n"/>
      <c r="E451" s="10" t="n"/>
      <c r="F451" s="10" t="n"/>
      <c r="G451" s="14" t="n"/>
      <c r="H451" s="9" t="n"/>
      <c r="I451" s="12" t="str">
        <f>IF(G451="","",IF(H451="לא",0,ROUND(G451*TaxRate/(1+TaxRate),2)))</f>
        <v/>
      </c>
      <c r="J451" s="12" t="str">
        <f>IF(G451="","",G451-I451)</f>
        <v/>
      </c>
      <c r="K451" s="13" t="str">
        <f>IF(A451="","",YEAR(A451))</f>
        <v/>
      </c>
    </row>
    <row r="452">
      <c r="A452" s="8" t="n"/>
      <c r="B452" s="9" t="n"/>
      <c r="C452" s="10" t="n"/>
      <c r="D452" s="10" t="n"/>
      <c r="E452" s="10" t="n"/>
      <c r="F452" s="10" t="n"/>
      <c r="G452" s="14" t="n"/>
      <c r="H452" s="9" t="n"/>
      <c r="I452" s="12" t="str">
        <f>IF(G452="","",IF(H452="לא",0,ROUND(G452*TaxRate/(1+TaxRate),2)))</f>
        <v/>
      </c>
      <c r="J452" s="12" t="str">
        <f>IF(G452="","",G452-I452)</f>
        <v/>
      </c>
      <c r="K452" s="13" t="str">
        <f>IF(A452="","",YEAR(A452))</f>
        <v/>
      </c>
    </row>
    <row r="453">
      <c r="A453" s="8" t="n"/>
      <c r="B453" s="9" t="n"/>
      <c r="C453" s="10" t="n"/>
      <c r="D453" s="10" t="n"/>
      <c r="E453" s="10" t="n"/>
      <c r="F453" s="10" t="n"/>
      <c r="G453" s="14" t="n"/>
      <c r="H453" s="9" t="n"/>
      <c r="I453" s="12" t="str">
        <f>IF(G453="","",IF(H453="לא",0,ROUND(G453*TaxRate/(1+TaxRate),2)))</f>
        <v/>
      </c>
      <c r="J453" s="12" t="str">
        <f>IF(G453="","",G453-I453)</f>
        <v/>
      </c>
      <c r="K453" s="13" t="str">
        <f>IF(A453="","",YEAR(A453))</f>
        <v/>
      </c>
    </row>
    <row r="454">
      <c r="A454" s="8" t="n"/>
      <c r="B454" s="9" t="n"/>
      <c r="C454" s="10" t="n"/>
      <c r="D454" s="10" t="n"/>
      <c r="E454" s="10" t="n"/>
      <c r="F454" s="10" t="n"/>
      <c r="G454" s="14" t="n"/>
      <c r="H454" s="9" t="n"/>
      <c r="I454" s="12" t="str">
        <f>IF(G454="","",IF(H454="לא",0,ROUND(G454*TaxRate/(1+TaxRate),2)))</f>
        <v/>
      </c>
      <c r="J454" s="12" t="str">
        <f>IF(G454="","",G454-I454)</f>
        <v/>
      </c>
      <c r="K454" s="13" t="str">
        <f>IF(A454="","",YEAR(A454))</f>
        <v/>
      </c>
    </row>
    <row r="455">
      <c r="A455" s="8" t="n"/>
      <c r="B455" s="9" t="n"/>
      <c r="C455" s="10" t="n"/>
      <c r="D455" s="10" t="n"/>
      <c r="E455" s="10" t="n"/>
      <c r="F455" s="10" t="n"/>
      <c r="G455" s="14" t="n"/>
      <c r="H455" s="9" t="n"/>
      <c r="I455" s="12" t="str">
        <f>IF(G455="","",IF(H455="לא",0,ROUND(G455*TaxRate/(1+TaxRate),2)))</f>
        <v/>
      </c>
      <c r="J455" s="12" t="str">
        <f>IF(G455="","",G455-I455)</f>
        <v/>
      </c>
      <c r="K455" s="13" t="str">
        <f>IF(A455="","",YEAR(A455))</f>
        <v/>
      </c>
    </row>
    <row r="456">
      <c r="A456" s="8" t="n"/>
      <c r="B456" s="9" t="n"/>
      <c r="C456" s="10" t="n"/>
      <c r="D456" s="10" t="n"/>
      <c r="E456" s="10" t="n"/>
      <c r="F456" s="10" t="n"/>
      <c r="G456" s="14" t="n"/>
      <c r="H456" s="9" t="n"/>
      <c r="I456" s="12" t="str">
        <f>IF(G456="","",IF(H456="לא",0,ROUND(G456*TaxRate/(1+TaxRate),2)))</f>
        <v/>
      </c>
      <c r="J456" s="12" t="str">
        <f>IF(G456="","",G456-I456)</f>
        <v/>
      </c>
      <c r="K456" s="13" t="str">
        <f>IF(A456="","",YEAR(A456))</f>
        <v/>
      </c>
    </row>
    <row r="457">
      <c r="A457" s="8" t="n"/>
      <c r="B457" s="9" t="n"/>
      <c r="C457" s="10" t="n"/>
      <c r="D457" s="10" t="n"/>
      <c r="E457" s="10" t="n"/>
      <c r="F457" s="10" t="n"/>
      <c r="G457" s="14" t="n"/>
      <c r="H457" s="9" t="n"/>
      <c r="I457" s="12" t="str">
        <f>IF(G457="","",IF(H457="לא",0,ROUND(G457*TaxRate/(1+TaxRate),2)))</f>
        <v/>
      </c>
      <c r="J457" s="12" t="str">
        <f>IF(G457="","",G457-I457)</f>
        <v/>
      </c>
      <c r="K457" s="13" t="str">
        <f>IF(A457="","",YEAR(A457))</f>
        <v/>
      </c>
    </row>
    <row r="458">
      <c r="A458" s="8" t="n"/>
      <c r="B458" s="9" t="n"/>
      <c r="C458" s="10" t="n"/>
      <c r="D458" s="10" t="n"/>
      <c r="E458" s="10" t="n"/>
      <c r="F458" s="10" t="n"/>
      <c r="G458" s="14" t="n"/>
      <c r="H458" s="9" t="n"/>
      <c r="I458" s="12" t="str">
        <f>IF(G458="","",IF(H458="לא",0,ROUND(G458*TaxRate/(1+TaxRate),2)))</f>
        <v/>
      </c>
      <c r="J458" s="12" t="str">
        <f>IF(G458="","",G458-I458)</f>
        <v/>
      </c>
      <c r="K458" s="13" t="str">
        <f>IF(A458="","",YEAR(A458))</f>
        <v/>
      </c>
    </row>
    <row r="459">
      <c r="A459" s="8" t="n"/>
      <c r="B459" s="9" t="n"/>
      <c r="C459" s="10" t="n"/>
      <c r="D459" s="10" t="n"/>
      <c r="E459" s="10" t="n"/>
      <c r="F459" s="10" t="n"/>
      <c r="G459" s="14" t="n"/>
      <c r="H459" s="9" t="n"/>
      <c r="I459" s="12" t="str">
        <f>IF(G459="","",IF(H459="לא",0,ROUND(G459*TaxRate/(1+TaxRate),2)))</f>
        <v/>
      </c>
      <c r="J459" s="12" t="str">
        <f>IF(G459="","",G459-I459)</f>
        <v/>
      </c>
      <c r="K459" s="13" t="str">
        <f>IF(A459="","",YEAR(A459))</f>
        <v/>
      </c>
    </row>
    <row r="460">
      <c r="A460" s="8" t="n"/>
      <c r="B460" s="9" t="n"/>
      <c r="C460" s="10" t="n"/>
      <c r="D460" s="10" t="n"/>
      <c r="E460" s="10" t="n"/>
      <c r="F460" s="10" t="n"/>
      <c r="G460" s="14" t="n"/>
      <c r="H460" s="9" t="n"/>
      <c r="I460" s="12" t="str">
        <f>IF(G460="","",IF(H460="לא",0,ROUND(G460*TaxRate/(1+TaxRate),2)))</f>
        <v/>
      </c>
      <c r="J460" s="12" t="str">
        <f>IF(G460="","",G460-I460)</f>
        <v/>
      </c>
      <c r="K460" s="13" t="str">
        <f>IF(A460="","",YEAR(A460))</f>
        <v/>
      </c>
    </row>
    <row r="461">
      <c r="A461" s="8" t="n"/>
      <c r="B461" s="9" t="n"/>
      <c r="C461" s="10" t="n"/>
      <c r="D461" s="10" t="n"/>
      <c r="E461" s="10" t="n"/>
      <c r="F461" s="10" t="n"/>
      <c r="G461" s="14" t="n"/>
      <c r="H461" s="9" t="n"/>
      <c r="I461" s="12" t="str">
        <f>IF(G461="","",IF(H461="לא",0,ROUND(G461*TaxRate/(1+TaxRate),2)))</f>
        <v/>
      </c>
      <c r="J461" s="12" t="str">
        <f>IF(G461="","",G461-I461)</f>
        <v/>
      </c>
      <c r="K461" s="13" t="str">
        <f>IF(A461="","",YEAR(A461))</f>
        <v/>
      </c>
    </row>
    <row r="462">
      <c r="A462" s="8" t="n"/>
      <c r="B462" s="9" t="n"/>
      <c r="C462" s="10" t="n"/>
      <c r="D462" s="10" t="n"/>
      <c r="E462" s="10" t="n"/>
      <c r="F462" s="10" t="n"/>
      <c r="G462" s="14" t="n"/>
      <c r="H462" s="9" t="n"/>
      <c r="I462" s="12" t="str">
        <f>IF(G462="","",IF(H462="לא",0,ROUND(G462*TaxRate/(1+TaxRate),2)))</f>
        <v/>
      </c>
      <c r="J462" s="12" t="str">
        <f>IF(G462="","",G462-I462)</f>
        <v/>
      </c>
      <c r="K462" s="13" t="str">
        <f>IF(A462="","",YEAR(A462))</f>
        <v/>
      </c>
    </row>
    <row r="463">
      <c r="A463" s="8" t="n"/>
      <c r="B463" s="9" t="n"/>
      <c r="C463" s="10" t="n"/>
      <c r="D463" s="10" t="n"/>
      <c r="E463" s="10" t="n"/>
      <c r="F463" s="10" t="n"/>
      <c r="G463" s="14" t="n"/>
      <c r="H463" s="9" t="n"/>
      <c r="I463" s="12" t="str">
        <f>IF(G463="","",IF(H463="לא",0,ROUND(G463*TaxRate/(1+TaxRate),2)))</f>
        <v/>
      </c>
      <c r="J463" s="12" t="str">
        <f>IF(G463="","",G463-I463)</f>
        <v/>
      </c>
      <c r="K463" s="13" t="str">
        <f>IF(A463="","",YEAR(A463))</f>
        <v/>
      </c>
    </row>
    <row r="464">
      <c r="A464" s="8" t="n"/>
      <c r="B464" s="9" t="n"/>
      <c r="C464" s="10" t="n"/>
      <c r="D464" s="10" t="n"/>
      <c r="E464" s="10" t="n"/>
      <c r="F464" s="10" t="n"/>
      <c r="G464" s="14" t="n"/>
      <c r="H464" s="9" t="n"/>
      <c r="I464" s="12" t="str">
        <f>IF(G464="","",IF(H464="לא",0,ROUND(G464*TaxRate/(1+TaxRate),2)))</f>
        <v/>
      </c>
      <c r="J464" s="12" t="str">
        <f>IF(G464="","",G464-I464)</f>
        <v/>
      </c>
      <c r="K464" s="13" t="str">
        <f>IF(A464="","",YEAR(A464))</f>
        <v/>
      </c>
    </row>
    <row r="465">
      <c r="A465" s="8" t="n"/>
      <c r="B465" s="9" t="n"/>
      <c r="C465" s="10" t="n"/>
      <c r="D465" s="10" t="n"/>
      <c r="E465" s="10" t="n"/>
      <c r="F465" s="10" t="n"/>
      <c r="G465" s="14" t="n"/>
      <c r="H465" s="9" t="n"/>
      <c r="I465" s="12" t="str">
        <f>IF(G465="","",IF(H465="לא",0,ROUND(G465*TaxRate/(1+TaxRate),2)))</f>
        <v/>
      </c>
      <c r="J465" s="12" t="str">
        <f>IF(G465="","",G465-I465)</f>
        <v/>
      </c>
      <c r="K465" s="13" t="str">
        <f>IF(A465="","",YEAR(A465))</f>
        <v/>
      </c>
    </row>
    <row r="466">
      <c r="A466" s="8" t="n"/>
      <c r="B466" s="9" t="n"/>
      <c r="C466" s="10" t="n"/>
      <c r="D466" s="10" t="n"/>
      <c r="E466" s="10" t="n"/>
      <c r="F466" s="10" t="n"/>
      <c r="G466" s="14" t="n"/>
      <c r="H466" s="9" t="n"/>
      <c r="I466" s="12" t="str">
        <f>IF(G466="","",IF(H466="לא",0,ROUND(G466*TaxRate/(1+TaxRate),2)))</f>
        <v/>
      </c>
      <c r="J466" s="12" t="str">
        <f>IF(G466="","",G466-I466)</f>
        <v/>
      </c>
      <c r="K466" s="13" t="str">
        <f>IF(A466="","",YEAR(A466))</f>
        <v/>
      </c>
    </row>
    <row r="467">
      <c r="A467" s="8" t="n"/>
      <c r="B467" s="9" t="n"/>
      <c r="C467" s="10" t="n"/>
      <c r="D467" s="10" t="n"/>
      <c r="E467" s="10" t="n"/>
      <c r="F467" s="10" t="n"/>
      <c r="G467" s="14" t="n"/>
      <c r="H467" s="9" t="n"/>
      <c r="I467" s="12" t="str">
        <f>IF(G467="","",IF(H467="לא",0,ROUND(G467*TaxRate/(1+TaxRate),2)))</f>
        <v/>
      </c>
      <c r="J467" s="12" t="str">
        <f>IF(G467="","",G467-I467)</f>
        <v/>
      </c>
      <c r="K467" s="13" t="str">
        <f>IF(A467="","",YEAR(A467))</f>
        <v/>
      </c>
    </row>
    <row r="468">
      <c r="A468" s="8" t="n"/>
      <c r="B468" s="9" t="n"/>
      <c r="C468" s="10" t="n"/>
      <c r="D468" s="10" t="n"/>
      <c r="E468" s="10" t="n"/>
      <c r="F468" s="10" t="n"/>
      <c r="G468" s="14" t="n"/>
      <c r="H468" s="9" t="n"/>
      <c r="I468" s="12" t="str">
        <f>IF(G468="","",IF(H468="לא",0,ROUND(G468*TaxRate/(1+TaxRate),2)))</f>
        <v/>
      </c>
      <c r="J468" s="12" t="str">
        <f>IF(G468="","",G468-I468)</f>
        <v/>
      </c>
      <c r="K468" s="13" t="str">
        <f>IF(A468="","",YEAR(A468))</f>
        <v/>
      </c>
    </row>
    <row r="469">
      <c r="A469" s="8" t="n"/>
      <c r="B469" s="9" t="n"/>
      <c r="C469" s="10" t="n"/>
      <c r="D469" s="10" t="n"/>
      <c r="E469" s="10" t="n"/>
      <c r="F469" s="10" t="n"/>
      <c r="G469" s="14" t="n"/>
      <c r="H469" s="9" t="n"/>
      <c r="I469" s="12" t="str">
        <f>IF(G469="","",IF(H469="לא",0,ROUND(G469*TaxRate/(1+TaxRate),2)))</f>
        <v/>
      </c>
      <c r="J469" s="12" t="str">
        <f>IF(G469="","",G469-I469)</f>
        <v/>
      </c>
      <c r="K469" s="13" t="str">
        <f>IF(A469="","",YEAR(A469))</f>
        <v/>
      </c>
    </row>
    <row r="470">
      <c r="A470" s="8" t="n"/>
      <c r="B470" s="9" t="n"/>
      <c r="C470" s="10" t="n"/>
      <c r="D470" s="10" t="n"/>
      <c r="E470" s="10" t="n"/>
      <c r="F470" s="10" t="n"/>
      <c r="G470" s="14" t="n"/>
      <c r="H470" s="9" t="n"/>
      <c r="I470" s="12" t="str">
        <f>IF(G470="","",IF(H470="לא",0,ROUND(G470*TaxRate/(1+TaxRate),2)))</f>
        <v/>
      </c>
      <c r="J470" s="12" t="str">
        <f>IF(G470="","",G470-I470)</f>
        <v/>
      </c>
      <c r="K470" s="13" t="str">
        <f>IF(A470="","",YEAR(A470))</f>
        <v/>
      </c>
    </row>
    <row r="471">
      <c r="A471" s="8" t="n"/>
      <c r="B471" s="9" t="n"/>
      <c r="C471" s="10" t="n"/>
      <c r="D471" s="10" t="n"/>
      <c r="E471" s="10" t="n"/>
      <c r="F471" s="10" t="n"/>
      <c r="G471" s="14" t="n"/>
      <c r="H471" s="9" t="n"/>
      <c r="I471" s="12" t="str">
        <f>IF(G471="","",IF(H471="לא",0,ROUND(G471*TaxRate/(1+TaxRate),2)))</f>
        <v/>
      </c>
      <c r="J471" s="12" t="str">
        <f>IF(G471="","",G471-I471)</f>
        <v/>
      </c>
      <c r="K471" s="13" t="str">
        <f>IF(A471="","",YEAR(A471))</f>
        <v/>
      </c>
    </row>
    <row r="472">
      <c r="A472" s="8" t="n"/>
      <c r="B472" s="9" t="n"/>
      <c r="C472" s="10" t="n"/>
      <c r="D472" s="10" t="n"/>
      <c r="E472" s="10" t="n"/>
      <c r="F472" s="10" t="n"/>
      <c r="G472" s="14" t="n"/>
      <c r="H472" s="9" t="n"/>
      <c r="I472" s="12" t="str">
        <f>IF(G472="","",IF(H472="לא",0,ROUND(G472*TaxRate/(1+TaxRate),2)))</f>
        <v/>
      </c>
      <c r="J472" s="12" t="str">
        <f>IF(G472="","",G472-I472)</f>
        <v/>
      </c>
      <c r="K472" s="13" t="str">
        <f>IF(A472="","",YEAR(A472))</f>
        <v/>
      </c>
    </row>
    <row r="473">
      <c r="A473" s="8" t="n"/>
      <c r="B473" s="9" t="n"/>
      <c r="C473" s="10" t="n"/>
      <c r="D473" s="10" t="n"/>
      <c r="E473" s="10" t="n"/>
      <c r="F473" s="10" t="n"/>
      <c r="G473" s="14" t="n"/>
      <c r="H473" s="9" t="n"/>
      <c r="I473" s="12" t="str">
        <f>IF(G473="","",IF(H473="לא",0,ROUND(G473*TaxRate/(1+TaxRate),2)))</f>
        <v/>
      </c>
      <c r="J473" s="12" t="str">
        <f>IF(G473="","",G473-I473)</f>
        <v/>
      </c>
      <c r="K473" s="13" t="str">
        <f>IF(A473="","",YEAR(A473))</f>
        <v/>
      </c>
    </row>
    <row r="474">
      <c r="A474" s="8" t="n"/>
      <c r="B474" s="9" t="n"/>
      <c r="C474" s="10" t="n"/>
      <c r="D474" s="10" t="n"/>
      <c r="E474" s="10" t="n"/>
      <c r="F474" s="10" t="n"/>
      <c r="G474" s="14" t="n"/>
      <c r="H474" s="9" t="n"/>
      <c r="I474" s="12" t="str">
        <f>IF(G474="","",IF(H474="לא",0,ROUND(G474*TaxRate/(1+TaxRate),2)))</f>
        <v/>
      </c>
      <c r="J474" s="12" t="str">
        <f>IF(G474="","",G474-I474)</f>
        <v/>
      </c>
      <c r="K474" s="13" t="str">
        <f>IF(A474="","",YEAR(A474))</f>
        <v/>
      </c>
    </row>
    <row r="475">
      <c r="A475" s="8" t="n"/>
      <c r="B475" s="9" t="n"/>
      <c r="C475" s="10" t="n"/>
      <c r="D475" s="10" t="n"/>
      <c r="E475" s="10" t="n"/>
      <c r="F475" s="10" t="n"/>
      <c r="G475" s="14" t="n"/>
      <c r="H475" s="9" t="n"/>
      <c r="I475" s="12" t="str">
        <f>IF(G475="","",IF(H475="לא",0,ROUND(G475*TaxRate/(1+TaxRate),2)))</f>
        <v/>
      </c>
      <c r="J475" s="12" t="str">
        <f>IF(G475="","",G475-I475)</f>
        <v/>
      </c>
      <c r="K475" s="13" t="str">
        <f>IF(A475="","",YEAR(A475))</f>
        <v/>
      </c>
    </row>
    <row r="476">
      <c r="A476" s="8" t="n"/>
      <c r="B476" s="9" t="n"/>
      <c r="C476" s="10" t="n"/>
      <c r="D476" s="10" t="n"/>
      <c r="E476" s="10" t="n"/>
      <c r="F476" s="10" t="n"/>
      <c r="G476" s="14" t="n"/>
      <c r="H476" s="9" t="n"/>
      <c r="I476" s="12" t="str">
        <f>IF(G476="","",IF(H476="לא",0,ROUND(G476*TaxRate/(1+TaxRate),2)))</f>
        <v/>
      </c>
      <c r="J476" s="12" t="str">
        <f>IF(G476="","",G476-I476)</f>
        <v/>
      </c>
      <c r="K476" s="13" t="str">
        <f>IF(A476="","",YEAR(A476))</f>
        <v/>
      </c>
    </row>
    <row r="477">
      <c r="A477" s="8" t="n"/>
      <c r="B477" s="9" t="n"/>
      <c r="C477" s="10" t="n"/>
      <c r="D477" s="10" t="n"/>
      <c r="E477" s="10" t="n"/>
      <c r="F477" s="10" t="n"/>
      <c r="G477" s="14" t="n"/>
      <c r="H477" s="9" t="n"/>
      <c r="I477" s="12" t="str">
        <f>IF(G477="","",IF(H477="לא",0,ROUND(G477*TaxRate/(1+TaxRate),2)))</f>
        <v/>
      </c>
      <c r="J477" s="12" t="str">
        <f>IF(G477="","",G477-I477)</f>
        <v/>
      </c>
      <c r="K477" s="13" t="str">
        <f>IF(A477="","",YEAR(A477))</f>
        <v/>
      </c>
    </row>
    <row r="478">
      <c r="A478" s="8" t="n"/>
      <c r="B478" s="9" t="n"/>
      <c r="C478" s="10" t="n"/>
      <c r="D478" s="10" t="n"/>
      <c r="E478" s="10" t="n"/>
      <c r="F478" s="10" t="n"/>
      <c r="G478" s="14" t="n"/>
      <c r="H478" s="9" t="n"/>
      <c r="I478" s="12" t="str">
        <f>IF(G478="","",IF(H478="לא",0,ROUND(G478*TaxRate/(1+TaxRate),2)))</f>
        <v/>
      </c>
      <c r="J478" s="12" t="str">
        <f>IF(G478="","",G478-I478)</f>
        <v/>
      </c>
      <c r="K478" s="13" t="str">
        <f>IF(A478="","",YEAR(A478))</f>
        <v/>
      </c>
    </row>
    <row r="479">
      <c r="A479" s="8" t="n"/>
      <c r="B479" s="9" t="n"/>
      <c r="C479" s="10" t="n"/>
      <c r="D479" s="10" t="n"/>
      <c r="E479" s="10" t="n"/>
      <c r="F479" s="10" t="n"/>
      <c r="G479" s="14" t="n"/>
      <c r="H479" s="9" t="n"/>
      <c r="I479" s="12" t="str">
        <f>IF(G479="","",IF(H479="לא",0,ROUND(G479*TaxRate/(1+TaxRate),2)))</f>
        <v/>
      </c>
      <c r="J479" s="12" t="str">
        <f>IF(G479="","",G479-I479)</f>
        <v/>
      </c>
      <c r="K479" s="13" t="str">
        <f>IF(A479="","",YEAR(A479))</f>
        <v/>
      </c>
    </row>
    <row r="480">
      <c r="A480" s="8" t="n"/>
      <c r="B480" s="9" t="n"/>
      <c r="C480" s="10" t="n"/>
      <c r="D480" s="10" t="n"/>
      <c r="E480" s="10" t="n"/>
      <c r="F480" s="10" t="n"/>
      <c r="G480" s="14" t="n"/>
      <c r="H480" s="9" t="n"/>
      <c r="I480" s="12" t="str">
        <f>IF(G480="","",IF(H480="לא",0,ROUND(G480*TaxRate/(1+TaxRate),2)))</f>
        <v/>
      </c>
      <c r="J480" s="12" t="str">
        <f>IF(G480="","",G480-I480)</f>
        <v/>
      </c>
      <c r="K480" s="13" t="str">
        <f>IF(A480="","",YEAR(A480))</f>
        <v/>
      </c>
    </row>
    <row r="481">
      <c r="A481" s="8" t="n"/>
      <c r="B481" s="9" t="n"/>
      <c r="C481" s="10" t="n"/>
      <c r="D481" s="10" t="n"/>
      <c r="E481" s="10" t="n"/>
      <c r="F481" s="10" t="n"/>
      <c r="G481" s="14" t="n"/>
      <c r="H481" s="9" t="n"/>
      <c r="I481" s="12" t="str">
        <f>IF(G481="","",IF(H481="לא",0,ROUND(G481*TaxRate/(1+TaxRate),2)))</f>
        <v/>
      </c>
      <c r="J481" s="12" t="str">
        <f>IF(G481="","",G481-I481)</f>
        <v/>
      </c>
      <c r="K481" s="13" t="str">
        <f>IF(A481="","",YEAR(A481))</f>
        <v/>
      </c>
    </row>
    <row r="482">
      <c r="A482" s="8" t="n"/>
      <c r="B482" s="9" t="n"/>
      <c r="C482" s="10" t="n"/>
      <c r="D482" s="10" t="n"/>
      <c r="E482" s="10" t="n"/>
      <c r="F482" s="10" t="n"/>
      <c r="G482" s="14" t="n"/>
      <c r="H482" s="9" t="n"/>
      <c r="I482" s="12" t="str">
        <f>IF(G482="","",IF(H482="לא",0,ROUND(G482*TaxRate/(1+TaxRate),2)))</f>
        <v/>
      </c>
      <c r="J482" s="12" t="str">
        <f>IF(G482="","",G482-I482)</f>
        <v/>
      </c>
      <c r="K482" s="13" t="str">
        <f>IF(A482="","",YEAR(A482))</f>
        <v/>
      </c>
    </row>
    <row r="483">
      <c r="A483" s="8" t="n"/>
      <c r="B483" s="9" t="n"/>
      <c r="C483" s="10" t="n"/>
      <c r="D483" s="10" t="n"/>
      <c r="E483" s="10" t="n"/>
      <c r="F483" s="10" t="n"/>
      <c r="G483" s="14" t="n"/>
      <c r="H483" s="9" t="n"/>
      <c r="I483" s="12" t="str">
        <f>IF(G483="","",IF(H483="לא",0,ROUND(G483*TaxRate/(1+TaxRate),2)))</f>
        <v/>
      </c>
      <c r="J483" s="12" t="str">
        <f>IF(G483="","",G483-I483)</f>
        <v/>
      </c>
      <c r="K483" s="13" t="str">
        <f>IF(A483="","",YEAR(A483))</f>
        <v/>
      </c>
    </row>
    <row r="484">
      <c r="A484" s="8" t="n"/>
      <c r="B484" s="9" t="n"/>
      <c r="C484" s="10" t="n"/>
      <c r="D484" s="10" t="n"/>
      <c r="E484" s="10" t="n"/>
      <c r="F484" s="10" t="n"/>
      <c r="G484" s="14" t="n"/>
      <c r="H484" s="9" t="n"/>
      <c r="I484" s="12" t="str">
        <f>IF(G484="","",IF(H484="לא",0,ROUND(G484*TaxRate/(1+TaxRate),2)))</f>
        <v/>
      </c>
      <c r="J484" s="12" t="str">
        <f>IF(G484="","",G484-I484)</f>
        <v/>
      </c>
      <c r="K484" s="13" t="str">
        <f>IF(A484="","",YEAR(A484))</f>
        <v/>
      </c>
    </row>
    <row r="485">
      <c r="A485" s="8" t="n"/>
      <c r="B485" s="9" t="n"/>
      <c r="C485" s="10" t="n"/>
      <c r="D485" s="10" t="n"/>
      <c r="E485" s="10" t="n"/>
      <c r="F485" s="10" t="n"/>
      <c r="G485" s="14" t="n"/>
      <c r="H485" s="9" t="n"/>
      <c r="I485" s="12" t="str">
        <f>IF(G485="","",IF(H485="לא",0,ROUND(G485*TaxRate/(1+TaxRate),2)))</f>
        <v/>
      </c>
      <c r="J485" s="12" t="str">
        <f>IF(G485="","",G485-I485)</f>
        <v/>
      </c>
      <c r="K485" s="13" t="str">
        <f>IF(A485="","",YEAR(A485))</f>
        <v/>
      </c>
    </row>
    <row r="486">
      <c r="A486" s="8" t="n"/>
      <c r="B486" s="9" t="n"/>
      <c r="C486" s="10" t="n"/>
      <c r="D486" s="10" t="n"/>
      <c r="E486" s="10" t="n"/>
      <c r="F486" s="10" t="n"/>
      <c r="G486" s="14" t="n"/>
      <c r="H486" s="9" t="n"/>
      <c r="I486" s="12" t="str">
        <f>IF(G486="","",IF(H486="לא",0,ROUND(G486*TaxRate/(1+TaxRate),2)))</f>
        <v/>
      </c>
      <c r="J486" s="12" t="str">
        <f>IF(G486="","",G486-I486)</f>
        <v/>
      </c>
      <c r="K486" s="13" t="str">
        <f>IF(A486="","",YEAR(A486))</f>
        <v/>
      </c>
    </row>
    <row r="487">
      <c r="A487" s="8" t="n"/>
      <c r="B487" s="9" t="n"/>
      <c r="C487" s="10" t="n"/>
      <c r="D487" s="10" t="n"/>
      <c r="E487" s="10" t="n"/>
      <c r="F487" s="10" t="n"/>
      <c r="G487" s="14" t="n"/>
      <c r="H487" s="9" t="n"/>
      <c r="I487" s="12" t="str">
        <f>IF(G487="","",IF(H487="לא",0,ROUND(G487*TaxRate/(1+TaxRate),2)))</f>
        <v/>
      </c>
      <c r="J487" s="12" t="str">
        <f>IF(G487="","",G487-I487)</f>
        <v/>
      </c>
      <c r="K487" s="13" t="str">
        <f>IF(A487="","",YEAR(A487))</f>
        <v/>
      </c>
    </row>
    <row r="488">
      <c r="A488" s="8" t="n"/>
      <c r="B488" s="9" t="n"/>
      <c r="C488" s="10" t="n"/>
      <c r="D488" s="10" t="n"/>
      <c r="E488" s="10" t="n"/>
      <c r="F488" s="10" t="n"/>
      <c r="G488" s="14" t="n"/>
      <c r="H488" s="9" t="n"/>
      <c r="I488" s="12" t="str">
        <f>IF(G488="","",IF(H488="לא",0,ROUND(G488*TaxRate/(1+TaxRate),2)))</f>
        <v/>
      </c>
      <c r="J488" s="12" t="str">
        <f>IF(G488="","",G488-I488)</f>
        <v/>
      </c>
      <c r="K488" s="13" t="str">
        <f>IF(A488="","",YEAR(A488))</f>
        <v/>
      </c>
    </row>
    <row r="489">
      <c r="A489" s="8" t="n"/>
      <c r="B489" s="9" t="n"/>
      <c r="C489" s="10" t="n"/>
      <c r="D489" s="10" t="n"/>
      <c r="E489" s="10" t="n"/>
      <c r="F489" s="10" t="n"/>
      <c r="G489" s="14" t="n"/>
      <c r="H489" s="9" t="n"/>
      <c r="I489" s="12" t="str">
        <f>IF(G489="","",IF(H489="לא",0,ROUND(G489*TaxRate/(1+TaxRate),2)))</f>
        <v/>
      </c>
      <c r="J489" s="12" t="str">
        <f>IF(G489="","",G489-I489)</f>
        <v/>
      </c>
      <c r="K489" s="13" t="str">
        <f>IF(A489="","",YEAR(A489))</f>
        <v/>
      </c>
    </row>
    <row r="490">
      <c r="A490" s="8" t="n"/>
      <c r="B490" s="9" t="n"/>
      <c r="C490" s="10" t="n"/>
      <c r="D490" s="10" t="n"/>
      <c r="E490" s="10" t="n"/>
      <c r="F490" s="10" t="n"/>
      <c r="G490" s="14" t="n"/>
      <c r="H490" s="9" t="n"/>
      <c r="I490" s="12" t="str">
        <f>IF(G490="","",IF(H490="לא",0,ROUND(G490*TaxRate/(1+TaxRate),2)))</f>
        <v/>
      </c>
      <c r="J490" s="12" t="str">
        <f>IF(G490="","",G490-I490)</f>
        <v/>
      </c>
      <c r="K490" s="13" t="str">
        <f>IF(A490="","",YEAR(A490))</f>
        <v/>
      </c>
    </row>
    <row r="491">
      <c r="A491" s="8" t="n"/>
      <c r="B491" s="9" t="n"/>
      <c r="C491" s="10" t="n"/>
      <c r="D491" s="10" t="n"/>
      <c r="E491" s="10" t="n"/>
      <c r="F491" s="10" t="n"/>
      <c r="G491" s="14" t="n"/>
      <c r="H491" s="9" t="n"/>
      <c r="I491" s="12" t="str">
        <f>IF(G491="","",IF(H491="לא",0,ROUND(G491*TaxRate/(1+TaxRate),2)))</f>
        <v/>
      </c>
      <c r="J491" s="12" t="str">
        <f>IF(G491="","",G491-I491)</f>
        <v/>
      </c>
      <c r="K491" s="13" t="str">
        <f>IF(A491="","",YEAR(A491))</f>
        <v/>
      </c>
    </row>
    <row r="492">
      <c r="A492" s="8" t="n"/>
      <c r="B492" s="9" t="n"/>
      <c r="C492" s="10" t="n"/>
      <c r="D492" s="10" t="n"/>
      <c r="E492" s="10" t="n"/>
      <c r="F492" s="10" t="n"/>
      <c r="G492" s="14" t="n"/>
      <c r="H492" s="9" t="n"/>
      <c r="I492" s="12" t="str">
        <f>IF(G492="","",IF(H492="לא",0,ROUND(G492*TaxRate/(1+TaxRate),2)))</f>
        <v/>
      </c>
      <c r="J492" s="12" t="str">
        <f>IF(G492="","",G492-I492)</f>
        <v/>
      </c>
      <c r="K492" s="13" t="str">
        <f>IF(A492="","",YEAR(A492))</f>
        <v/>
      </c>
    </row>
    <row r="493">
      <c r="A493" s="8" t="n"/>
      <c r="B493" s="9" t="n"/>
      <c r="C493" s="10" t="n"/>
      <c r="D493" s="10" t="n"/>
      <c r="E493" s="10" t="n"/>
      <c r="F493" s="10" t="n"/>
      <c r="G493" s="14" t="n"/>
      <c r="H493" s="9" t="n"/>
      <c r="I493" s="12" t="str">
        <f>IF(G493="","",IF(H493="לא",0,ROUND(G493*TaxRate/(1+TaxRate),2)))</f>
        <v/>
      </c>
      <c r="J493" s="12" t="str">
        <f>IF(G493="","",G493-I493)</f>
        <v/>
      </c>
      <c r="K493" s="13" t="str">
        <f>IF(A493="","",YEAR(A493))</f>
        <v/>
      </c>
    </row>
    <row r="494">
      <c r="A494" s="8" t="n"/>
      <c r="B494" s="9" t="n"/>
      <c r="C494" s="10" t="n"/>
      <c r="D494" s="10" t="n"/>
      <c r="E494" s="10" t="n"/>
      <c r="F494" s="10" t="n"/>
      <c r="G494" s="14" t="n"/>
      <c r="H494" s="9" t="n"/>
      <c r="I494" s="12" t="str">
        <f>IF(G494="","",IF(H494="לא",0,ROUND(G494*TaxRate/(1+TaxRate),2)))</f>
        <v/>
      </c>
      <c r="J494" s="12" t="str">
        <f>IF(G494="","",G494-I494)</f>
        <v/>
      </c>
      <c r="K494" s="13" t="str">
        <f>IF(A494="","",YEAR(A494))</f>
        <v/>
      </c>
    </row>
    <row r="495">
      <c r="A495" s="8" t="n"/>
      <c r="B495" s="9" t="n"/>
      <c r="C495" s="10" t="n"/>
      <c r="D495" s="10" t="n"/>
      <c r="E495" s="10" t="n"/>
      <c r="F495" s="10" t="n"/>
      <c r="G495" s="14" t="n"/>
      <c r="H495" s="9" t="n"/>
      <c r="I495" s="12" t="str">
        <f>IF(G495="","",IF(H495="לא",0,ROUND(G495*TaxRate/(1+TaxRate),2)))</f>
        <v/>
      </c>
      <c r="J495" s="12" t="str">
        <f>IF(G495="","",G495-I495)</f>
        <v/>
      </c>
      <c r="K495" s="13" t="str">
        <f>IF(A495="","",YEAR(A495))</f>
        <v/>
      </c>
    </row>
    <row r="496">
      <c r="A496" s="8" t="n"/>
      <c r="B496" s="9" t="n"/>
      <c r="C496" s="10" t="n"/>
      <c r="D496" s="10" t="n"/>
      <c r="E496" s="10" t="n"/>
      <c r="F496" s="10" t="n"/>
      <c r="G496" s="14" t="n"/>
      <c r="H496" s="9" t="n"/>
      <c r="I496" s="12" t="str">
        <f>IF(G496="","",IF(H496="לא",0,ROUND(G496*TaxRate/(1+TaxRate),2)))</f>
        <v/>
      </c>
      <c r="J496" s="12" t="str">
        <f>IF(G496="","",G496-I496)</f>
        <v/>
      </c>
      <c r="K496" s="13" t="str">
        <f>IF(A496="","",YEAR(A496))</f>
        <v/>
      </c>
    </row>
    <row r="497">
      <c r="A497" s="8" t="n"/>
      <c r="B497" s="9" t="n"/>
      <c r="C497" s="10" t="n"/>
      <c r="D497" s="10" t="n"/>
      <c r="E497" s="10" t="n"/>
      <c r="F497" s="10" t="n"/>
      <c r="G497" s="14" t="n"/>
      <c r="H497" s="9" t="n"/>
      <c r="I497" s="12" t="str">
        <f>IF(G497="","",IF(H497="לא",0,ROUND(G497*TaxRate/(1+TaxRate),2)))</f>
        <v/>
      </c>
      <c r="J497" s="12" t="str">
        <f>IF(G497="","",G497-I497)</f>
        <v/>
      </c>
      <c r="K497" s="13" t="str">
        <f>IF(A497="","",YEAR(A497))</f>
        <v/>
      </c>
    </row>
    <row r="498">
      <c r="A498" s="8" t="n"/>
      <c r="B498" s="9" t="n"/>
      <c r="C498" s="10" t="n"/>
      <c r="D498" s="10" t="n"/>
      <c r="E498" s="10" t="n"/>
      <c r="F498" s="10" t="n"/>
      <c r="G498" s="14" t="n"/>
      <c r="H498" s="9" t="n"/>
      <c r="I498" s="12" t="str">
        <f>IF(G498="","",IF(H498="לא",0,ROUND(G498*TaxRate/(1+TaxRate),2)))</f>
        <v/>
      </c>
      <c r="J498" s="12" t="str">
        <f>IF(G498="","",G498-I498)</f>
        <v/>
      </c>
      <c r="K498" s="13" t="str">
        <f>IF(A498="","",YEAR(A498))</f>
        <v/>
      </c>
    </row>
    <row r="499">
      <c r="A499" s="8" t="n"/>
      <c r="B499" s="9" t="n"/>
      <c r="C499" s="10" t="n"/>
      <c r="D499" s="10" t="n"/>
      <c r="E499" s="10" t="n"/>
      <c r="F499" s="10" t="n"/>
      <c r="G499" s="14" t="n"/>
      <c r="H499" s="9" t="n"/>
      <c r="I499" s="12" t="str">
        <f>IF(G499="","",IF(H499="לא",0,ROUND(G499*TaxRate/(1+TaxRate),2)))</f>
        <v/>
      </c>
      <c r="J499" s="12" t="str">
        <f>IF(G499="","",G499-I499)</f>
        <v/>
      </c>
      <c r="K499" s="13" t="str">
        <f>IF(A499="","",YEAR(A499))</f>
        <v/>
      </c>
    </row>
    <row r="500">
      <c r="A500" s="8" t="n"/>
      <c r="B500" s="9" t="n"/>
      <c r="C500" s="10" t="n"/>
      <c r="D500" s="10" t="n"/>
      <c r="E500" s="10" t="n"/>
      <c r="F500" s="10" t="n"/>
      <c r="G500" s="14" t="n"/>
      <c r="H500" s="9" t="n"/>
      <c r="I500" s="12" t="str">
        <f>IF(G500="","",IF(H500="לא",0,ROUND(G500*TaxRate/(1+TaxRate),2)))</f>
        <v/>
      </c>
      <c r="J500" s="12" t="str">
        <f>IF(G500="","",G500-I500)</f>
        <v/>
      </c>
      <c r="K500" s="13" t="str">
        <f>IF(A500="","",YEAR(A500))</f>
        <v/>
      </c>
    </row>
    <row r="501">
      <c r="A501" s="8" t="n"/>
      <c r="B501" s="9" t="n"/>
      <c r="C501" s="10" t="n"/>
      <c r="D501" s="10" t="n"/>
      <c r="E501" s="10" t="n"/>
      <c r="F501" s="10" t="n"/>
      <c r="G501" s="14" t="n"/>
      <c r="H501" s="9" t="n"/>
      <c r="I501" s="12" t="str">
        <f>IF(G501="","",IF(H501="לא",0,ROUND(G501*TaxRate/(1+TaxRate),2)))</f>
        <v/>
      </c>
      <c r="J501" s="12" t="str">
        <f>IF(G501="","",G501-I501)</f>
        <v/>
      </c>
      <c r="K501" s="13" t="str">
        <f>IF(A501="","",YEAR(A501))</f>
        <v/>
      </c>
    </row>
    <row r="502">
      <c r="A502" s="8" t="n"/>
      <c r="B502" s="9" t="n"/>
      <c r="C502" s="10" t="n"/>
      <c r="D502" s="10" t="n"/>
      <c r="E502" s="10" t="n"/>
      <c r="F502" s="10" t="n"/>
      <c r="G502" s="14" t="n"/>
      <c r="H502" s="9" t="n"/>
      <c r="I502" s="12" t="str">
        <f>IF(G502="","",IF(H502="לא",0,ROUND(G502*TaxRate/(1+TaxRate),2)))</f>
        <v/>
      </c>
      <c r="J502" s="12" t="str">
        <f>IF(G502="","",G502-I502)</f>
        <v/>
      </c>
      <c r="K502" s="13" t="str">
        <f>IF(A502="","",YEAR(A502))</f>
        <v/>
      </c>
    </row>
    <row r="503">
      <c r="A503" s="8" t="n"/>
      <c r="B503" s="9" t="n"/>
      <c r="C503" s="10" t="n"/>
      <c r="D503" s="10" t="n"/>
      <c r="E503" s="10" t="n"/>
      <c r="F503" s="10" t="n"/>
      <c r="G503" s="14" t="n"/>
      <c r="H503" s="9" t="n"/>
      <c r="I503" s="12" t="str">
        <f>IF(G503="","",IF(H503="לא",0,ROUND(G503*TaxRate/(1+TaxRate),2)))</f>
        <v/>
      </c>
      <c r="J503" s="12" t="str">
        <f>IF(G503="","",G503-I503)</f>
        <v/>
      </c>
      <c r="K503" s="13" t="str">
        <f>IF(A503="","",YEAR(A503))</f>
        <v/>
      </c>
    </row>
    <row r="504">
      <c r="A504" s="8" t="n"/>
      <c r="B504" s="9" t="n"/>
      <c r="C504" s="10" t="n"/>
      <c r="D504" s="10" t="n"/>
      <c r="E504" s="10" t="n"/>
      <c r="F504" s="10" t="n"/>
      <c r="G504" s="14" t="n"/>
      <c r="H504" s="9" t="n"/>
      <c r="I504" s="12" t="str">
        <f>IF(G504="","",IF(H504="לא",0,ROUND(G504*TaxRate/(1+TaxRate),2)))</f>
        <v/>
      </c>
      <c r="J504" s="12" t="str">
        <f>IF(G504="","",G504-I504)</f>
        <v/>
      </c>
      <c r="K504" s="13" t="str">
        <f>IF(A504="","",YEAR(A504))</f>
        <v/>
      </c>
    </row>
    <row r="505">
      <c r="A505" s="8" t="n"/>
      <c r="B505" s="9" t="n"/>
      <c r="C505" s="10" t="n"/>
      <c r="D505" s="10" t="n"/>
      <c r="E505" s="10" t="n"/>
      <c r="F505" s="10" t="n"/>
      <c r="G505" s="14" t="n"/>
      <c r="H505" s="9" t="n"/>
      <c r="I505" s="12" t="str">
        <f>IF(G505="","",IF(H505="לא",0,ROUND(G505*TaxRate/(1+TaxRate),2)))</f>
        <v/>
      </c>
      <c r="J505" s="12" t="str">
        <f>IF(G505="","",G505-I505)</f>
        <v/>
      </c>
      <c r="K505" s="13" t="str">
        <f>IF(A505="","",YEAR(A505))</f>
        <v/>
      </c>
    </row>
    <row r="506">
      <c r="A506" s="8" t="n"/>
      <c r="B506" s="9" t="n"/>
      <c r="C506" s="10" t="n"/>
      <c r="D506" s="10" t="n"/>
      <c r="E506" s="10" t="n"/>
      <c r="F506" s="10" t="n"/>
      <c r="G506" s="14" t="n"/>
      <c r="H506" s="9" t="n"/>
      <c r="I506" s="12" t="str">
        <f>IF(G506="","",IF(H506="לא",0,ROUND(G506*TaxRate/(1+TaxRate),2)))</f>
        <v/>
      </c>
      <c r="J506" s="12" t="str">
        <f>IF(G506="","",G506-I506)</f>
        <v/>
      </c>
      <c r="K506" s="13" t="str">
        <f>IF(A506="","",YEAR(A506))</f>
        <v/>
      </c>
    </row>
    <row r="507">
      <c r="A507" s="8" t="n"/>
      <c r="B507" s="9" t="n"/>
      <c r="C507" s="10" t="n"/>
      <c r="D507" s="10" t="n"/>
      <c r="E507" s="10" t="n"/>
      <c r="F507" s="10" t="n"/>
      <c r="G507" s="14" t="n"/>
      <c r="H507" s="9" t="n"/>
      <c r="I507" s="12" t="str">
        <f>IF(G507="","",IF(H507="לא",0,ROUND(G507*TaxRate/(1+TaxRate),2)))</f>
        <v/>
      </c>
      <c r="J507" s="12" t="str">
        <f>IF(G507="","",G507-I507)</f>
        <v/>
      </c>
      <c r="K507" s="13" t="str">
        <f>IF(A507="","",YEAR(A507))</f>
        <v/>
      </c>
    </row>
    <row r="508">
      <c r="A508" s="8" t="n"/>
      <c r="B508" s="9" t="n"/>
      <c r="C508" s="10" t="n"/>
      <c r="D508" s="10" t="n"/>
      <c r="E508" s="10" t="n"/>
      <c r="F508" s="10" t="n"/>
      <c r="G508" s="14" t="n"/>
      <c r="H508" s="9" t="n"/>
      <c r="I508" s="12" t="str">
        <f>IF(G508="","",IF(H508="לא",0,ROUND(G508*TaxRate/(1+TaxRate),2)))</f>
        <v/>
      </c>
      <c r="J508" s="12" t="str">
        <f>IF(G508="","",G508-I508)</f>
        <v/>
      </c>
      <c r="K508" s="13" t="str">
        <f>IF(A508="","",YEAR(A508))</f>
        <v/>
      </c>
    </row>
    <row r="509">
      <c r="A509" s="8" t="n"/>
      <c r="B509" s="9" t="n"/>
      <c r="C509" s="10" t="n"/>
      <c r="D509" s="10" t="n"/>
      <c r="E509" s="10" t="n"/>
      <c r="F509" s="10" t="n"/>
      <c r="G509" s="14" t="n"/>
      <c r="H509" s="9" t="n"/>
      <c r="I509" s="12" t="str">
        <f>IF(G509="","",IF(H509="לא",0,ROUND(G509*TaxRate/(1+TaxRate),2)))</f>
        <v/>
      </c>
      <c r="J509" s="12" t="str">
        <f>IF(G509="","",G509-I509)</f>
        <v/>
      </c>
      <c r="K509" s="13" t="str">
        <f>IF(A509="","",YEAR(A509))</f>
        <v/>
      </c>
    </row>
    <row r="510">
      <c r="A510" s="8" t="n"/>
      <c r="B510" s="9" t="n"/>
      <c r="C510" s="10" t="n"/>
      <c r="D510" s="10" t="n"/>
      <c r="E510" s="10" t="n"/>
      <c r="F510" s="10" t="n"/>
      <c r="G510" s="14" t="n"/>
      <c r="H510" s="9" t="n"/>
      <c r="I510" s="12" t="str">
        <f>IF(G510="","",IF(H510="לא",0,ROUND(G510*TaxRate/(1+TaxRate),2)))</f>
        <v/>
      </c>
      <c r="J510" s="12" t="str">
        <f>IF(G510="","",G510-I510)</f>
        <v/>
      </c>
      <c r="K510" s="13" t="str">
        <f>IF(A510="","",YEAR(A510))</f>
        <v/>
      </c>
    </row>
    <row r="511">
      <c r="A511" s="8" t="n"/>
      <c r="B511" s="9" t="n"/>
      <c r="C511" s="10" t="n"/>
      <c r="D511" s="10" t="n"/>
      <c r="E511" s="10" t="n"/>
      <c r="F511" s="10" t="n"/>
      <c r="G511" s="14" t="n"/>
      <c r="H511" s="9" t="n"/>
      <c r="I511" s="12" t="str">
        <f>IF(G511="","",IF(H511="לא",0,ROUND(G511*TaxRate/(1+TaxRate),2)))</f>
        <v/>
      </c>
      <c r="J511" s="12" t="str">
        <f>IF(G511="","",G511-I511)</f>
        <v/>
      </c>
      <c r="K511" s="13" t="str">
        <f>IF(A511="","",YEAR(A511))</f>
        <v/>
      </c>
    </row>
    <row r="512">
      <c r="A512" s="8" t="n"/>
      <c r="B512" s="9" t="n"/>
      <c r="C512" s="10" t="n"/>
      <c r="D512" s="10" t="n"/>
      <c r="E512" s="10" t="n"/>
      <c r="F512" s="10" t="n"/>
      <c r="G512" s="14" t="n"/>
      <c r="H512" s="9" t="n"/>
      <c r="I512" s="12" t="str">
        <f>IF(G512="","",IF(H512="לא",0,ROUND(G512*TaxRate/(1+TaxRate),2)))</f>
        <v/>
      </c>
      <c r="J512" s="12" t="str">
        <f>IF(G512="","",G512-I512)</f>
        <v/>
      </c>
      <c r="K512" s="13" t="str">
        <f>IF(A512="","",YEAR(A512))</f>
        <v/>
      </c>
    </row>
    <row r="513">
      <c r="A513" s="8" t="n"/>
      <c r="B513" s="9" t="n"/>
      <c r="C513" s="10" t="n"/>
      <c r="D513" s="10" t="n"/>
      <c r="E513" s="10" t="n"/>
      <c r="F513" s="10" t="n"/>
      <c r="G513" s="14" t="n"/>
      <c r="H513" s="9" t="n"/>
      <c r="I513" s="12" t="str">
        <f>IF(G513="","",IF(H513="לא",0,ROUND(G513*TaxRate/(1+TaxRate),2)))</f>
        <v/>
      </c>
      <c r="J513" s="12" t="str">
        <f>IF(G513="","",G513-I513)</f>
        <v/>
      </c>
      <c r="K513" s="13" t="str">
        <f>IF(A513="","",YEAR(A513))</f>
        <v/>
      </c>
    </row>
    <row r="514">
      <c r="A514" s="8" t="n"/>
      <c r="B514" s="9" t="n"/>
      <c r="C514" s="10" t="n"/>
      <c r="D514" s="10" t="n"/>
      <c r="E514" s="10" t="n"/>
      <c r="F514" s="10" t="n"/>
      <c r="G514" s="14" t="n"/>
      <c r="H514" s="9" t="n"/>
      <c r="I514" s="12" t="str">
        <f>IF(G514="","",IF(H514="לא",0,ROUND(G514*TaxRate/(1+TaxRate),2)))</f>
        <v/>
      </c>
      <c r="J514" s="12" t="str">
        <f>IF(G514="","",G514-I514)</f>
        <v/>
      </c>
      <c r="K514" s="13" t="str">
        <f>IF(A514="","",YEAR(A514))</f>
        <v/>
      </c>
    </row>
    <row r="515">
      <c r="A515" s="8" t="n"/>
      <c r="B515" s="9" t="n"/>
      <c r="C515" s="10" t="n"/>
      <c r="D515" s="10" t="n"/>
      <c r="E515" s="10" t="n"/>
      <c r="F515" s="10" t="n"/>
      <c r="G515" s="14" t="n"/>
      <c r="H515" s="9" t="n"/>
      <c r="I515" s="12" t="str">
        <f>IF(G515="","",IF(H515="לא",0,ROUND(G515*TaxRate/(1+TaxRate),2)))</f>
        <v/>
      </c>
      <c r="J515" s="12" t="str">
        <f>IF(G515="","",G515-I515)</f>
        <v/>
      </c>
      <c r="K515" s="13" t="str">
        <f>IF(A515="","",YEAR(A515))</f>
        <v/>
      </c>
    </row>
    <row r="516">
      <c r="A516" s="8" t="n"/>
      <c r="B516" s="9" t="n"/>
      <c r="C516" s="10" t="n"/>
      <c r="D516" s="10" t="n"/>
      <c r="E516" s="10" t="n"/>
      <c r="F516" s="10" t="n"/>
      <c r="G516" s="14" t="n"/>
      <c r="H516" s="9" t="n"/>
      <c r="I516" s="12" t="str">
        <f>IF(G516="","",IF(H516="לא",0,ROUND(G516*TaxRate/(1+TaxRate),2)))</f>
        <v/>
      </c>
      <c r="J516" s="12" t="str">
        <f>IF(G516="","",G516-I516)</f>
        <v/>
      </c>
      <c r="K516" s="13" t="str">
        <f>IF(A516="","",YEAR(A516))</f>
        <v/>
      </c>
    </row>
    <row r="517">
      <c r="A517" s="8" t="n"/>
      <c r="B517" s="9" t="n"/>
      <c r="C517" s="10" t="n"/>
      <c r="D517" s="10" t="n"/>
      <c r="E517" s="10" t="n"/>
      <c r="F517" s="10" t="n"/>
      <c r="G517" s="14" t="n"/>
      <c r="H517" s="9" t="n"/>
      <c r="I517" s="12" t="str">
        <f>IF(G517="","",IF(H517="לא",0,ROUND(G517*TaxRate/(1+TaxRate),2)))</f>
        <v/>
      </c>
      <c r="J517" s="12" t="str">
        <f>IF(G517="","",G517-I517)</f>
        <v/>
      </c>
      <c r="K517" s="13" t="str">
        <f>IF(A517="","",YEAR(A517))</f>
        <v/>
      </c>
    </row>
    <row r="518">
      <c r="A518" s="8" t="n"/>
      <c r="B518" s="9" t="n"/>
      <c r="C518" s="10" t="n"/>
      <c r="D518" s="10" t="n"/>
      <c r="E518" s="10" t="n"/>
      <c r="F518" s="10" t="n"/>
      <c r="G518" s="14" t="n"/>
      <c r="H518" s="9" t="n"/>
      <c r="I518" s="12" t="str">
        <f>IF(G518="","",IF(H518="לא",0,ROUND(G518*TaxRate/(1+TaxRate),2)))</f>
        <v/>
      </c>
      <c r="J518" s="12" t="str">
        <f>IF(G518="","",G518-I518)</f>
        <v/>
      </c>
      <c r="K518" s="13" t="str">
        <f>IF(A518="","",YEAR(A518))</f>
        <v/>
      </c>
    </row>
    <row r="519">
      <c r="A519" s="8" t="n"/>
      <c r="B519" s="9" t="n"/>
      <c r="C519" s="10" t="n"/>
      <c r="D519" s="10" t="n"/>
      <c r="E519" s="10" t="n"/>
      <c r="F519" s="10" t="n"/>
      <c r="G519" s="14" t="n"/>
      <c r="H519" s="9" t="n"/>
      <c r="I519" s="12" t="str">
        <f>IF(G519="","",IF(H519="לא",0,ROUND(G519*TaxRate/(1+TaxRate),2)))</f>
        <v/>
      </c>
      <c r="J519" s="12" t="str">
        <f>IF(G519="","",G519-I519)</f>
        <v/>
      </c>
      <c r="K519" s="13" t="str">
        <f>IF(A519="","",YEAR(A519))</f>
        <v/>
      </c>
    </row>
    <row r="520">
      <c r="A520" s="8" t="n"/>
      <c r="B520" s="9" t="n"/>
      <c r="C520" s="10" t="n"/>
      <c r="D520" s="10" t="n"/>
      <c r="E520" s="10" t="n"/>
      <c r="F520" s="10" t="n"/>
      <c r="G520" s="14" t="n"/>
      <c r="H520" s="9" t="n"/>
      <c r="I520" s="12" t="str">
        <f>IF(G520="","",IF(H520="לא",0,ROUND(G520*TaxRate/(1+TaxRate),2)))</f>
        <v/>
      </c>
      <c r="J520" s="12" t="str">
        <f>IF(G520="","",G520-I520)</f>
        <v/>
      </c>
      <c r="K520" s="13" t="str">
        <f>IF(A520="","",YEAR(A520))</f>
        <v/>
      </c>
    </row>
    <row r="521">
      <c r="A521" s="8" t="n"/>
      <c r="B521" s="9" t="n"/>
      <c r="C521" s="10" t="n"/>
      <c r="D521" s="10" t="n"/>
      <c r="E521" s="10" t="n"/>
      <c r="F521" s="10" t="n"/>
      <c r="G521" s="14" t="n"/>
      <c r="H521" s="9" t="n"/>
      <c r="I521" s="12" t="str">
        <f>IF(G521="","",IF(H521="לא",0,ROUND(G521*TaxRate/(1+TaxRate),2)))</f>
        <v/>
      </c>
      <c r="J521" s="12" t="str">
        <f>IF(G521="","",G521-I521)</f>
        <v/>
      </c>
      <c r="K521" s="13" t="str">
        <f>IF(A521="","",YEAR(A521))</f>
        <v/>
      </c>
    </row>
    <row r="522">
      <c r="A522" s="8" t="n"/>
      <c r="B522" s="9" t="n"/>
      <c r="C522" s="10" t="n"/>
      <c r="D522" s="10" t="n"/>
      <c r="E522" s="10" t="n"/>
      <c r="F522" s="10" t="n"/>
      <c r="G522" s="14" t="n"/>
      <c r="H522" s="9" t="n"/>
      <c r="I522" s="12" t="str">
        <f>IF(G522="","",IF(H522="לא",0,ROUND(G522*TaxRate/(1+TaxRate),2)))</f>
        <v/>
      </c>
      <c r="J522" s="12" t="str">
        <f>IF(G522="","",G522-I522)</f>
        <v/>
      </c>
      <c r="K522" s="13" t="str">
        <f>IF(A522="","",YEAR(A522))</f>
        <v/>
      </c>
    </row>
    <row r="523">
      <c r="A523" s="8" t="n"/>
      <c r="B523" s="9" t="n"/>
      <c r="C523" s="10" t="n"/>
      <c r="D523" s="10" t="n"/>
      <c r="E523" s="10" t="n"/>
      <c r="F523" s="10" t="n"/>
      <c r="G523" s="14" t="n"/>
      <c r="H523" s="9" t="n"/>
      <c r="I523" s="12" t="str">
        <f>IF(G523="","",IF(H523="לא",0,ROUND(G523*TaxRate/(1+TaxRate),2)))</f>
        <v/>
      </c>
      <c r="J523" s="12" t="str">
        <f>IF(G523="","",G523-I523)</f>
        <v/>
      </c>
      <c r="K523" s="13" t="str">
        <f>IF(A523="","",YEAR(A523))</f>
        <v/>
      </c>
    </row>
    <row r="524">
      <c r="A524" s="8" t="n"/>
      <c r="B524" s="9" t="n"/>
      <c r="C524" s="10" t="n"/>
      <c r="D524" s="10" t="n"/>
      <c r="E524" s="10" t="n"/>
      <c r="F524" s="10" t="n"/>
      <c r="G524" s="14" t="n"/>
      <c r="H524" s="9" t="n"/>
      <c r="I524" s="12" t="str">
        <f>IF(G524="","",IF(H524="לא",0,ROUND(G524*TaxRate/(1+TaxRate),2)))</f>
        <v/>
      </c>
      <c r="J524" s="12" t="str">
        <f>IF(G524="","",G524-I524)</f>
        <v/>
      </c>
      <c r="K524" s="13" t="str">
        <f>IF(A524="","",YEAR(A524))</f>
        <v/>
      </c>
    </row>
    <row r="525">
      <c r="A525" s="8" t="n"/>
      <c r="B525" s="9" t="n"/>
      <c r="C525" s="10" t="n"/>
      <c r="D525" s="10" t="n"/>
      <c r="E525" s="10" t="n"/>
      <c r="F525" s="10" t="n"/>
      <c r="G525" s="14" t="n"/>
      <c r="H525" s="9" t="n"/>
      <c r="I525" s="12" t="str">
        <f>IF(G525="","",IF(H525="לא",0,ROUND(G525*TaxRate/(1+TaxRate),2)))</f>
        <v/>
      </c>
      <c r="J525" s="12" t="str">
        <f>IF(G525="","",G525-I525)</f>
        <v/>
      </c>
      <c r="K525" s="13" t="str">
        <f>IF(A525="","",YEAR(A525))</f>
        <v/>
      </c>
    </row>
    <row r="526">
      <c r="A526" s="8" t="n"/>
      <c r="B526" s="9" t="n"/>
      <c r="C526" s="10" t="n"/>
      <c r="D526" s="10" t="n"/>
      <c r="E526" s="10" t="n"/>
      <c r="F526" s="10" t="n"/>
      <c r="G526" s="14" t="n"/>
      <c r="H526" s="9" t="n"/>
      <c r="I526" s="12" t="str">
        <f>IF(G526="","",IF(H526="לא",0,ROUND(G526*TaxRate/(1+TaxRate),2)))</f>
        <v/>
      </c>
      <c r="J526" s="12" t="str">
        <f>IF(G526="","",G526-I526)</f>
        <v/>
      </c>
      <c r="K526" s="13" t="str">
        <f>IF(A526="","",YEAR(A526))</f>
        <v/>
      </c>
    </row>
    <row r="527">
      <c r="A527" s="8" t="n"/>
      <c r="B527" s="9" t="n"/>
      <c r="C527" s="10" t="n"/>
      <c r="D527" s="10" t="n"/>
      <c r="E527" s="10" t="n"/>
      <c r="F527" s="10" t="n"/>
      <c r="G527" s="14" t="n"/>
      <c r="H527" s="9" t="n"/>
      <c r="I527" s="12" t="str">
        <f>IF(G527="","",IF(H527="לא",0,ROUND(G527*TaxRate/(1+TaxRate),2)))</f>
        <v/>
      </c>
      <c r="J527" s="12" t="str">
        <f>IF(G527="","",G527-I527)</f>
        <v/>
      </c>
      <c r="K527" s="13" t="str">
        <f>IF(A527="","",YEAR(A527))</f>
        <v/>
      </c>
    </row>
    <row r="528">
      <c r="A528" s="8" t="n"/>
      <c r="B528" s="9" t="n"/>
      <c r="C528" s="10" t="n"/>
      <c r="D528" s="10" t="n"/>
      <c r="E528" s="10" t="n"/>
      <c r="F528" s="10" t="n"/>
      <c r="G528" s="14" t="n"/>
      <c r="H528" s="9" t="n"/>
      <c r="I528" s="12" t="str">
        <f>IF(G528="","",IF(H528="לא",0,ROUND(G528*TaxRate/(1+TaxRate),2)))</f>
        <v/>
      </c>
      <c r="J528" s="12" t="str">
        <f>IF(G528="","",G528-I528)</f>
        <v/>
      </c>
      <c r="K528" s="13" t="str">
        <f>IF(A528="","",YEAR(A528))</f>
        <v/>
      </c>
    </row>
    <row r="529">
      <c r="A529" s="8" t="n"/>
      <c r="B529" s="9" t="n"/>
      <c r="C529" s="10" t="n"/>
      <c r="D529" s="10" t="n"/>
      <c r="E529" s="10" t="n"/>
      <c r="F529" s="10" t="n"/>
      <c r="G529" s="14" t="n"/>
      <c r="H529" s="9" t="n"/>
      <c r="I529" s="12" t="str">
        <f>IF(G529="","",IF(H529="לא",0,ROUND(G529*TaxRate/(1+TaxRate),2)))</f>
        <v/>
      </c>
      <c r="J529" s="12" t="str">
        <f>IF(G529="","",G529-I529)</f>
        <v/>
      </c>
      <c r="K529" s="13" t="str">
        <f>IF(A529="","",YEAR(A529))</f>
        <v/>
      </c>
    </row>
    <row r="530">
      <c r="A530" s="8" t="n"/>
      <c r="B530" s="9" t="n"/>
      <c r="C530" s="10" t="n"/>
      <c r="D530" s="10" t="n"/>
      <c r="E530" s="10" t="n"/>
      <c r="F530" s="10" t="n"/>
      <c r="G530" s="14" t="n"/>
      <c r="H530" s="9" t="n"/>
      <c r="I530" s="12" t="str">
        <f>IF(G530="","",IF(H530="לא",0,ROUND(G530*TaxRate/(1+TaxRate),2)))</f>
        <v/>
      </c>
      <c r="J530" s="12" t="str">
        <f>IF(G530="","",G530-I530)</f>
        <v/>
      </c>
      <c r="K530" s="13" t="str">
        <f>IF(A530="","",YEAR(A530))</f>
        <v/>
      </c>
    </row>
    <row r="531">
      <c r="A531" s="8" t="n"/>
      <c r="B531" s="9" t="n"/>
      <c r="C531" s="10" t="n"/>
      <c r="D531" s="10" t="n"/>
      <c r="E531" s="10" t="n"/>
      <c r="F531" s="10" t="n"/>
      <c r="G531" s="14" t="n"/>
      <c r="H531" s="9" t="n"/>
      <c r="I531" s="12" t="str">
        <f>IF(G531="","",IF(H531="לא",0,ROUND(G531*TaxRate/(1+TaxRate),2)))</f>
        <v/>
      </c>
      <c r="J531" s="12" t="str">
        <f>IF(G531="","",G531-I531)</f>
        <v/>
      </c>
      <c r="K531" s="13" t="str">
        <f>IF(A531="","",YEAR(A531))</f>
        <v/>
      </c>
    </row>
    <row r="532">
      <c r="A532" s="8" t="n"/>
      <c r="B532" s="9" t="n"/>
      <c r="C532" s="10" t="n"/>
      <c r="D532" s="10" t="n"/>
      <c r="E532" s="10" t="n"/>
      <c r="F532" s="10" t="n"/>
      <c r="G532" s="14" t="n"/>
      <c r="H532" s="9" t="n"/>
      <c r="I532" s="12" t="str">
        <f>IF(G532="","",IF(H532="לא",0,ROUND(G532*TaxRate/(1+TaxRate),2)))</f>
        <v/>
      </c>
      <c r="J532" s="12" t="str">
        <f>IF(G532="","",G532-I532)</f>
        <v/>
      </c>
      <c r="K532" s="13" t="str">
        <f>IF(A532="","",YEAR(A532))</f>
        <v/>
      </c>
    </row>
    <row r="533">
      <c r="A533" s="8" t="n"/>
      <c r="B533" s="9" t="n"/>
      <c r="C533" s="10" t="n"/>
      <c r="D533" s="10" t="n"/>
      <c r="E533" s="10" t="n"/>
      <c r="F533" s="10" t="n"/>
      <c r="G533" s="14" t="n"/>
      <c r="H533" s="9" t="n"/>
      <c r="I533" s="12" t="str">
        <f>IF(G533="","",IF(H533="לא",0,ROUND(G533*TaxRate/(1+TaxRate),2)))</f>
        <v/>
      </c>
      <c r="J533" s="12" t="str">
        <f>IF(G533="","",G533-I533)</f>
        <v/>
      </c>
      <c r="K533" s="13" t="str">
        <f>IF(A533="","",YEAR(A533))</f>
        <v/>
      </c>
    </row>
    <row r="534">
      <c r="A534" s="8" t="n"/>
      <c r="B534" s="9" t="n"/>
      <c r="C534" s="10" t="n"/>
      <c r="D534" s="10" t="n"/>
      <c r="E534" s="10" t="n"/>
      <c r="F534" s="10" t="n"/>
      <c r="G534" s="14" t="n"/>
      <c r="H534" s="9" t="n"/>
      <c r="I534" s="12" t="str">
        <f>IF(G534="","",IF(H534="לא",0,ROUND(G534*TaxRate/(1+TaxRate),2)))</f>
        <v/>
      </c>
      <c r="J534" s="12" t="str">
        <f>IF(G534="","",G534-I534)</f>
        <v/>
      </c>
      <c r="K534" s="13" t="str">
        <f>IF(A534="","",YEAR(A534))</f>
        <v/>
      </c>
    </row>
    <row r="535">
      <c r="A535" s="8" t="n"/>
      <c r="B535" s="9" t="n"/>
      <c r="C535" s="10" t="n"/>
      <c r="D535" s="10" t="n"/>
      <c r="E535" s="10" t="n"/>
      <c r="F535" s="10" t="n"/>
      <c r="G535" s="14" t="n"/>
      <c r="H535" s="9" t="n"/>
      <c r="I535" s="12" t="str">
        <f>IF(G535="","",IF(H535="לא",0,ROUND(G535*TaxRate/(1+TaxRate),2)))</f>
        <v/>
      </c>
      <c r="J535" s="12" t="str">
        <f>IF(G535="","",G535-I535)</f>
        <v/>
      </c>
      <c r="K535" s="13" t="str">
        <f>IF(A535="","",YEAR(A535))</f>
        <v/>
      </c>
    </row>
    <row r="536">
      <c r="A536" s="8" t="n"/>
      <c r="B536" s="9" t="n"/>
      <c r="C536" s="10" t="n"/>
      <c r="D536" s="10" t="n"/>
      <c r="E536" s="10" t="n"/>
      <c r="F536" s="10" t="n"/>
      <c r="G536" s="14" t="n"/>
      <c r="H536" s="9" t="n"/>
      <c r="I536" s="12" t="str">
        <f>IF(G536="","",IF(H536="לא",0,ROUND(G536*TaxRate/(1+TaxRate),2)))</f>
        <v/>
      </c>
      <c r="J536" s="12" t="str">
        <f>IF(G536="","",G536-I536)</f>
        <v/>
      </c>
      <c r="K536" s="13" t="str">
        <f>IF(A536="","",YEAR(A536))</f>
        <v/>
      </c>
    </row>
    <row r="537">
      <c r="A537" s="8" t="n"/>
      <c r="B537" s="9" t="n"/>
      <c r="C537" s="10" t="n"/>
      <c r="D537" s="10" t="n"/>
      <c r="E537" s="10" t="n"/>
      <c r="F537" s="10" t="n"/>
      <c r="G537" s="14" t="n"/>
      <c r="H537" s="9" t="n"/>
      <c r="I537" s="12" t="str">
        <f>IF(G537="","",IF(H537="לא",0,ROUND(G537*TaxRate/(1+TaxRate),2)))</f>
        <v/>
      </c>
      <c r="J537" s="12" t="str">
        <f>IF(G537="","",G537-I537)</f>
        <v/>
      </c>
      <c r="K537" s="13" t="str">
        <f>IF(A537="","",YEAR(A537))</f>
        <v/>
      </c>
    </row>
    <row r="538">
      <c r="A538" s="8" t="n"/>
      <c r="B538" s="9" t="n"/>
      <c r="C538" s="10" t="n"/>
      <c r="D538" s="10" t="n"/>
      <c r="E538" s="10" t="n"/>
      <c r="F538" s="10" t="n"/>
      <c r="G538" s="14" t="n"/>
      <c r="H538" s="9" t="n"/>
      <c r="I538" s="12" t="str">
        <f>IF(G538="","",IF(H538="לא",0,ROUND(G538*TaxRate/(1+TaxRate),2)))</f>
        <v/>
      </c>
      <c r="J538" s="12" t="str">
        <f>IF(G538="","",G538-I538)</f>
        <v/>
      </c>
      <c r="K538" s="13" t="str">
        <f>IF(A538="","",YEAR(A538))</f>
        <v/>
      </c>
    </row>
    <row r="539">
      <c r="A539" s="8" t="n"/>
      <c r="B539" s="9" t="n"/>
      <c r="C539" s="10" t="n"/>
      <c r="D539" s="10" t="n"/>
      <c r="E539" s="10" t="n"/>
      <c r="F539" s="10" t="n"/>
      <c r="G539" s="14" t="n"/>
      <c r="H539" s="9" t="n"/>
      <c r="I539" s="12" t="str">
        <f>IF(G539="","",IF(H539="לא",0,ROUND(G539*TaxRate/(1+TaxRate),2)))</f>
        <v/>
      </c>
      <c r="J539" s="12" t="str">
        <f>IF(G539="","",G539-I539)</f>
        <v/>
      </c>
      <c r="K539" s="13" t="str">
        <f>IF(A539="","",YEAR(A539))</f>
        <v/>
      </c>
    </row>
    <row r="540">
      <c r="A540" s="8" t="n"/>
      <c r="B540" s="9" t="n"/>
      <c r="C540" s="10" t="n"/>
      <c r="D540" s="10" t="n"/>
      <c r="E540" s="10" t="n"/>
      <c r="F540" s="10" t="n"/>
      <c r="G540" s="14" t="n"/>
      <c r="H540" s="9" t="n"/>
      <c r="I540" s="12" t="str">
        <f>IF(G540="","",IF(H540="לא",0,ROUND(G540*TaxRate/(1+TaxRate),2)))</f>
        <v/>
      </c>
      <c r="J540" s="12" t="str">
        <f>IF(G540="","",G540-I540)</f>
        <v/>
      </c>
      <c r="K540" s="13" t="str">
        <f>IF(A540="","",YEAR(A540))</f>
        <v/>
      </c>
    </row>
    <row r="541">
      <c r="A541" s="8" t="n"/>
      <c r="B541" s="9" t="n"/>
      <c r="C541" s="10" t="n"/>
      <c r="D541" s="10" t="n"/>
      <c r="E541" s="10" t="n"/>
      <c r="F541" s="10" t="n"/>
      <c r="G541" s="14" t="n"/>
      <c r="H541" s="9" t="n"/>
      <c r="I541" s="12" t="str">
        <f>IF(G541="","",IF(H541="לא",0,ROUND(G541*TaxRate/(1+TaxRate),2)))</f>
        <v/>
      </c>
      <c r="J541" s="12" t="str">
        <f>IF(G541="","",G541-I541)</f>
        <v/>
      </c>
      <c r="K541" s="13" t="str">
        <f>IF(A541="","",YEAR(A541))</f>
        <v/>
      </c>
    </row>
    <row r="542">
      <c r="A542" s="8" t="n"/>
      <c r="B542" s="9" t="n"/>
      <c r="C542" s="10" t="n"/>
      <c r="D542" s="10" t="n"/>
      <c r="E542" s="10" t="n"/>
      <c r="F542" s="10" t="n"/>
      <c r="G542" s="14" t="n"/>
      <c r="H542" s="9" t="n"/>
      <c r="I542" s="12" t="str">
        <f>IF(G542="","",IF(H542="לא",0,ROUND(G542*TaxRate/(1+TaxRate),2)))</f>
        <v/>
      </c>
      <c r="J542" s="12" t="str">
        <f>IF(G542="","",G542-I542)</f>
        <v/>
      </c>
      <c r="K542" s="13" t="str">
        <f>IF(A542="","",YEAR(A542))</f>
        <v/>
      </c>
    </row>
    <row r="543">
      <c r="A543" s="8" t="n"/>
      <c r="B543" s="9" t="n"/>
      <c r="C543" s="10" t="n"/>
      <c r="D543" s="10" t="n"/>
      <c r="E543" s="10" t="n"/>
      <c r="F543" s="10" t="n"/>
      <c r="G543" s="14" t="n"/>
      <c r="H543" s="9" t="n"/>
      <c r="I543" s="12" t="str">
        <f>IF(G543="","",IF(H543="לא",0,ROUND(G543*TaxRate/(1+TaxRate),2)))</f>
        <v/>
      </c>
      <c r="J543" s="12" t="str">
        <f>IF(G543="","",G543-I543)</f>
        <v/>
      </c>
      <c r="K543" s="13" t="str">
        <f>IF(A543="","",YEAR(A543))</f>
        <v/>
      </c>
    </row>
    <row r="544">
      <c r="A544" s="8" t="n"/>
      <c r="B544" s="9" t="n"/>
      <c r="C544" s="10" t="n"/>
      <c r="D544" s="10" t="n"/>
      <c r="E544" s="10" t="n"/>
      <c r="F544" s="10" t="n"/>
      <c r="G544" s="14" t="n"/>
      <c r="H544" s="9" t="n"/>
      <c r="I544" s="12" t="str">
        <f>IF(G544="","",IF(H544="לא",0,ROUND(G544*TaxRate/(1+TaxRate),2)))</f>
        <v/>
      </c>
      <c r="J544" s="12" t="str">
        <f>IF(G544="","",G544-I544)</f>
        <v/>
      </c>
      <c r="K544" s="13" t="str">
        <f>IF(A544="","",YEAR(A544))</f>
        <v/>
      </c>
    </row>
    <row r="545">
      <c r="A545" s="8" t="n"/>
      <c r="B545" s="9" t="n"/>
      <c r="C545" s="10" t="n"/>
      <c r="D545" s="10" t="n"/>
      <c r="E545" s="10" t="n"/>
      <c r="F545" s="10" t="n"/>
      <c r="G545" s="14" t="n"/>
      <c r="H545" s="9" t="n"/>
      <c r="I545" s="12" t="str">
        <f>IF(G545="","",IF(H545="לא",0,ROUND(G545*TaxRate/(1+TaxRate),2)))</f>
        <v/>
      </c>
      <c r="J545" s="12" t="str">
        <f>IF(G545="","",G545-I545)</f>
        <v/>
      </c>
      <c r="K545" s="13" t="str">
        <f>IF(A545="","",YEAR(A545))</f>
        <v/>
      </c>
    </row>
    <row r="546">
      <c r="A546" s="8" t="n"/>
      <c r="B546" s="9" t="n"/>
      <c r="C546" s="10" t="n"/>
      <c r="D546" s="10" t="n"/>
      <c r="E546" s="10" t="n"/>
      <c r="F546" s="10" t="n"/>
      <c r="G546" s="14" t="n"/>
      <c r="H546" s="9" t="n"/>
      <c r="I546" s="12" t="str">
        <f>IF(G546="","",IF(H546="לא",0,ROUND(G546*TaxRate/(1+TaxRate),2)))</f>
        <v/>
      </c>
      <c r="J546" s="12" t="str">
        <f>IF(G546="","",G546-I546)</f>
        <v/>
      </c>
      <c r="K546" s="13" t="str">
        <f>IF(A546="","",YEAR(A546))</f>
        <v/>
      </c>
    </row>
    <row r="547">
      <c r="A547" s="8" t="n"/>
      <c r="B547" s="9" t="n"/>
      <c r="C547" s="10" t="n"/>
      <c r="D547" s="10" t="n"/>
      <c r="E547" s="10" t="n"/>
      <c r="F547" s="10" t="n"/>
      <c r="G547" s="14" t="n"/>
      <c r="H547" s="9" t="n"/>
      <c r="I547" s="12" t="str">
        <f>IF(G547="","",IF(H547="לא",0,ROUND(G547*TaxRate/(1+TaxRate),2)))</f>
        <v/>
      </c>
      <c r="J547" s="12" t="str">
        <f>IF(G547="","",G547-I547)</f>
        <v/>
      </c>
      <c r="K547" s="13" t="str">
        <f>IF(A547="","",YEAR(A547))</f>
        <v/>
      </c>
    </row>
    <row r="548">
      <c r="A548" s="8" t="n"/>
      <c r="B548" s="9" t="n"/>
      <c r="C548" s="10" t="n"/>
      <c r="D548" s="10" t="n"/>
      <c r="E548" s="10" t="n"/>
      <c r="F548" s="10" t="n"/>
      <c r="G548" s="14" t="n"/>
      <c r="H548" s="9" t="n"/>
      <c r="I548" s="12" t="str">
        <f>IF(G548="","",IF(H548="לא",0,ROUND(G548*TaxRate/(1+TaxRate),2)))</f>
        <v/>
      </c>
      <c r="J548" s="12" t="str">
        <f>IF(G548="","",G548-I548)</f>
        <v/>
      </c>
      <c r="K548" s="13" t="str">
        <f>IF(A548="","",YEAR(A548))</f>
        <v/>
      </c>
    </row>
    <row r="549">
      <c r="A549" s="8" t="n"/>
      <c r="B549" s="9" t="n"/>
      <c r="C549" s="10" t="n"/>
      <c r="D549" s="10" t="n"/>
      <c r="E549" s="10" t="n"/>
      <c r="F549" s="10" t="n"/>
      <c r="G549" s="14" t="n"/>
      <c r="H549" s="9" t="n"/>
      <c r="I549" s="12" t="str">
        <f>IF(G549="","",IF(H549="לא",0,ROUND(G549*TaxRate/(1+TaxRate),2)))</f>
        <v/>
      </c>
      <c r="J549" s="12" t="str">
        <f>IF(G549="","",G549-I549)</f>
        <v/>
      </c>
      <c r="K549" s="13" t="str">
        <f>IF(A549="","",YEAR(A549))</f>
        <v/>
      </c>
    </row>
    <row r="550">
      <c r="A550" s="8" t="n"/>
      <c r="B550" s="9" t="n"/>
      <c r="C550" s="10" t="n"/>
      <c r="D550" s="10" t="n"/>
      <c r="E550" s="10" t="n"/>
      <c r="F550" s="10" t="n"/>
      <c r="G550" s="14" t="n"/>
      <c r="H550" s="9" t="n"/>
      <c r="I550" s="12" t="str">
        <f>IF(G550="","",IF(H550="לא",0,ROUND(G550*TaxRate/(1+TaxRate),2)))</f>
        <v/>
      </c>
      <c r="J550" s="12" t="str">
        <f>IF(G550="","",G550-I550)</f>
        <v/>
      </c>
      <c r="K550" s="13" t="str">
        <f>IF(A550="","",YEAR(A550))</f>
        <v/>
      </c>
    </row>
    <row r="551">
      <c r="A551" s="8" t="n"/>
      <c r="B551" s="9" t="n"/>
      <c r="C551" s="10" t="n"/>
      <c r="D551" s="10" t="n"/>
      <c r="E551" s="10" t="n"/>
      <c r="F551" s="10" t="n"/>
      <c r="G551" s="14" t="n"/>
      <c r="H551" s="9" t="n"/>
      <c r="I551" s="12" t="str">
        <f>IF(G551="","",IF(H551="לא",0,ROUND(G551*TaxRate/(1+TaxRate),2)))</f>
        <v/>
      </c>
      <c r="J551" s="12" t="str">
        <f>IF(G551="","",G551-I551)</f>
        <v/>
      </c>
      <c r="K551" s="13" t="str">
        <f>IF(A551="","",YEAR(A551))</f>
        <v/>
      </c>
    </row>
    <row r="552">
      <c r="A552" s="8" t="n"/>
      <c r="B552" s="9" t="n"/>
      <c r="C552" s="10" t="n"/>
      <c r="D552" s="10" t="n"/>
      <c r="E552" s="10" t="n"/>
      <c r="F552" s="10" t="n"/>
      <c r="G552" s="14" t="n"/>
      <c r="H552" s="9" t="n"/>
      <c r="I552" s="12" t="str">
        <f>IF(G552="","",IF(H552="לא",0,ROUND(G552*TaxRate/(1+TaxRate),2)))</f>
        <v/>
      </c>
      <c r="J552" s="12" t="str">
        <f>IF(G552="","",G552-I552)</f>
        <v/>
      </c>
      <c r="K552" s="13" t="str">
        <f>IF(A552="","",YEAR(A552))</f>
        <v/>
      </c>
    </row>
    <row r="553">
      <c r="A553" s="8" t="n"/>
      <c r="B553" s="9" t="n"/>
      <c r="C553" s="10" t="n"/>
      <c r="D553" s="10" t="n"/>
      <c r="E553" s="10" t="n"/>
      <c r="F553" s="10" t="n"/>
      <c r="G553" s="14" t="n"/>
      <c r="H553" s="9" t="n"/>
      <c r="I553" s="12" t="str">
        <f>IF(G553="","",IF(H553="לא",0,ROUND(G553*TaxRate/(1+TaxRate),2)))</f>
        <v/>
      </c>
      <c r="J553" s="12" t="str">
        <f>IF(G553="","",G553-I553)</f>
        <v/>
      </c>
      <c r="K553" s="13" t="str">
        <f>IF(A553="","",YEAR(A553))</f>
        <v/>
      </c>
    </row>
    <row r="554">
      <c r="A554" s="8" t="n"/>
      <c r="B554" s="9" t="n"/>
      <c r="C554" s="10" t="n"/>
      <c r="D554" s="10" t="n"/>
      <c r="E554" s="10" t="n"/>
      <c r="F554" s="10" t="n"/>
      <c r="G554" s="14" t="n"/>
      <c r="H554" s="9" t="n"/>
      <c r="I554" s="12" t="str">
        <f>IF(G554="","",IF(H554="לא",0,ROUND(G554*TaxRate/(1+TaxRate),2)))</f>
        <v/>
      </c>
      <c r="J554" s="12" t="str">
        <f>IF(G554="","",G554-I554)</f>
        <v/>
      </c>
      <c r="K554" s="13" t="str">
        <f>IF(A554="","",YEAR(A554))</f>
        <v/>
      </c>
    </row>
    <row r="555">
      <c r="A555" s="8" t="n"/>
      <c r="B555" s="9" t="n"/>
      <c r="C555" s="10" t="n"/>
      <c r="D555" s="10" t="n"/>
      <c r="E555" s="10" t="n"/>
      <c r="F555" s="10" t="n"/>
      <c r="G555" s="14" t="n"/>
      <c r="H555" s="9" t="n"/>
      <c r="I555" s="12" t="str">
        <f>IF(G555="","",IF(H555="לא",0,ROUND(G555*TaxRate/(1+TaxRate),2)))</f>
        <v/>
      </c>
      <c r="J555" s="12" t="str">
        <f>IF(G555="","",G555-I555)</f>
        <v/>
      </c>
      <c r="K555" s="13" t="str">
        <f>IF(A555="","",YEAR(A555))</f>
        <v/>
      </c>
    </row>
    <row r="556">
      <c r="A556" s="8" t="n"/>
      <c r="B556" s="9" t="n"/>
      <c r="C556" s="10" t="n"/>
      <c r="D556" s="10" t="n"/>
      <c r="E556" s="10" t="n"/>
      <c r="F556" s="10" t="n"/>
      <c r="G556" s="14" t="n"/>
      <c r="H556" s="9" t="n"/>
      <c r="I556" s="12" t="str">
        <f>IF(G556="","",IF(H556="לא",0,ROUND(G556*TaxRate/(1+TaxRate),2)))</f>
        <v/>
      </c>
      <c r="J556" s="12" t="str">
        <f>IF(G556="","",G556-I556)</f>
        <v/>
      </c>
      <c r="K556" s="13" t="str">
        <f>IF(A556="","",YEAR(A556))</f>
        <v/>
      </c>
    </row>
    <row r="557">
      <c r="A557" s="8" t="n"/>
      <c r="B557" s="9" t="n"/>
      <c r="C557" s="10" t="n"/>
      <c r="D557" s="10" t="n"/>
      <c r="E557" s="10" t="n"/>
      <c r="F557" s="10" t="n"/>
      <c r="G557" s="14" t="n"/>
      <c r="H557" s="9" t="n"/>
      <c r="I557" s="12" t="str">
        <f>IF(G557="","",IF(H557="לא",0,ROUND(G557*TaxRate/(1+TaxRate),2)))</f>
        <v/>
      </c>
      <c r="J557" s="12" t="str">
        <f>IF(G557="","",G557-I557)</f>
        <v/>
      </c>
      <c r="K557" s="13" t="str">
        <f>IF(A557="","",YEAR(A557))</f>
        <v/>
      </c>
    </row>
    <row r="558">
      <c r="A558" s="8" t="n"/>
      <c r="B558" s="9" t="n"/>
      <c r="C558" s="10" t="n"/>
      <c r="D558" s="10" t="n"/>
      <c r="E558" s="10" t="n"/>
      <c r="F558" s="10" t="n"/>
      <c r="G558" s="14" t="n"/>
      <c r="H558" s="9" t="n"/>
      <c r="I558" s="12" t="str">
        <f>IF(G558="","",IF(H558="לא",0,ROUND(G558*TaxRate/(1+TaxRate),2)))</f>
        <v/>
      </c>
      <c r="J558" s="12" t="str">
        <f>IF(G558="","",G558-I558)</f>
        <v/>
      </c>
      <c r="K558" s="13" t="str">
        <f>IF(A558="","",YEAR(A558))</f>
        <v/>
      </c>
    </row>
    <row r="559">
      <c r="A559" s="8" t="n"/>
      <c r="B559" s="9" t="n"/>
      <c r="C559" s="10" t="n"/>
      <c r="D559" s="10" t="n"/>
      <c r="E559" s="10" t="n"/>
      <c r="F559" s="10" t="n"/>
      <c r="G559" s="14" t="n"/>
      <c r="H559" s="9" t="n"/>
      <c r="I559" s="12" t="str">
        <f>IF(G559="","",IF(H559="לא",0,ROUND(G559*TaxRate/(1+TaxRate),2)))</f>
        <v/>
      </c>
      <c r="J559" s="12" t="str">
        <f>IF(G559="","",G559-I559)</f>
        <v/>
      </c>
      <c r="K559" s="13" t="str">
        <f>IF(A559="","",YEAR(A559))</f>
        <v/>
      </c>
    </row>
    <row r="560">
      <c r="A560" s="8" t="n"/>
      <c r="B560" s="9" t="n"/>
      <c r="C560" s="10" t="n"/>
      <c r="D560" s="10" t="n"/>
      <c r="E560" s="10" t="n"/>
      <c r="F560" s="10" t="n"/>
      <c r="G560" s="14" t="n"/>
      <c r="H560" s="9" t="n"/>
      <c r="I560" s="12" t="str">
        <f>IF(G560="","",IF(H560="לא",0,ROUND(G560*TaxRate/(1+TaxRate),2)))</f>
        <v/>
      </c>
      <c r="J560" s="12" t="str">
        <f>IF(G560="","",G560-I560)</f>
        <v/>
      </c>
      <c r="K560" s="13" t="str">
        <f>IF(A560="","",YEAR(A560))</f>
        <v/>
      </c>
    </row>
    <row r="561">
      <c r="A561" s="8" t="n"/>
      <c r="B561" s="9" t="n"/>
      <c r="C561" s="10" t="n"/>
      <c r="D561" s="10" t="n"/>
      <c r="E561" s="10" t="n"/>
      <c r="F561" s="10" t="n"/>
      <c r="G561" s="14" t="n"/>
      <c r="H561" s="9" t="n"/>
      <c r="I561" s="12" t="str">
        <f>IF(G561="","",IF(H561="לא",0,ROUND(G561*TaxRate/(1+TaxRate),2)))</f>
        <v/>
      </c>
      <c r="J561" s="12" t="str">
        <f>IF(G561="","",G561-I561)</f>
        <v/>
      </c>
      <c r="K561" s="13" t="str">
        <f>IF(A561="","",YEAR(A561))</f>
        <v/>
      </c>
    </row>
    <row r="562">
      <c r="A562" s="8" t="n"/>
      <c r="B562" s="9" t="n"/>
      <c r="C562" s="10" t="n"/>
      <c r="D562" s="10" t="n"/>
      <c r="E562" s="10" t="n"/>
      <c r="F562" s="10" t="n"/>
      <c r="G562" s="14" t="n"/>
      <c r="H562" s="9" t="n"/>
      <c r="I562" s="12" t="str">
        <f>IF(G562="","",IF(H562="לא",0,ROUND(G562*TaxRate/(1+TaxRate),2)))</f>
        <v/>
      </c>
      <c r="J562" s="12" t="str">
        <f>IF(G562="","",G562-I562)</f>
        <v/>
      </c>
      <c r="K562" s="13" t="str">
        <f>IF(A562="","",YEAR(A562))</f>
        <v/>
      </c>
    </row>
    <row r="563">
      <c r="A563" s="8" t="n"/>
      <c r="B563" s="9" t="n"/>
      <c r="C563" s="10" t="n"/>
      <c r="D563" s="10" t="n"/>
      <c r="E563" s="10" t="n"/>
      <c r="F563" s="10" t="n"/>
      <c r="G563" s="14" t="n"/>
      <c r="H563" s="9" t="n"/>
      <c r="I563" s="12" t="str">
        <f>IF(G563="","",IF(H563="לא",0,ROUND(G563*TaxRate/(1+TaxRate),2)))</f>
        <v/>
      </c>
      <c r="J563" s="12" t="str">
        <f>IF(G563="","",G563-I563)</f>
        <v/>
      </c>
      <c r="K563" s="13" t="str">
        <f>IF(A563="","",YEAR(A563))</f>
        <v/>
      </c>
    </row>
    <row r="564">
      <c r="A564" s="8" t="n"/>
      <c r="B564" s="9" t="n"/>
      <c r="C564" s="10" t="n"/>
      <c r="D564" s="10" t="n"/>
      <c r="E564" s="10" t="n"/>
      <c r="F564" s="10" t="n"/>
      <c r="G564" s="14" t="n"/>
      <c r="H564" s="9" t="n"/>
      <c r="I564" s="12" t="str">
        <f>IF(G564="","",IF(H564="לא",0,ROUND(G564*TaxRate/(1+TaxRate),2)))</f>
        <v/>
      </c>
      <c r="J564" s="12" t="str">
        <f>IF(G564="","",G564-I564)</f>
        <v/>
      </c>
      <c r="K564" s="13" t="str">
        <f>IF(A564="","",YEAR(A564))</f>
        <v/>
      </c>
    </row>
    <row r="565">
      <c r="A565" s="8" t="n"/>
      <c r="B565" s="9" t="n"/>
      <c r="C565" s="10" t="n"/>
      <c r="D565" s="10" t="n"/>
      <c r="E565" s="10" t="n"/>
      <c r="F565" s="10" t="n"/>
      <c r="G565" s="14" t="n"/>
      <c r="H565" s="9" t="n"/>
      <c r="I565" s="12" t="str">
        <f>IF(G565="","",IF(H565="לא",0,ROUND(G565*TaxRate/(1+TaxRate),2)))</f>
        <v/>
      </c>
      <c r="J565" s="12" t="str">
        <f>IF(G565="","",G565-I565)</f>
        <v/>
      </c>
      <c r="K565" s="13" t="str">
        <f>IF(A565="","",YEAR(A565))</f>
        <v/>
      </c>
    </row>
    <row r="566">
      <c r="A566" s="8" t="n"/>
      <c r="B566" s="9" t="n"/>
      <c r="C566" s="10" t="n"/>
      <c r="D566" s="10" t="n"/>
      <c r="E566" s="10" t="n"/>
      <c r="F566" s="10" t="n"/>
      <c r="G566" s="14" t="n"/>
      <c r="H566" s="9" t="n"/>
      <c r="I566" s="12" t="str">
        <f>IF(G566="","",IF(H566="לא",0,ROUND(G566*TaxRate/(1+TaxRate),2)))</f>
        <v/>
      </c>
      <c r="J566" s="12" t="str">
        <f>IF(G566="","",G566-I566)</f>
        <v/>
      </c>
      <c r="K566" s="13" t="str">
        <f>IF(A566="","",YEAR(A566))</f>
        <v/>
      </c>
    </row>
    <row r="567">
      <c r="A567" s="8" t="n"/>
      <c r="B567" s="9" t="n"/>
      <c r="C567" s="10" t="n"/>
      <c r="D567" s="10" t="n"/>
      <c r="E567" s="10" t="n"/>
      <c r="F567" s="10" t="n"/>
      <c r="G567" s="14" t="n"/>
      <c r="H567" s="9" t="n"/>
      <c r="I567" s="12" t="str">
        <f>IF(G567="","",IF(H567="לא",0,ROUND(G567*TaxRate/(1+TaxRate),2)))</f>
        <v/>
      </c>
      <c r="J567" s="12" t="str">
        <f>IF(G567="","",G567-I567)</f>
        <v/>
      </c>
      <c r="K567" s="13" t="str">
        <f>IF(A567="","",YEAR(A567))</f>
        <v/>
      </c>
    </row>
    <row r="568">
      <c r="A568" s="8" t="n"/>
      <c r="B568" s="9" t="n"/>
      <c r="C568" s="10" t="n"/>
      <c r="D568" s="10" t="n"/>
      <c r="E568" s="10" t="n"/>
      <c r="F568" s="10" t="n"/>
      <c r="G568" s="14" t="n"/>
      <c r="H568" s="9" t="n"/>
      <c r="I568" s="12" t="str">
        <f>IF(G568="","",IF(H568="לא",0,ROUND(G568*TaxRate/(1+TaxRate),2)))</f>
        <v/>
      </c>
      <c r="J568" s="12" t="str">
        <f>IF(G568="","",G568-I568)</f>
        <v/>
      </c>
      <c r="K568" s="13" t="str">
        <f>IF(A568="","",YEAR(A568))</f>
        <v/>
      </c>
    </row>
    <row r="569">
      <c r="A569" s="8" t="n"/>
      <c r="B569" s="9" t="n"/>
      <c r="C569" s="10" t="n"/>
      <c r="D569" s="10" t="n"/>
      <c r="E569" s="10" t="n"/>
      <c r="F569" s="10" t="n"/>
      <c r="G569" s="14" t="n"/>
      <c r="H569" s="9" t="n"/>
      <c r="I569" s="12" t="str">
        <f>IF(G569="","",IF(H569="לא",0,ROUND(G569*TaxRate/(1+TaxRate),2)))</f>
        <v/>
      </c>
      <c r="J569" s="12" t="str">
        <f>IF(G569="","",G569-I569)</f>
        <v/>
      </c>
      <c r="K569" s="13" t="str">
        <f>IF(A569="","",YEAR(A569))</f>
        <v/>
      </c>
    </row>
    <row r="570">
      <c r="A570" s="8" t="n"/>
      <c r="B570" s="9" t="n"/>
      <c r="C570" s="10" t="n"/>
      <c r="D570" s="10" t="n"/>
      <c r="E570" s="10" t="n"/>
      <c r="F570" s="10" t="n"/>
      <c r="G570" s="14" t="n"/>
      <c r="H570" s="9" t="n"/>
      <c r="I570" s="12" t="str">
        <f>IF(G570="","",IF(H570="לא",0,ROUND(G570*TaxRate/(1+TaxRate),2)))</f>
        <v/>
      </c>
      <c r="J570" s="12" t="str">
        <f>IF(G570="","",G570-I570)</f>
        <v/>
      </c>
      <c r="K570" s="13" t="str">
        <f>IF(A570="","",YEAR(A570))</f>
        <v/>
      </c>
    </row>
    <row r="571">
      <c r="A571" s="8" t="n"/>
      <c r="B571" s="9" t="n"/>
      <c r="C571" s="10" t="n"/>
      <c r="D571" s="10" t="n"/>
      <c r="E571" s="10" t="n"/>
      <c r="F571" s="10" t="n"/>
      <c r="G571" s="14" t="n"/>
      <c r="H571" s="9" t="n"/>
      <c r="I571" s="12" t="str">
        <f>IF(G571="","",IF(H571="לא",0,ROUND(G571*TaxRate/(1+TaxRate),2)))</f>
        <v/>
      </c>
      <c r="J571" s="12" t="str">
        <f>IF(G571="","",G571-I571)</f>
        <v/>
      </c>
      <c r="K571" s="13" t="str">
        <f>IF(A571="","",YEAR(A571))</f>
        <v/>
      </c>
    </row>
    <row r="572">
      <c r="A572" s="8" t="n"/>
      <c r="B572" s="9" t="n"/>
      <c r="C572" s="10" t="n"/>
      <c r="D572" s="10" t="n"/>
      <c r="E572" s="10" t="n"/>
      <c r="F572" s="10" t="n"/>
      <c r="G572" s="14" t="n"/>
      <c r="H572" s="9" t="n"/>
      <c r="I572" s="12" t="str">
        <f>IF(G572="","",IF(H572="לא",0,ROUND(G572*TaxRate/(1+TaxRate),2)))</f>
        <v/>
      </c>
      <c r="J572" s="12" t="str">
        <f>IF(G572="","",G572-I572)</f>
        <v/>
      </c>
      <c r="K572" s="13" t="str">
        <f>IF(A572="","",YEAR(A572))</f>
        <v/>
      </c>
    </row>
    <row r="573">
      <c r="A573" s="8" t="n"/>
      <c r="B573" s="9" t="n"/>
      <c r="C573" s="10" t="n"/>
      <c r="D573" s="10" t="n"/>
      <c r="E573" s="10" t="n"/>
      <c r="F573" s="10" t="n"/>
      <c r="G573" s="14" t="n"/>
      <c r="H573" s="9" t="n"/>
      <c r="I573" s="12" t="str">
        <f>IF(G573="","",IF(H573="לא",0,ROUND(G573*TaxRate/(1+TaxRate),2)))</f>
        <v/>
      </c>
      <c r="J573" s="12" t="str">
        <f>IF(G573="","",G573-I573)</f>
        <v/>
      </c>
      <c r="K573" s="13" t="str">
        <f>IF(A573="","",YEAR(A573))</f>
        <v/>
      </c>
    </row>
    <row r="574">
      <c r="A574" s="8" t="n"/>
      <c r="B574" s="9" t="n"/>
      <c r="C574" s="10" t="n"/>
      <c r="D574" s="10" t="n"/>
      <c r="E574" s="10" t="n"/>
      <c r="F574" s="10" t="n"/>
      <c r="G574" s="14" t="n"/>
      <c r="H574" s="9" t="n"/>
      <c r="I574" s="12" t="str">
        <f>IF(G574="","",IF(H574="לא",0,ROUND(G574*TaxRate/(1+TaxRate),2)))</f>
        <v/>
      </c>
      <c r="J574" s="12" t="str">
        <f>IF(G574="","",G574-I574)</f>
        <v/>
      </c>
      <c r="K574" s="13" t="str">
        <f>IF(A574="","",YEAR(A574))</f>
        <v/>
      </c>
    </row>
    <row r="575">
      <c r="A575" s="8" t="n"/>
      <c r="B575" s="9" t="n"/>
      <c r="C575" s="10" t="n"/>
      <c r="D575" s="10" t="n"/>
      <c r="E575" s="10" t="n"/>
      <c r="F575" s="10" t="n"/>
      <c r="G575" s="14" t="n"/>
      <c r="H575" s="9" t="n"/>
      <c r="I575" s="12" t="str">
        <f>IF(G575="","",IF(H575="לא",0,ROUND(G575*TaxRate/(1+TaxRate),2)))</f>
        <v/>
      </c>
      <c r="J575" s="12" t="str">
        <f>IF(G575="","",G575-I575)</f>
        <v/>
      </c>
      <c r="K575" s="13" t="str">
        <f>IF(A575="","",YEAR(A575))</f>
        <v/>
      </c>
    </row>
    <row r="576">
      <c r="A576" s="8" t="n"/>
      <c r="B576" s="9" t="n"/>
      <c r="C576" s="10" t="n"/>
      <c r="D576" s="10" t="n"/>
      <c r="E576" s="10" t="n"/>
      <c r="F576" s="10" t="n"/>
      <c r="G576" s="14" t="n"/>
      <c r="H576" s="9" t="n"/>
      <c r="I576" s="12" t="str">
        <f>IF(G576="","",IF(H576="לא",0,ROUND(G576*TaxRate/(1+TaxRate),2)))</f>
        <v/>
      </c>
      <c r="J576" s="12" t="str">
        <f>IF(G576="","",G576-I576)</f>
        <v/>
      </c>
      <c r="K576" s="13" t="str">
        <f>IF(A576="","",YEAR(A576))</f>
        <v/>
      </c>
    </row>
    <row r="577">
      <c r="A577" s="8" t="n"/>
      <c r="B577" s="9" t="n"/>
      <c r="C577" s="10" t="n"/>
      <c r="D577" s="10" t="n"/>
      <c r="E577" s="10" t="n"/>
      <c r="F577" s="10" t="n"/>
      <c r="G577" s="14" t="n"/>
      <c r="H577" s="9" t="n"/>
      <c r="I577" s="12" t="str">
        <f>IF(G577="","",IF(H577="לא",0,ROUND(G577*TaxRate/(1+TaxRate),2)))</f>
        <v/>
      </c>
      <c r="J577" s="12" t="str">
        <f>IF(G577="","",G577-I577)</f>
        <v/>
      </c>
      <c r="K577" s="13" t="str">
        <f>IF(A577="","",YEAR(A577))</f>
        <v/>
      </c>
    </row>
    <row r="578">
      <c r="A578" s="8" t="n"/>
      <c r="B578" s="9" t="n"/>
      <c r="C578" s="10" t="n"/>
      <c r="D578" s="10" t="n"/>
      <c r="E578" s="10" t="n"/>
      <c r="F578" s="10" t="n"/>
      <c r="G578" s="14" t="n"/>
      <c r="H578" s="9" t="n"/>
      <c r="I578" s="12" t="str">
        <f>IF(G578="","",IF(H578="לא",0,ROUND(G578*TaxRate/(1+TaxRate),2)))</f>
        <v/>
      </c>
      <c r="J578" s="12" t="str">
        <f>IF(G578="","",G578-I578)</f>
        <v/>
      </c>
      <c r="K578" s="13" t="str">
        <f>IF(A578="","",YEAR(A578))</f>
        <v/>
      </c>
    </row>
    <row r="579">
      <c r="A579" s="8" t="n"/>
      <c r="B579" s="9" t="n"/>
      <c r="C579" s="10" t="n"/>
      <c r="D579" s="10" t="n"/>
      <c r="E579" s="10" t="n"/>
      <c r="F579" s="10" t="n"/>
      <c r="G579" s="14" t="n"/>
      <c r="H579" s="9" t="n"/>
      <c r="I579" s="12" t="str">
        <f>IF(G579="","",IF(H579="לא",0,ROUND(G579*TaxRate/(1+TaxRate),2)))</f>
        <v/>
      </c>
      <c r="J579" s="12" t="str">
        <f>IF(G579="","",G579-I579)</f>
        <v/>
      </c>
      <c r="K579" s="13" t="str">
        <f>IF(A579="","",YEAR(A579))</f>
        <v/>
      </c>
    </row>
    <row r="580">
      <c r="A580" s="8" t="n"/>
      <c r="B580" s="9" t="n"/>
      <c r="C580" s="10" t="n"/>
      <c r="D580" s="10" t="n"/>
      <c r="E580" s="10" t="n"/>
      <c r="F580" s="10" t="n"/>
      <c r="G580" s="14" t="n"/>
      <c r="H580" s="9" t="n"/>
      <c r="I580" s="12" t="str">
        <f>IF(G580="","",IF(H580="לא",0,ROUND(G580*TaxRate/(1+TaxRate),2)))</f>
        <v/>
      </c>
      <c r="J580" s="12" t="str">
        <f>IF(G580="","",G580-I580)</f>
        <v/>
      </c>
      <c r="K580" s="13" t="str">
        <f>IF(A580="","",YEAR(A580))</f>
        <v/>
      </c>
    </row>
    <row r="581">
      <c r="A581" s="8" t="n"/>
      <c r="B581" s="9" t="n"/>
      <c r="C581" s="10" t="n"/>
      <c r="D581" s="10" t="n"/>
      <c r="E581" s="10" t="n"/>
      <c r="F581" s="10" t="n"/>
      <c r="G581" s="14" t="n"/>
      <c r="H581" s="9" t="n"/>
      <c r="I581" s="12" t="str">
        <f>IF(G581="","",IF(H581="לא",0,ROUND(G581*TaxRate/(1+TaxRate),2)))</f>
        <v/>
      </c>
      <c r="J581" s="12" t="str">
        <f>IF(G581="","",G581-I581)</f>
        <v/>
      </c>
      <c r="K581" s="13" t="str">
        <f>IF(A581="","",YEAR(A581))</f>
        <v/>
      </c>
    </row>
    <row r="582">
      <c r="A582" s="8" t="n"/>
      <c r="B582" s="9" t="n"/>
      <c r="C582" s="10" t="n"/>
      <c r="D582" s="10" t="n"/>
      <c r="E582" s="10" t="n"/>
      <c r="F582" s="10" t="n"/>
      <c r="G582" s="14" t="n"/>
      <c r="H582" s="9" t="n"/>
      <c r="I582" s="12" t="str">
        <f>IF(G582="","",IF(H582="לא",0,ROUND(G582*TaxRate/(1+TaxRate),2)))</f>
        <v/>
      </c>
      <c r="J582" s="12" t="str">
        <f>IF(G582="","",G582-I582)</f>
        <v/>
      </c>
      <c r="K582" s="13" t="str">
        <f>IF(A582="","",YEAR(A582))</f>
        <v/>
      </c>
    </row>
    <row r="583">
      <c r="A583" s="8" t="n"/>
      <c r="B583" s="9" t="n"/>
      <c r="C583" s="10" t="n"/>
      <c r="D583" s="10" t="n"/>
      <c r="E583" s="10" t="n"/>
      <c r="F583" s="10" t="n"/>
      <c r="G583" s="14" t="n"/>
      <c r="H583" s="9" t="n"/>
      <c r="I583" s="12" t="str">
        <f>IF(G583="","",IF(H583="לא",0,ROUND(G583*TaxRate/(1+TaxRate),2)))</f>
        <v/>
      </c>
      <c r="J583" s="12" t="str">
        <f>IF(G583="","",G583-I583)</f>
        <v/>
      </c>
      <c r="K583" s="13" t="str">
        <f>IF(A583="","",YEAR(A583))</f>
        <v/>
      </c>
    </row>
    <row r="584">
      <c r="A584" s="8" t="n"/>
      <c r="B584" s="9" t="n"/>
      <c r="C584" s="10" t="n"/>
      <c r="D584" s="10" t="n"/>
      <c r="E584" s="10" t="n"/>
      <c r="F584" s="10" t="n"/>
      <c r="G584" s="14" t="n"/>
      <c r="H584" s="9" t="n"/>
      <c r="I584" s="12" t="str">
        <f>IF(G584="","",IF(H584="לא",0,ROUND(G584*TaxRate/(1+TaxRate),2)))</f>
        <v/>
      </c>
      <c r="J584" s="12" t="str">
        <f>IF(G584="","",G584-I584)</f>
        <v/>
      </c>
      <c r="K584" s="13" t="str">
        <f>IF(A584="","",YEAR(A584))</f>
        <v/>
      </c>
    </row>
    <row r="585">
      <c r="A585" s="8" t="n"/>
      <c r="B585" s="9" t="n"/>
      <c r="C585" s="10" t="n"/>
      <c r="D585" s="10" t="n"/>
      <c r="E585" s="10" t="n"/>
      <c r="F585" s="10" t="n"/>
      <c r="G585" s="14" t="n"/>
      <c r="H585" s="9" t="n"/>
      <c r="I585" s="12" t="str">
        <f>IF(G585="","",IF(H585="לא",0,ROUND(G585*TaxRate/(1+TaxRate),2)))</f>
        <v/>
      </c>
      <c r="J585" s="12" t="str">
        <f>IF(G585="","",G585-I585)</f>
        <v/>
      </c>
      <c r="K585" s="13" t="str">
        <f>IF(A585="","",YEAR(A585))</f>
        <v/>
      </c>
    </row>
    <row r="586">
      <c r="A586" s="8" t="n"/>
      <c r="B586" s="9" t="n"/>
      <c r="C586" s="10" t="n"/>
      <c r="D586" s="10" t="n"/>
      <c r="E586" s="10" t="n"/>
      <c r="F586" s="10" t="n"/>
      <c r="G586" s="14" t="n"/>
      <c r="H586" s="9" t="n"/>
      <c r="I586" s="12" t="str">
        <f>IF(G586="","",IF(H586="לא",0,ROUND(G586*TaxRate/(1+TaxRate),2)))</f>
        <v/>
      </c>
      <c r="J586" s="12" t="str">
        <f>IF(G586="","",G586-I586)</f>
        <v/>
      </c>
      <c r="K586" s="13" t="str">
        <f>IF(A586="","",YEAR(A586))</f>
        <v/>
      </c>
    </row>
    <row r="587">
      <c r="A587" s="8" t="n"/>
      <c r="B587" s="9" t="n"/>
      <c r="C587" s="10" t="n"/>
      <c r="D587" s="10" t="n"/>
      <c r="E587" s="10" t="n"/>
      <c r="F587" s="10" t="n"/>
      <c r="G587" s="14" t="n"/>
      <c r="H587" s="9" t="n"/>
      <c r="I587" s="12" t="str">
        <f>IF(G587="","",IF(H587="לא",0,ROUND(G587*TaxRate/(1+TaxRate),2)))</f>
        <v/>
      </c>
      <c r="J587" s="12" t="str">
        <f>IF(G587="","",G587-I587)</f>
        <v/>
      </c>
      <c r="K587" s="13" t="str">
        <f>IF(A587="","",YEAR(A587))</f>
        <v/>
      </c>
    </row>
    <row r="588">
      <c r="A588" s="8" t="n"/>
      <c r="B588" s="9" t="n"/>
      <c r="C588" s="10" t="n"/>
      <c r="D588" s="10" t="n"/>
      <c r="E588" s="10" t="n"/>
      <c r="F588" s="10" t="n"/>
      <c r="G588" s="14" t="n"/>
      <c r="H588" s="9" t="n"/>
      <c r="I588" s="12" t="str">
        <f>IF(G588="","",IF(H588="לא",0,ROUND(G588*TaxRate/(1+TaxRate),2)))</f>
        <v/>
      </c>
      <c r="J588" s="12" t="str">
        <f>IF(G588="","",G588-I588)</f>
        <v/>
      </c>
      <c r="K588" s="13" t="str">
        <f>IF(A588="","",YEAR(A588))</f>
        <v/>
      </c>
    </row>
    <row r="589">
      <c r="A589" s="8" t="n"/>
      <c r="B589" s="9" t="n"/>
      <c r="C589" s="10" t="n"/>
      <c r="D589" s="10" t="n"/>
      <c r="E589" s="10" t="n"/>
      <c r="F589" s="10" t="n"/>
      <c r="G589" s="14" t="n"/>
      <c r="H589" s="9" t="n"/>
      <c r="I589" s="12" t="str">
        <f>IF(G589="","",IF(H589="לא",0,ROUND(G589*TaxRate/(1+TaxRate),2)))</f>
        <v/>
      </c>
      <c r="J589" s="12" t="str">
        <f>IF(G589="","",G589-I589)</f>
        <v/>
      </c>
      <c r="K589" s="13" t="str">
        <f>IF(A589="","",YEAR(A589))</f>
        <v/>
      </c>
    </row>
    <row r="590">
      <c r="A590" s="8" t="n"/>
      <c r="B590" s="9" t="n"/>
      <c r="C590" s="10" t="n"/>
      <c r="D590" s="10" t="n"/>
      <c r="E590" s="10" t="n"/>
      <c r="F590" s="10" t="n"/>
      <c r="G590" s="14" t="n"/>
      <c r="H590" s="9" t="n"/>
      <c r="I590" s="12" t="str">
        <f>IF(G590="","",IF(H590="לא",0,ROUND(G590*TaxRate/(1+TaxRate),2)))</f>
        <v/>
      </c>
      <c r="J590" s="12" t="str">
        <f>IF(G590="","",G590-I590)</f>
        <v/>
      </c>
      <c r="K590" s="13" t="str">
        <f>IF(A590="","",YEAR(A590))</f>
        <v/>
      </c>
    </row>
    <row r="591">
      <c r="A591" s="8" t="n"/>
      <c r="B591" s="9" t="n"/>
      <c r="C591" s="10" t="n"/>
      <c r="D591" s="10" t="n"/>
      <c r="E591" s="10" t="n"/>
      <c r="F591" s="10" t="n"/>
      <c r="G591" s="14" t="n"/>
      <c r="H591" s="9" t="n"/>
      <c r="I591" s="12" t="str">
        <f>IF(G591="","",IF(H591="לא",0,ROUND(G591*TaxRate/(1+TaxRate),2)))</f>
        <v/>
      </c>
      <c r="J591" s="12" t="str">
        <f>IF(G591="","",G591-I591)</f>
        <v/>
      </c>
      <c r="K591" s="13" t="str">
        <f>IF(A591="","",YEAR(A591))</f>
        <v/>
      </c>
    </row>
    <row r="592">
      <c r="A592" s="8" t="n"/>
      <c r="B592" s="9" t="n"/>
      <c r="C592" s="10" t="n"/>
      <c r="D592" s="10" t="n"/>
      <c r="E592" s="10" t="n"/>
      <c r="F592" s="10" t="n"/>
      <c r="G592" s="14" t="n"/>
      <c r="H592" s="9" t="n"/>
      <c r="I592" s="12" t="str">
        <f>IF(G592="","",IF(H592="לא",0,ROUND(G592*TaxRate/(1+TaxRate),2)))</f>
        <v/>
      </c>
      <c r="J592" s="12" t="str">
        <f>IF(G592="","",G592-I592)</f>
        <v/>
      </c>
      <c r="K592" s="13" t="str">
        <f>IF(A592="","",YEAR(A592))</f>
        <v/>
      </c>
    </row>
    <row r="593">
      <c r="A593" s="8" t="n"/>
      <c r="B593" s="9" t="n"/>
      <c r="C593" s="10" t="n"/>
      <c r="D593" s="10" t="n"/>
      <c r="E593" s="10" t="n"/>
      <c r="F593" s="10" t="n"/>
      <c r="G593" s="14" t="n"/>
      <c r="H593" s="9" t="n"/>
      <c r="I593" s="12" t="str">
        <f>IF(G593="","",IF(H593="לא",0,ROUND(G593*TaxRate/(1+TaxRate),2)))</f>
        <v/>
      </c>
      <c r="J593" s="12" t="str">
        <f>IF(G593="","",G593-I593)</f>
        <v/>
      </c>
      <c r="K593" s="13" t="str">
        <f>IF(A593="","",YEAR(A593))</f>
        <v/>
      </c>
    </row>
    <row r="594">
      <c r="A594" s="8" t="n"/>
      <c r="B594" s="9" t="n"/>
      <c r="C594" s="10" t="n"/>
      <c r="D594" s="10" t="n"/>
      <c r="E594" s="10" t="n"/>
      <c r="F594" s="10" t="n"/>
      <c r="G594" s="14" t="n"/>
      <c r="H594" s="9" t="n"/>
      <c r="I594" s="12" t="str">
        <f>IF(G594="","",IF(H594="לא",0,ROUND(G594*TaxRate/(1+TaxRate),2)))</f>
        <v/>
      </c>
      <c r="J594" s="12" t="str">
        <f>IF(G594="","",G594-I594)</f>
        <v/>
      </c>
      <c r="K594" s="13" t="str">
        <f>IF(A594="","",YEAR(A594))</f>
        <v/>
      </c>
    </row>
    <row r="595">
      <c r="A595" s="8" t="n"/>
      <c r="B595" s="9" t="n"/>
      <c r="C595" s="10" t="n"/>
      <c r="D595" s="10" t="n"/>
      <c r="E595" s="10" t="n"/>
      <c r="F595" s="10" t="n"/>
      <c r="G595" s="14" t="n"/>
      <c r="H595" s="9" t="n"/>
      <c r="I595" s="12" t="str">
        <f>IF(G595="","",IF(H595="לא",0,ROUND(G595*TaxRate/(1+TaxRate),2)))</f>
        <v/>
      </c>
      <c r="J595" s="12" t="str">
        <f>IF(G595="","",G595-I595)</f>
        <v/>
      </c>
      <c r="K595" s="13" t="str">
        <f>IF(A595="","",YEAR(A595))</f>
        <v/>
      </c>
    </row>
    <row r="596">
      <c r="A596" s="8" t="n"/>
      <c r="B596" s="9" t="n"/>
      <c r="C596" s="10" t="n"/>
      <c r="D596" s="10" t="n"/>
      <c r="E596" s="10" t="n"/>
      <c r="F596" s="10" t="n"/>
      <c r="G596" s="14" t="n"/>
      <c r="H596" s="9" t="n"/>
      <c r="I596" s="12" t="str">
        <f>IF(G596="","",IF(H596="לא",0,ROUND(G596*TaxRate/(1+TaxRate),2)))</f>
        <v/>
      </c>
      <c r="J596" s="12" t="str">
        <f>IF(G596="","",G596-I596)</f>
        <v/>
      </c>
      <c r="K596" s="13" t="str">
        <f>IF(A596="","",YEAR(A596))</f>
        <v/>
      </c>
    </row>
    <row r="597">
      <c r="A597" s="8" t="n"/>
      <c r="B597" s="9" t="n"/>
      <c r="C597" s="10" t="n"/>
      <c r="D597" s="10" t="n"/>
      <c r="E597" s="10" t="n"/>
      <c r="F597" s="10" t="n"/>
      <c r="G597" s="14" t="n"/>
      <c r="H597" s="9" t="n"/>
      <c r="I597" s="12" t="str">
        <f>IF(G597="","",IF(H597="לא",0,ROUND(G597*TaxRate/(1+TaxRate),2)))</f>
        <v/>
      </c>
      <c r="J597" s="12" t="str">
        <f>IF(G597="","",G597-I597)</f>
        <v/>
      </c>
      <c r="K597" s="13" t="str">
        <f>IF(A597="","",YEAR(A597))</f>
        <v/>
      </c>
    </row>
    <row r="598">
      <c r="A598" s="8" t="n"/>
      <c r="B598" s="9" t="n"/>
      <c r="C598" s="10" t="n"/>
      <c r="D598" s="10" t="n"/>
      <c r="E598" s="10" t="n"/>
      <c r="F598" s="10" t="n"/>
      <c r="G598" s="14" t="n"/>
      <c r="H598" s="9" t="n"/>
      <c r="I598" s="12" t="str">
        <f>IF(G598="","",IF(H598="לא",0,ROUND(G598*TaxRate/(1+TaxRate),2)))</f>
        <v/>
      </c>
      <c r="J598" s="12" t="str">
        <f>IF(G598="","",G598-I598)</f>
        <v/>
      </c>
      <c r="K598" s="13" t="str">
        <f>IF(A598="","",YEAR(A598))</f>
        <v/>
      </c>
    </row>
    <row r="599">
      <c r="A599" s="8" t="n"/>
      <c r="B599" s="9" t="n"/>
      <c r="C599" s="10" t="n"/>
      <c r="D599" s="10" t="n"/>
      <c r="E599" s="10" t="n"/>
      <c r="F599" s="10" t="n"/>
      <c r="G599" s="14" t="n"/>
      <c r="H599" s="9" t="n"/>
      <c r="I599" s="12" t="str">
        <f>IF(G599="","",IF(H599="לא",0,ROUND(G599*TaxRate/(1+TaxRate),2)))</f>
        <v/>
      </c>
      <c r="J599" s="12" t="str">
        <f>IF(G599="","",G599-I599)</f>
        <v/>
      </c>
      <c r="K599" s="13" t="str">
        <f>IF(A599="","",YEAR(A599))</f>
        <v/>
      </c>
    </row>
    <row r="600">
      <c r="A600" s="8" t="n"/>
      <c r="B600" s="9" t="n"/>
      <c r="C600" s="10" t="n"/>
      <c r="D600" s="10" t="n"/>
      <c r="E600" s="10" t="n"/>
      <c r="F600" s="10" t="n"/>
      <c r="G600" s="14" t="n"/>
      <c r="H600" s="9" t="n"/>
      <c r="I600" s="12" t="str">
        <f>IF(G600="","",IF(H600="לא",0,ROUND(G600*TaxRate/(1+TaxRate),2)))</f>
        <v/>
      </c>
      <c r="J600" s="12" t="str">
        <f>IF(G600="","",G600-I600)</f>
        <v/>
      </c>
      <c r="K600" s="13" t="str">
        <f>IF(A600="","",YEAR(A600))</f>
        <v/>
      </c>
    </row>
    <row r="601">
      <c r="A601" s="8" t="n"/>
      <c r="B601" s="9" t="n"/>
      <c r="C601" s="10" t="n"/>
      <c r="D601" s="10" t="n"/>
      <c r="E601" s="10" t="n"/>
      <c r="F601" s="10" t="n"/>
      <c r="G601" s="14" t="n"/>
      <c r="H601" s="9" t="n"/>
      <c r="I601" s="12" t="str">
        <f>IF(G601="","",IF(H601="לא",0,ROUND(G601*TaxRate/(1+TaxRate),2)))</f>
        <v/>
      </c>
      <c r="J601" s="12" t="str">
        <f>IF(G601="","",G601-I601)</f>
        <v/>
      </c>
      <c r="K601" s="13" t="str">
        <f>IF(A601="","",YEAR(A601))</f>
        <v/>
      </c>
    </row>
    <row r="602">
      <c r="A602" s="8" t="n"/>
      <c r="B602" s="9" t="n"/>
      <c r="C602" s="10" t="n"/>
      <c r="D602" s="10" t="n"/>
      <c r="E602" s="10" t="n"/>
      <c r="F602" s="10" t="n"/>
      <c r="G602" s="14" t="n"/>
      <c r="H602" s="9" t="n"/>
      <c r="I602" s="12" t="str">
        <f>IF(G602="","",IF(H602="לא",0,ROUND(G602*TaxRate/(1+TaxRate),2)))</f>
        <v/>
      </c>
      <c r="J602" s="12" t="str">
        <f>IF(G602="","",G602-I602)</f>
        <v/>
      </c>
      <c r="K602" s="13" t="str">
        <f>IF(A602="","",YEAR(A602))</f>
        <v/>
      </c>
    </row>
    <row r="603">
      <c r="A603" s="8" t="n"/>
      <c r="B603" s="9" t="n"/>
      <c r="C603" s="10" t="n"/>
      <c r="D603" s="10" t="n"/>
      <c r="E603" s="10" t="n"/>
      <c r="F603" s="10" t="n"/>
      <c r="G603" s="14" t="n"/>
      <c r="H603" s="9" t="n"/>
      <c r="I603" s="12" t="str">
        <f>IF(G603="","",IF(H603="לא",0,ROUND(G603*TaxRate/(1+TaxRate),2)))</f>
        <v/>
      </c>
      <c r="J603" s="12" t="str">
        <f>IF(G603="","",G603-I603)</f>
        <v/>
      </c>
      <c r="K603" s="13" t="str">
        <f>IF(A603="","",YEAR(A603))</f>
        <v/>
      </c>
    </row>
    <row r="604">
      <c r="A604" s="8" t="n"/>
      <c r="B604" s="9" t="n"/>
      <c r="C604" s="10" t="n"/>
      <c r="D604" s="10" t="n"/>
      <c r="E604" s="10" t="n"/>
      <c r="F604" s="10" t="n"/>
      <c r="G604" s="14" t="n"/>
      <c r="H604" s="9" t="n"/>
      <c r="I604" s="12" t="str">
        <f>IF(G604="","",IF(H604="לא",0,ROUND(G604*TaxRate/(1+TaxRate),2)))</f>
        <v/>
      </c>
      <c r="J604" s="12" t="str">
        <f>IF(G604="","",G604-I604)</f>
        <v/>
      </c>
      <c r="K604" s="13" t="str">
        <f>IF(A604="","",YEAR(A604))</f>
        <v/>
      </c>
    </row>
    <row r="605">
      <c r="A605" s="8" t="n"/>
      <c r="B605" s="9" t="n"/>
      <c r="C605" s="10" t="n"/>
      <c r="D605" s="10" t="n"/>
      <c r="E605" s="10" t="n"/>
      <c r="F605" s="10" t="n"/>
      <c r="G605" s="14" t="n"/>
      <c r="H605" s="9" t="n"/>
      <c r="I605" s="12" t="str">
        <f>IF(G605="","",IF(H605="לא",0,ROUND(G605*TaxRate/(1+TaxRate),2)))</f>
        <v/>
      </c>
      <c r="J605" s="12" t="str">
        <f>IF(G605="","",G605-I605)</f>
        <v/>
      </c>
      <c r="K605" s="13" t="str">
        <f>IF(A605="","",YEAR(A605))</f>
        <v/>
      </c>
    </row>
    <row r="606">
      <c r="A606" s="8" t="n"/>
      <c r="B606" s="9" t="n"/>
      <c r="C606" s="10" t="n"/>
      <c r="D606" s="10" t="n"/>
      <c r="E606" s="10" t="n"/>
      <c r="F606" s="10" t="n"/>
      <c r="G606" s="14" t="n"/>
      <c r="H606" s="9" t="n"/>
      <c r="I606" s="12" t="str">
        <f>IF(G606="","",IF(H606="לא",0,ROUND(G606*TaxRate/(1+TaxRate),2)))</f>
        <v/>
      </c>
      <c r="J606" s="12" t="str">
        <f>IF(G606="","",G606-I606)</f>
        <v/>
      </c>
      <c r="K606" s="13" t="str">
        <f>IF(A606="","",YEAR(A606))</f>
        <v/>
      </c>
    </row>
    <row r="607">
      <c r="A607" s="8" t="n"/>
      <c r="B607" s="9" t="n"/>
      <c r="C607" s="10" t="n"/>
      <c r="D607" s="10" t="n"/>
      <c r="E607" s="10" t="n"/>
      <c r="F607" s="10" t="n"/>
      <c r="G607" s="14" t="n"/>
      <c r="H607" s="9" t="n"/>
      <c r="I607" s="12" t="str">
        <f>IF(G607="","",IF(H607="לא",0,ROUND(G607*TaxRate/(1+TaxRate),2)))</f>
        <v/>
      </c>
      <c r="J607" s="12" t="str">
        <f>IF(G607="","",G607-I607)</f>
        <v/>
      </c>
      <c r="K607" s="13" t="str">
        <f>IF(A607="","",YEAR(A607))</f>
        <v/>
      </c>
    </row>
    <row r="608">
      <c r="A608" s="8" t="n"/>
      <c r="B608" s="9" t="n"/>
      <c r="C608" s="10" t="n"/>
      <c r="D608" s="10" t="n"/>
      <c r="E608" s="10" t="n"/>
      <c r="F608" s="10" t="n"/>
      <c r="G608" s="14" t="n"/>
      <c r="H608" s="9" t="n"/>
      <c r="I608" s="12" t="str">
        <f>IF(G608="","",IF(H608="לא",0,ROUND(G608*TaxRate/(1+TaxRate),2)))</f>
        <v/>
      </c>
      <c r="J608" s="12" t="str">
        <f>IF(G608="","",G608-I608)</f>
        <v/>
      </c>
      <c r="K608" s="13" t="str">
        <f>IF(A608="","",YEAR(A608))</f>
        <v/>
      </c>
    </row>
    <row r="609">
      <c r="A609" s="8" t="n"/>
      <c r="B609" s="9" t="n"/>
      <c r="C609" s="10" t="n"/>
      <c r="D609" s="10" t="n"/>
      <c r="E609" s="10" t="n"/>
      <c r="F609" s="10" t="n"/>
      <c r="G609" s="14" t="n"/>
      <c r="H609" s="9" t="n"/>
      <c r="I609" s="12" t="str">
        <f>IF(G609="","",IF(H609="לא",0,ROUND(G609*TaxRate/(1+TaxRate),2)))</f>
        <v/>
      </c>
      <c r="J609" s="12" t="str">
        <f>IF(G609="","",G609-I609)</f>
        <v/>
      </c>
      <c r="K609" s="13" t="str">
        <f>IF(A609="","",YEAR(A609))</f>
        <v/>
      </c>
    </row>
    <row r="610">
      <c r="A610" s="8" t="n"/>
      <c r="B610" s="9" t="n"/>
      <c r="C610" s="10" t="n"/>
      <c r="D610" s="10" t="n"/>
      <c r="E610" s="10" t="n"/>
      <c r="F610" s="10" t="n"/>
      <c r="G610" s="14" t="n"/>
      <c r="H610" s="9" t="n"/>
      <c r="I610" s="12" t="str">
        <f>IF(G610="","",IF(H610="לא",0,ROUND(G610*TaxRate/(1+TaxRate),2)))</f>
        <v/>
      </c>
      <c r="J610" s="12" t="str">
        <f>IF(G610="","",G610-I610)</f>
        <v/>
      </c>
      <c r="K610" s="13" t="str">
        <f>IF(A610="","",YEAR(A610))</f>
        <v/>
      </c>
    </row>
    <row r="611">
      <c r="A611" s="8" t="n"/>
      <c r="B611" s="9" t="n"/>
      <c r="C611" s="10" t="n"/>
      <c r="D611" s="10" t="n"/>
      <c r="E611" s="10" t="n"/>
      <c r="F611" s="10" t="n"/>
      <c r="G611" s="14" t="n"/>
      <c r="H611" s="9" t="n"/>
      <c r="I611" s="12" t="str">
        <f>IF(G611="","",IF(H611="לא",0,ROUND(G611*TaxRate/(1+TaxRate),2)))</f>
        <v/>
      </c>
      <c r="J611" s="12" t="str">
        <f>IF(G611="","",G611-I611)</f>
        <v/>
      </c>
      <c r="K611" s="13" t="str">
        <f>IF(A611="","",YEAR(A611))</f>
        <v/>
      </c>
    </row>
    <row r="612">
      <c r="A612" s="8" t="n"/>
      <c r="B612" s="9" t="n"/>
      <c r="C612" s="10" t="n"/>
      <c r="D612" s="10" t="n"/>
      <c r="E612" s="10" t="n"/>
      <c r="F612" s="10" t="n"/>
      <c r="G612" s="14" t="n"/>
      <c r="H612" s="9" t="n"/>
      <c r="I612" s="12" t="str">
        <f>IF(G612="","",IF(H612="לא",0,ROUND(G612*TaxRate/(1+TaxRate),2)))</f>
        <v/>
      </c>
      <c r="J612" s="12" t="str">
        <f>IF(G612="","",G612-I612)</f>
        <v/>
      </c>
      <c r="K612" s="13" t="str">
        <f>IF(A612="","",YEAR(A612))</f>
        <v/>
      </c>
    </row>
    <row r="613">
      <c r="A613" s="8" t="n"/>
      <c r="B613" s="9" t="n"/>
      <c r="C613" s="10" t="n"/>
      <c r="D613" s="10" t="n"/>
      <c r="E613" s="10" t="n"/>
      <c r="F613" s="10" t="n"/>
      <c r="G613" s="14" t="n"/>
      <c r="H613" s="9" t="n"/>
      <c r="I613" s="12" t="str">
        <f>IF(G613="","",IF(H613="לא",0,ROUND(G613*TaxRate/(1+TaxRate),2)))</f>
        <v/>
      </c>
      <c r="J613" s="12" t="str">
        <f>IF(G613="","",G613-I613)</f>
        <v/>
      </c>
      <c r="K613" s="13" t="str">
        <f>IF(A613="","",YEAR(A613))</f>
        <v/>
      </c>
    </row>
    <row r="614">
      <c r="A614" s="8" t="n"/>
      <c r="B614" s="9" t="n"/>
      <c r="C614" s="10" t="n"/>
      <c r="D614" s="10" t="n"/>
      <c r="E614" s="10" t="n"/>
      <c r="F614" s="10" t="n"/>
      <c r="G614" s="14" t="n"/>
      <c r="H614" s="9" t="n"/>
      <c r="I614" s="12" t="str">
        <f>IF(G614="","",IF(H614="לא",0,ROUND(G614*TaxRate/(1+TaxRate),2)))</f>
        <v/>
      </c>
      <c r="J614" s="12" t="str">
        <f>IF(G614="","",G614-I614)</f>
        <v/>
      </c>
      <c r="K614" s="13" t="str">
        <f>IF(A614="","",YEAR(A614))</f>
        <v/>
      </c>
    </row>
    <row r="615">
      <c r="A615" s="8" t="n"/>
      <c r="B615" s="9" t="n"/>
      <c r="C615" s="10" t="n"/>
      <c r="D615" s="10" t="n"/>
      <c r="E615" s="10" t="n"/>
      <c r="F615" s="10" t="n"/>
      <c r="G615" s="14" t="n"/>
      <c r="H615" s="9" t="n"/>
      <c r="I615" s="12" t="str">
        <f>IF(G615="","",IF(H615="לא",0,ROUND(G615*TaxRate/(1+TaxRate),2)))</f>
        <v/>
      </c>
      <c r="J615" s="12" t="str">
        <f>IF(G615="","",G615-I615)</f>
        <v/>
      </c>
      <c r="K615" s="13" t="str">
        <f>IF(A615="","",YEAR(A615))</f>
        <v/>
      </c>
    </row>
    <row r="616">
      <c r="A616" s="8" t="n"/>
      <c r="B616" s="9" t="n"/>
      <c r="C616" s="10" t="n"/>
      <c r="D616" s="10" t="n"/>
      <c r="E616" s="10" t="n"/>
      <c r="F616" s="10" t="n"/>
      <c r="G616" s="14" t="n"/>
      <c r="H616" s="9" t="n"/>
      <c r="I616" s="12" t="str">
        <f>IF(G616="","",IF(H616="לא",0,ROUND(G616*TaxRate/(1+TaxRate),2)))</f>
        <v/>
      </c>
      <c r="J616" s="12" t="str">
        <f>IF(G616="","",G616-I616)</f>
        <v/>
      </c>
      <c r="K616" s="13" t="str">
        <f>IF(A616="","",YEAR(A616))</f>
        <v/>
      </c>
    </row>
    <row r="617">
      <c r="A617" s="8" t="n"/>
      <c r="B617" s="9" t="n"/>
      <c r="C617" s="10" t="n"/>
      <c r="D617" s="10" t="n"/>
      <c r="E617" s="10" t="n"/>
      <c r="F617" s="10" t="n"/>
      <c r="G617" s="14" t="n"/>
      <c r="H617" s="9" t="n"/>
      <c r="I617" s="12" t="str">
        <f>IF(G617="","",IF(H617="לא",0,ROUND(G617*TaxRate/(1+TaxRate),2)))</f>
        <v/>
      </c>
      <c r="J617" s="12" t="str">
        <f>IF(G617="","",G617-I617)</f>
        <v/>
      </c>
      <c r="K617" s="13" t="str">
        <f>IF(A617="","",YEAR(A617))</f>
        <v/>
      </c>
    </row>
    <row r="618">
      <c r="A618" s="8" t="n"/>
      <c r="B618" s="9" t="n"/>
      <c r="C618" s="10" t="n"/>
      <c r="D618" s="10" t="n"/>
      <c r="E618" s="10" t="n"/>
      <c r="F618" s="10" t="n"/>
      <c r="G618" s="14" t="n"/>
      <c r="H618" s="9" t="n"/>
      <c r="I618" s="12" t="str">
        <f>IF(G618="","",IF(H618="לא",0,ROUND(G618*TaxRate/(1+TaxRate),2)))</f>
        <v/>
      </c>
      <c r="J618" s="12" t="str">
        <f>IF(G618="","",G618-I618)</f>
        <v/>
      </c>
      <c r="K618" s="13" t="str">
        <f>IF(A618="","",YEAR(A618))</f>
        <v/>
      </c>
    </row>
    <row r="619">
      <c r="A619" s="8" t="n"/>
      <c r="B619" s="9" t="n"/>
      <c r="C619" s="10" t="n"/>
      <c r="D619" s="10" t="n"/>
      <c r="E619" s="10" t="n"/>
      <c r="F619" s="10" t="n"/>
      <c r="G619" s="14" t="n"/>
      <c r="H619" s="9" t="n"/>
      <c r="I619" s="12" t="str">
        <f>IF(G619="","",IF(H619="לא",0,ROUND(G619*TaxRate/(1+TaxRate),2)))</f>
        <v/>
      </c>
      <c r="J619" s="12" t="str">
        <f>IF(G619="","",G619-I619)</f>
        <v/>
      </c>
      <c r="K619" s="13" t="str">
        <f>IF(A619="","",YEAR(A619))</f>
        <v/>
      </c>
    </row>
    <row r="620">
      <c r="A620" s="8" t="n"/>
      <c r="B620" s="9" t="n"/>
      <c r="C620" s="10" t="n"/>
      <c r="D620" s="10" t="n"/>
      <c r="E620" s="10" t="n"/>
      <c r="F620" s="10" t="n"/>
      <c r="G620" s="14" t="n"/>
      <c r="H620" s="9" t="n"/>
      <c r="I620" s="12" t="str">
        <f>IF(G620="","",IF(H620="לא",0,ROUND(G620*TaxRate/(1+TaxRate),2)))</f>
        <v/>
      </c>
      <c r="J620" s="12" t="str">
        <f>IF(G620="","",G620-I620)</f>
        <v/>
      </c>
      <c r="K620" s="13" t="str">
        <f>IF(A620="","",YEAR(A620))</f>
        <v/>
      </c>
    </row>
    <row r="621">
      <c r="A621" s="8" t="n"/>
      <c r="B621" s="9" t="n"/>
      <c r="C621" s="10" t="n"/>
      <c r="D621" s="10" t="n"/>
      <c r="E621" s="10" t="n"/>
      <c r="F621" s="10" t="n"/>
      <c r="G621" s="14" t="n"/>
      <c r="H621" s="9" t="n"/>
      <c r="I621" s="12" t="str">
        <f>IF(G621="","",IF(H621="לא",0,ROUND(G621*TaxRate/(1+TaxRate),2)))</f>
        <v/>
      </c>
      <c r="J621" s="12" t="str">
        <f>IF(G621="","",G621-I621)</f>
        <v/>
      </c>
      <c r="K621" s="13" t="str">
        <f>IF(A621="","",YEAR(A621))</f>
        <v/>
      </c>
    </row>
    <row r="622">
      <c r="A622" s="8" t="n"/>
      <c r="B622" s="9" t="n"/>
      <c r="C622" s="10" t="n"/>
      <c r="D622" s="10" t="n"/>
      <c r="E622" s="10" t="n"/>
      <c r="F622" s="10" t="n"/>
      <c r="G622" s="14" t="n"/>
      <c r="H622" s="9" t="n"/>
      <c r="I622" s="12" t="str">
        <f>IF(G622="","",IF(H622="לא",0,ROUND(G622*TaxRate/(1+TaxRate),2)))</f>
        <v/>
      </c>
      <c r="J622" s="12" t="str">
        <f>IF(G622="","",G622-I622)</f>
        <v/>
      </c>
      <c r="K622" s="13" t="str">
        <f>IF(A622="","",YEAR(A622))</f>
        <v/>
      </c>
    </row>
    <row r="623">
      <c r="A623" s="8" t="n"/>
      <c r="B623" s="9" t="n"/>
      <c r="C623" s="10" t="n"/>
      <c r="D623" s="10" t="n"/>
      <c r="E623" s="10" t="n"/>
      <c r="F623" s="10" t="n"/>
      <c r="G623" s="14" t="n"/>
      <c r="H623" s="9" t="n"/>
      <c r="I623" s="12" t="str">
        <f>IF(G623="","",IF(H623="לא",0,ROUND(G623*TaxRate/(1+TaxRate),2)))</f>
        <v/>
      </c>
      <c r="J623" s="12" t="str">
        <f>IF(G623="","",G623-I623)</f>
        <v/>
      </c>
      <c r="K623" s="13" t="str">
        <f>IF(A623="","",YEAR(A623))</f>
        <v/>
      </c>
    </row>
    <row r="624">
      <c r="A624" s="8" t="n"/>
      <c r="B624" s="9" t="n"/>
      <c r="C624" s="10" t="n"/>
      <c r="D624" s="10" t="n"/>
      <c r="E624" s="10" t="n"/>
      <c r="F624" s="10" t="n"/>
      <c r="G624" s="14" t="n"/>
      <c r="H624" s="9" t="n"/>
      <c r="I624" s="12" t="str">
        <f>IF(G624="","",IF(H624="לא",0,ROUND(G624*TaxRate/(1+TaxRate),2)))</f>
        <v/>
      </c>
      <c r="J624" s="12" t="str">
        <f>IF(G624="","",G624-I624)</f>
        <v/>
      </c>
      <c r="K624" s="13" t="str">
        <f>IF(A624="","",YEAR(A624))</f>
        <v/>
      </c>
    </row>
    <row r="625">
      <c r="A625" s="8" t="n"/>
      <c r="B625" s="9" t="n"/>
      <c r="C625" s="10" t="n"/>
      <c r="D625" s="10" t="n"/>
      <c r="E625" s="10" t="n"/>
      <c r="F625" s="10" t="n"/>
      <c r="G625" s="14" t="n"/>
      <c r="H625" s="9" t="n"/>
      <c r="I625" s="12" t="str">
        <f>IF(G625="","",IF(H625="לא",0,ROUND(G625*TaxRate/(1+TaxRate),2)))</f>
        <v/>
      </c>
      <c r="J625" s="12" t="str">
        <f>IF(G625="","",G625-I625)</f>
        <v/>
      </c>
      <c r="K625" s="13" t="str">
        <f>IF(A625="","",YEAR(A625))</f>
        <v/>
      </c>
    </row>
    <row r="626">
      <c r="A626" s="8" t="n"/>
      <c r="B626" s="9" t="n"/>
      <c r="C626" s="10" t="n"/>
      <c r="D626" s="10" t="n"/>
      <c r="E626" s="10" t="n"/>
      <c r="F626" s="10" t="n"/>
      <c r="G626" s="14" t="n"/>
      <c r="H626" s="9" t="n"/>
      <c r="I626" s="12" t="str">
        <f>IF(G626="","",IF(H626="לא",0,ROUND(G626*TaxRate/(1+TaxRate),2)))</f>
        <v/>
      </c>
      <c r="J626" s="12" t="str">
        <f>IF(G626="","",G626-I626)</f>
        <v/>
      </c>
      <c r="K626" s="13" t="str">
        <f>IF(A626="","",YEAR(A626))</f>
        <v/>
      </c>
    </row>
    <row r="627">
      <c r="A627" s="8" t="n"/>
      <c r="B627" s="9" t="n"/>
      <c r="C627" s="10" t="n"/>
      <c r="D627" s="10" t="n"/>
      <c r="E627" s="10" t="n"/>
      <c r="F627" s="10" t="n"/>
      <c r="G627" s="14" t="n"/>
      <c r="H627" s="9" t="n"/>
      <c r="I627" s="12" t="str">
        <f>IF(G627="","",IF(H627="לא",0,ROUND(G627*TaxRate/(1+TaxRate),2)))</f>
        <v/>
      </c>
      <c r="J627" s="12" t="str">
        <f>IF(G627="","",G627-I627)</f>
        <v/>
      </c>
      <c r="K627" s="13" t="str">
        <f>IF(A627="","",YEAR(A627))</f>
        <v/>
      </c>
    </row>
    <row r="628">
      <c r="A628" s="8" t="n"/>
      <c r="B628" s="9" t="n"/>
      <c r="C628" s="10" t="n"/>
      <c r="D628" s="10" t="n"/>
      <c r="E628" s="10" t="n"/>
      <c r="F628" s="10" t="n"/>
      <c r="G628" s="14" t="n"/>
      <c r="H628" s="9" t="n"/>
      <c r="I628" s="12" t="str">
        <f>IF(G628="","",IF(H628="לא",0,ROUND(G628*TaxRate/(1+TaxRate),2)))</f>
        <v/>
      </c>
      <c r="J628" s="12" t="str">
        <f>IF(G628="","",G628-I628)</f>
        <v/>
      </c>
      <c r="K628" s="13" t="str">
        <f>IF(A628="","",YEAR(A628))</f>
        <v/>
      </c>
    </row>
    <row r="629">
      <c r="A629" s="8" t="n"/>
      <c r="B629" s="9" t="n"/>
      <c r="C629" s="10" t="n"/>
      <c r="D629" s="10" t="n"/>
      <c r="E629" s="10" t="n"/>
      <c r="F629" s="10" t="n"/>
      <c r="G629" s="14" t="n"/>
      <c r="H629" s="9" t="n"/>
      <c r="I629" s="12" t="str">
        <f>IF(G629="","",IF(H629="לא",0,ROUND(G629*TaxRate/(1+TaxRate),2)))</f>
        <v/>
      </c>
      <c r="J629" s="12" t="str">
        <f>IF(G629="","",G629-I629)</f>
        <v/>
      </c>
      <c r="K629" s="13" t="str">
        <f>IF(A629="","",YEAR(A629))</f>
        <v/>
      </c>
    </row>
    <row r="630">
      <c r="A630" s="8" t="n"/>
      <c r="B630" s="9" t="n"/>
      <c r="C630" s="10" t="n"/>
      <c r="D630" s="10" t="n"/>
      <c r="E630" s="10" t="n"/>
      <c r="F630" s="10" t="n"/>
      <c r="G630" s="14" t="n"/>
      <c r="H630" s="9" t="n"/>
      <c r="I630" s="12" t="str">
        <f>IF(G630="","",IF(H630="לא",0,ROUND(G630*TaxRate/(1+TaxRate),2)))</f>
        <v/>
      </c>
      <c r="J630" s="12" t="str">
        <f>IF(G630="","",G630-I630)</f>
        <v/>
      </c>
      <c r="K630" s="13" t="str">
        <f>IF(A630="","",YEAR(A630))</f>
        <v/>
      </c>
    </row>
    <row r="631">
      <c r="A631" s="8" t="n"/>
      <c r="B631" s="9" t="n"/>
      <c r="C631" s="10" t="n"/>
      <c r="D631" s="10" t="n"/>
      <c r="E631" s="10" t="n"/>
      <c r="F631" s="10" t="n"/>
      <c r="G631" s="14" t="n"/>
      <c r="H631" s="9" t="n"/>
      <c r="I631" s="12" t="str">
        <f>IF(G631="","",IF(H631="לא",0,ROUND(G631*TaxRate/(1+TaxRate),2)))</f>
        <v/>
      </c>
      <c r="J631" s="12" t="str">
        <f>IF(G631="","",G631-I631)</f>
        <v/>
      </c>
      <c r="K631" s="13" t="str">
        <f>IF(A631="","",YEAR(A631))</f>
        <v/>
      </c>
    </row>
    <row r="632">
      <c r="A632" s="8" t="n"/>
      <c r="B632" s="9" t="n"/>
      <c r="C632" s="10" t="n"/>
      <c r="D632" s="10" t="n"/>
      <c r="E632" s="10" t="n"/>
      <c r="F632" s="10" t="n"/>
      <c r="G632" s="14" t="n"/>
      <c r="H632" s="9" t="n"/>
      <c r="I632" s="12" t="str">
        <f>IF(G632="","",IF(H632="לא",0,ROUND(G632*TaxRate/(1+TaxRate),2)))</f>
        <v/>
      </c>
      <c r="J632" s="12" t="str">
        <f>IF(G632="","",G632-I632)</f>
        <v/>
      </c>
      <c r="K632" s="13" t="str">
        <f>IF(A632="","",YEAR(A632))</f>
        <v/>
      </c>
    </row>
    <row r="633">
      <c r="A633" s="8" t="n"/>
      <c r="B633" s="9" t="n"/>
      <c r="C633" s="10" t="n"/>
      <c r="D633" s="10" t="n"/>
      <c r="E633" s="10" t="n"/>
      <c r="F633" s="10" t="n"/>
      <c r="G633" s="14" t="n"/>
      <c r="H633" s="9" t="n"/>
      <c r="I633" s="12" t="str">
        <f>IF(G633="","",IF(H633="לא",0,ROUND(G633*TaxRate/(1+TaxRate),2)))</f>
        <v/>
      </c>
      <c r="J633" s="12" t="str">
        <f>IF(G633="","",G633-I633)</f>
        <v/>
      </c>
      <c r="K633" s="13" t="str">
        <f>IF(A633="","",YEAR(A633))</f>
        <v/>
      </c>
    </row>
    <row r="634">
      <c r="A634" s="8" t="n"/>
      <c r="B634" s="9" t="n"/>
      <c r="C634" s="10" t="n"/>
      <c r="D634" s="10" t="n"/>
      <c r="E634" s="10" t="n"/>
      <c r="F634" s="10" t="n"/>
      <c r="G634" s="14" t="n"/>
      <c r="H634" s="9" t="n"/>
      <c r="I634" s="12" t="str">
        <f>IF(G634="","",IF(H634="לא",0,ROUND(G634*TaxRate/(1+TaxRate),2)))</f>
        <v/>
      </c>
      <c r="J634" s="12" t="str">
        <f>IF(G634="","",G634-I634)</f>
        <v/>
      </c>
      <c r="K634" s="13" t="str">
        <f>IF(A634="","",YEAR(A634))</f>
        <v/>
      </c>
    </row>
    <row r="635">
      <c r="A635" s="8" t="n"/>
      <c r="B635" s="9" t="n"/>
      <c r="C635" s="10" t="n"/>
      <c r="D635" s="10" t="n"/>
      <c r="E635" s="10" t="n"/>
      <c r="F635" s="10" t="n"/>
      <c r="G635" s="14" t="n"/>
      <c r="H635" s="9" t="n"/>
      <c r="I635" s="12" t="str">
        <f>IF(G635="","",IF(H635="לא",0,ROUND(G635*TaxRate/(1+TaxRate),2)))</f>
        <v/>
      </c>
      <c r="J635" s="12" t="str">
        <f>IF(G635="","",G635-I635)</f>
        <v/>
      </c>
      <c r="K635" s="13" t="str">
        <f>IF(A635="","",YEAR(A635))</f>
        <v/>
      </c>
    </row>
    <row r="636">
      <c r="A636" s="8" t="n"/>
      <c r="B636" s="9" t="n"/>
      <c r="C636" s="10" t="n"/>
      <c r="D636" s="10" t="n"/>
      <c r="E636" s="10" t="n"/>
      <c r="F636" s="10" t="n"/>
      <c r="G636" s="14" t="n"/>
      <c r="H636" s="9" t="n"/>
      <c r="I636" s="12" t="str">
        <f>IF(G636="","",IF(H636="לא",0,ROUND(G636*TaxRate/(1+TaxRate),2)))</f>
        <v/>
      </c>
      <c r="J636" s="12" t="str">
        <f>IF(G636="","",G636-I636)</f>
        <v/>
      </c>
      <c r="K636" s="13" t="str">
        <f>IF(A636="","",YEAR(A636))</f>
        <v/>
      </c>
    </row>
    <row r="637">
      <c r="A637" s="8" t="n"/>
      <c r="B637" s="9" t="n"/>
      <c r="C637" s="10" t="n"/>
      <c r="D637" s="10" t="n"/>
      <c r="E637" s="10" t="n"/>
      <c r="F637" s="10" t="n"/>
      <c r="G637" s="14" t="n"/>
      <c r="H637" s="9" t="n"/>
      <c r="I637" s="12" t="str">
        <f>IF(G637="","",IF(H637="לא",0,ROUND(G637*TaxRate/(1+TaxRate),2)))</f>
        <v/>
      </c>
      <c r="J637" s="12" t="str">
        <f>IF(G637="","",G637-I637)</f>
        <v/>
      </c>
      <c r="K637" s="13" t="str">
        <f>IF(A637="","",YEAR(A637))</f>
        <v/>
      </c>
    </row>
    <row r="638">
      <c r="A638" s="8" t="n"/>
      <c r="B638" s="9" t="n"/>
      <c r="C638" s="10" t="n"/>
      <c r="D638" s="10" t="n"/>
      <c r="E638" s="10" t="n"/>
      <c r="F638" s="10" t="n"/>
      <c r="G638" s="14" t="n"/>
      <c r="H638" s="9" t="n"/>
      <c r="I638" s="12" t="str">
        <f>IF(G638="","",IF(H638="לא",0,ROUND(G638*TaxRate/(1+TaxRate),2)))</f>
        <v/>
      </c>
      <c r="J638" s="12" t="str">
        <f>IF(G638="","",G638-I638)</f>
        <v/>
      </c>
      <c r="K638" s="13" t="str">
        <f>IF(A638="","",YEAR(A638))</f>
        <v/>
      </c>
    </row>
    <row r="639">
      <c r="A639" s="8" t="n"/>
      <c r="B639" s="9" t="n"/>
      <c r="C639" s="10" t="n"/>
      <c r="D639" s="10" t="n"/>
      <c r="E639" s="10" t="n"/>
      <c r="F639" s="10" t="n"/>
      <c r="G639" s="14" t="n"/>
      <c r="H639" s="9" t="n"/>
      <c r="I639" s="12" t="str">
        <f>IF(G639="","",IF(H639="לא",0,ROUND(G639*TaxRate/(1+TaxRate),2)))</f>
        <v/>
      </c>
      <c r="J639" s="12" t="str">
        <f>IF(G639="","",G639-I639)</f>
        <v/>
      </c>
      <c r="K639" s="13" t="str">
        <f>IF(A639="","",YEAR(A639))</f>
        <v/>
      </c>
    </row>
    <row r="640">
      <c r="A640" s="8" t="n"/>
      <c r="B640" s="9" t="n"/>
      <c r="C640" s="10" t="n"/>
      <c r="D640" s="10" t="n"/>
      <c r="E640" s="10" t="n"/>
      <c r="F640" s="10" t="n"/>
      <c r="G640" s="14" t="n"/>
      <c r="H640" s="9" t="n"/>
      <c r="I640" s="12" t="str">
        <f>IF(G640="","",IF(H640="לא",0,ROUND(G640*TaxRate/(1+TaxRate),2)))</f>
        <v/>
      </c>
      <c r="J640" s="12" t="str">
        <f>IF(G640="","",G640-I640)</f>
        <v/>
      </c>
      <c r="K640" s="13" t="str">
        <f>IF(A640="","",YEAR(A640))</f>
        <v/>
      </c>
    </row>
    <row r="641">
      <c r="A641" s="8" t="n"/>
      <c r="B641" s="9" t="n"/>
      <c r="C641" s="10" t="n"/>
      <c r="D641" s="10" t="n"/>
      <c r="E641" s="10" t="n"/>
      <c r="F641" s="10" t="n"/>
      <c r="G641" s="14" t="n"/>
      <c r="H641" s="9" t="n"/>
      <c r="I641" s="12" t="str">
        <f>IF(G641="","",IF(H641="לא",0,ROUND(G641*TaxRate/(1+TaxRate),2)))</f>
        <v/>
      </c>
      <c r="J641" s="12" t="str">
        <f>IF(G641="","",G641-I641)</f>
        <v/>
      </c>
      <c r="K641" s="13" t="str">
        <f>IF(A641="","",YEAR(A641))</f>
        <v/>
      </c>
    </row>
    <row r="642">
      <c r="A642" s="8" t="n"/>
      <c r="B642" s="9" t="n"/>
      <c r="C642" s="10" t="n"/>
      <c r="D642" s="10" t="n"/>
      <c r="E642" s="10" t="n"/>
      <c r="F642" s="10" t="n"/>
      <c r="G642" s="14" t="n"/>
      <c r="H642" s="9" t="n"/>
      <c r="I642" s="12" t="str">
        <f>IF(G642="","",IF(H642="לא",0,ROUND(G642*TaxRate/(1+TaxRate),2)))</f>
        <v/>
      </c>
      <c r="J642" s="12" t="str">
        <f>IF(G642="","",G642-I642)</f>
        <v/>
      </c>
      <c r="K642" s="13" t="str">
        <f>IF(A642="","",YEAR(A642))</f>
        <v/>
      </c>
    </row>
    <row r="643">
      <c r="A643" s="8" t="n"/>
      <c r="B643" s="9" t="n"/>
      <c r="C643" s="10" t="n"/>
      <c r="D643" s="10" t="n"/>
      <c r="E643" s="10" t="n"/>
      <c r="F643" s="10" t="n"/>
      <c r="G643" s="14" t="n"/>
      <c r="H643" s="9" t="n"/>
      <c r="I643" s="12" t="str">
        <f>IF(G643="","",IF(H643="לא",0,ROUND(G643*TaxRate/(1+TaxRate),2)))</f>
        <v/>
      </c>
      <c r="J643" s="12" t="str">
        <f>IF(G643="","",G643-I643)</f>
        <v/>
      </c>
      <c r="K643" s="13" t="str">
        <f>IF(A643="","",YEAR(A643))</f>
        <v/>
      </c>
    </row>
    <row r="644">
      <c r="A644" s="8" t="n"/>
      <c r="B644" s="9" t="n"/>
      <c r="C644" s="10" t="n"/>
      <c r="D644" s="10" t="n"/>
      <c r="E644" s="10" t="n"/>
      <c r="F644" s="10" t="n"/>
      <c r="G644" s="14" t="n"/>
      <c r="H644" s="9" t="n"/>
      <c r="I644" s="12" t="str">
        <f>IF(G644="","",IF(H644="לא",0,ROUND(G644*TaxRate/(1+TaxRate),2)))</f>
        <v/>
      </c>
      <c r="J644" s="12" t="str">
        <f>IF(G644="","",G644-I644)</f>
        <v/>
      </c>
      <c r="K644" s="13" t="str">
        <f>IF(A644="","",YEAR(A644))</f>
        <v/>
      </c>
    </row>
    <row r="645">
      <c r="A645" s="8" t="n"/>
      <c r="B645" s="9" t="n"/>
      <c r="C645" s="10" t="n"/>
      <c r="D645" s="10" t="n"/>
      <c r="E645" s="10" t="n"/>
      <c r="F645" s="10" t="n"/>
      <c r="G645" s="14" t="n"/>
      <c r="H645" s="9" t="n"/>
      <c r="I645" s="12" t="str">
        <f>IF(G645="","",IF(H645="לא",0,ROUND(G645*TaxRate/(1+TaxRate),2)))</f>
        <v/>
      </c>
      <c r="J645" s="12" t="str">
        <f>IF(G645="","",G645-I645)</f>
        <v/>
      </c>
      <c r="K645" s="13" t="str">
        <f>IF(A645="","",YEAR(A645))</f>
        <v/>
      </c>
    </row>
    <row r="646">
      <c r="A646" s="8" t="n"/>
      <c r="B646" s="9" t="n"/>
      <c r="C646" s="10" t="n"/>
      <c r="D646" s="10" t="n"/>
      <c r="E646" s="10" t="n"/>
      <c r="F646" s="10" t="n"/>
      <c r="G646" s="14" t="n"/>
      <c r="H646" s="9" t="n"/>
      <c r="I646" s="12" t="str">
        <f>IF(G646="","",IF(H646="לא",0,ROUND(G646*TaxRate/(1+TaxRate),2)))</f>
        <v/>
      </c>
      <c r="J646" s="12" t="str">
        <f>IF(G646="","",G646-I646)</f>
        <v/>
      </c>
      <c r="K646" s="13" t="str">
        <f>IF(A646="","",YEAR(A646))</f>
        <v/>
      </c>
    </row>
    <row r="647">
      <c r="A647" s="8" t="n"/>
      <c r="B647" s="9" t="n"/>
      <c r="C647" s="10" t="n"/>
      <c r="D647" s="10" t="n"/>
      <c r="E647" s="10" t="n"/>
      <c r="F647" s="10" t="n"/>
      <c r="G647" s="14" t="n"/>
      <c r="H647" s="9" t="n"/>
      <c r="I647" s="12" t="str">
        <f>IF(G647="","",IF(H647="לא",0,ROUND(G647*TaxRate/(1+TaxRate),2)))</f>
        <v/>
      </c>
      <c r="J647" s="12" t="str">
        <f>IF(G647="","",G647-I647)</f>
        <v/>
      </c>
      <c r="K647" s="13" t="str">
        <f>IF(A647="","",YEAR(A647))</f>
        <v/>
      </c>
    </row>
    <row r="648">
      <c r="A648" s="8" t="n"/>
      <c r="B648" s="9" t="n"/>
      <c r="C648" s="10" t="n"/>
      <c r="D648" s="10" t="n"/>
      <c r="E648" s="10" t="n"/>
      <c r="F648" s="10" t="n"/>
      <c r="G648" s="14" t="n"/>
      <c r="H648" s="9" t="n"/>
      <c r="I648" s="12" t="str">
        <f>IF(G648="","",IF(H648="לא",0,ROUND(G648*TaxRate/(1+TaxRate),2)))</f>
        <v/>
      </c>
      <c r="J648" s="12" t="str">
        <f>IF(G648="","",G648-I648)</f>
        <v/>
      </c>
      <c r="K648" s="13" t="str">
        <f>IF(A648="","",YEAR(A648))</f>
        <v/>
      </c>
    </row>
    <row r="649">
      <c r="A649" s="8" t="n"/>
      <c r="B649" s="9" t="n"/>
      <c r="C649" s="10" t="n"/>
      <c r="D649" s="10" t="n"/>
      <c r="E649" s="10" t="n"/>
      <c r="F649" s="10" t="n"/>
      <c r="G649" s="14" t="n"/>
      <c r="H649" s="9" t="n"/>
      <c r="I649" s="12" t="str">
        <f>IF(G649="","",IF(H649="לא",0,ROUND(G649*TaxRate/(1+TaxRate),2)))</f>
        <v/>
      </c>
      <c r="J649" s="12" t="str">
        <f>IF(G649="","",G649-I649)</f>
        <v/>
      </c>
      <c r="K649" s="13" t="str">
        <f>IF(A649="","",YEAR(A649))</f>
        <v/>
      </c>
    </row>
    <row r="650">
      <c r="A650" s="8" t="n"/>
      <c r="B650" s="9" t="n"/>
      <c r="C650" s="10" t="n"/>
      <c r="D650" s="10" t="n"/>
      <c r="E650" s="10" t="n"/>
      <c r="F650" s="10" t="n"/>
      <c r="G650" s="14" t="n"/>
      <c r="H650" s="9" t="n"/>
      <c r="I650" s="12" t="str">
        <f>IF(G650="","",IF(H650="לא",0,ROUND(G650*TaxRate/(1+TaxRate),2)))</f>
        <v/>
      </c>
      <c r="J650" s="12" t="str">
        <f>IF(G650="","",G650-I650)</f>
        <v/>
      </c>
      <c r="K650" s="13" t="str">
        <f>IF(A650="","",YEAR(A650))</f>
        <v/>
      </c>
    </row>
    <row r="651">
      <c r="A651" s="8" t="n"/>
      <c r="B651" s="9" t="n"/>
      <c r="C651" s="10" t="n"/>
      <c r="D651" s="10" t="n"/>
      <c r="E651" s="10" t="n"/>
      <c r="F651" s="10" t="n"/>
      <c r="G651" s="14" t="n"/>
      <c r="H651" s="9" t="n"/>
      <c r="I651" s="12" t="str">
        <f>IF(G651="","",IF(H651="לא",0,ROUND(G651*TaxRate/(1+TaxRate),2)))</f>
        <v/>
      </c>
      <c r="J651" s="12" t="str">
        <f>IF(G651="","",G651-I651)</f>
        <v/>
      </c>
      <c r="K651" s="13" t="str">
        <f>IF(A651="","",YEAR(A651))</f>
        <v/>
      </c>
    </row>
    <row r="652">
      <c r="A652" s="8" t="n"/>
      <c r="B652" s="9" t="n"/>
      <c r="C652" s="10" t="n"/>
      <c r="D652" s="10" t="n"/>
      <c r="E652" s="10" t="n"/>
      <c r="F652" s="10" t="n"/>
      <c r="G652" s="14" t="n"/>
      <c r="H652" s="9" t="n"/>
      <c r="I652" s="12" t="str">
        <f>IF(G652="","",IF(H652="לא",0,ROUND(G652*TaxRate/(1+TaxRate),2)))</f>
        <v/>
      </c>
      <c r="J652" s="12" t="str">
        <f>IF(G652="","",G652-I652)</f>
        <v/>
      </c>
      <c r="K652" s="13" t="str">
        <f>IF(A652="","",YEAR(A652))</f>
        <v/>
      </c>
    </row>
    <row r="653">
      <c r="A653" s="8" t="n"/>
      <c r="B653" s="9" t="n"/>
      <c r="C653" s="10" t="n"/>
      <c r="D653" s="10" t="n"/>
      <c r="E653" s="10" t="n"/>
      <c r="F653" s="10" t="n"/>
      <c r="G653" s="14" t="n"/>
      <c r="H653" s="9" t="n"/>
      <c r="I653" s="12" t="str">
        <f>IF(G653="","",IF(H653="לא",0,ROUND(G653*TaxRate/(1+TaxRate),2)))</f>
        <v/>
      </c>
      <c r="J653" s="12" t="str">
        <f>IF(G653="","",G653-I653)</f>
        <v/>
      </c>
      <c r="K653" s="13" t="str">
        <f>IF(A653="","",YEAR(A653))</f>
        <v/>
      </c>
    </row>
    <row r="654">
      <c r="A654" s="8" t="n"/>
      <c r="B654" s="9" t="n"/>
      <c r="C654" s="10" t="n"/>
      <c r="D654" s="10" t="n"/>
      <c r="E654" s="10" t="n"/>
      <c r="F654" s="10" t="n"/>
      <c r="G654" s="14" t="n"/>
      <c r="H654" s="9" t="n"/>
      <c r="I654" s="12" t="str">
        <f>IF(G654="","",IF(H654="לא",0,ROUND(G654*TaxRate/(1+TaxRate),2)))</f>
        <v/>
      </c>
      <c r="J654" s="12" t="str">
        <f>IF(G654="","",G654-I654)</f>
        <v/>
      </c>
      <c r="K654" s="13" t="str">
        <f>IF(A654="","",YEAR(A654))</f>
        <v/>
      </c>
    </row>
    <row r="655">
      <c r="A655" s="8" t="n"/>
      <c r="B655" s="9" t="n"/>
      <c r="C655" s="10" t="n"/>
      <c r="D655" s="10" t="n"/>
      <c r="E655" s="10" t="n"/>
      <c r="F655" s="10" t="n"/>
      <c r="G655" s="14" t="n"/>
      <c r="H655" s="9" t="n"/>
      <c r="I655" s="12" t="str">
        <f>IF(G655="","",IF(H655="לא",0,ROUND(G655*TaxRate/(1+TaxRate),2)))</f>
        <v/>
      </c>
      <c r="J655" s="12" t="str">
        <f>IF(G655="","",G655-I655)</f>
        <v/>
      </c>
      <c r="K655" s="13" t="str">
        <f>IF(A655="","",YEAR(A655))</f>
        <v/>
      </c>
    </row>
    <row r="656">
      <c r="A656" s="8" t="n"/>
      <c r="B656" s="9" t="n"/>
      <c r="C656" s="10" t="n"/>
      <c r="D656" s="10" t="n"/>
      <c r="E656" s="10" t="n"/>
      <c r="F656" s="10" t="n"/>
      <c r="G656" s="14" t="n"/>
      <c r="H656" s="9" t="n"/>
      <c r="I656" s="12" t="str">
        <f>IF(G656="","",IF(H656="לא",0,ROUND(G656*TaxRate/(1+TaxRate),2)))</f>
        <v/>
      </c>
      <c r="J656" s="12" t="str">
        <f>IF(G656="","",G656-I656)</f>
        <v/>
      </c>
      <c r="K656" s="13" t="str">
        <f>IF(A656="","",YEAR(A656))</f>
        <v/>
      </c>
    </row>
    <row r="657">
      <c r="A657" s="8" t="n"/>
      <c r="B657" s="9" t="n"/>
      <c r="C657" s="10" t="n"/>
      <c r="D657" s="10" t="n"/>
      <c r="E657" s="10" t="n"/>
      <c r="F657" s="10" t="n"/>
      <c r="G657" s="14" t="n"/>
      <c r="H657" s="9" t="n"/>
      <c r="I657" s="12" t="str">
        <f>IF(G657="","",IF(H657="לא",0,ROUND(G657*TaxRate/(1+TaxRate),2)))</f>
        <v/>
      </c>
      <c r="J657" s="12" t="str">
        <f>IF(G657="","",G657-I657)</f>
        <v/>
      </c>
      <c r="K657" s="13" t="str">
        <f>IF(A657="","",YEAR(A657))</f>
        <v/>
      </c>
    </row>
    <row r="658">
      <c r="A658" s="8" t="n"/>
      <c r="B658" s="9" t="n"/>
      <c r="C658" s="10" t="n"/>
      <c r="D658" s="10" t="n"/>
      <c r="E658" s="10" t="n"/>
      <c r="F658" s="10" t="n"/>
      <c r="G658" s="14" t="n"/>
      <c r="H658" s="9" t="n"/>
      <c r="I658" s="12" t="str">
        <f>IF(G658="","",IF(H658="לא",0,ROUND(G658*TaxRate/(1+TaxRate),2)))</f>
        <v/>
      </c>
      <c r="J658" s="12" t="str">
        <f>IF(G658="","",G658-I658)</f>
        <v/>
      </c>
      <c r="K658" s="13" t="str">
        <f>IF(A658="","",YEAR(A658))</f>
        <v/>
      </c>
    </row>
    <row r="659">
      <c r="A659" s="8" t="n"/>
      <c r="B659" s="9" t="n"/>
      <c r="C659" s="10" t="n"/>
      <c r="D659" s="10" t="n"/>
      <c r="E659" s="10" t="n"/>
      <c r="F659" s="10" t="n"/>
      <c r="G659" s="14" t="n"/>
      <c r="H659" s="9" t="n"/>
      <c r="I659" s="12" t="str">
        <f>IF(G659="","",IF(H659="לא",0,ROUND(G659*TaxRate/(1+TaxRate),2)))</f>
        <v/>
      </c>
      <c r="J659" s="12" t="str">
        <f>IF(G659="","",G659-I659)</f>
        <v/>
      </c>
      <c r="K659" s="13" t="str">
        <f>IF(A659="","",YEAR(A659))</f>
        <v/>
      </c>
    </row>
    <row r="660">
      <c r="A660" s="8" t="n"/>
      <c r="B660" s="9" t="n"/>
      <c r="C660" s="10" t="n"/>
      <c r="D660" s="10" t="n"/>
      <c r="E660" s="10" t="n"/>
      <c r="F660" s="10" t="n"/>
      <c r="G660" s="14" t="n"/>
      <c r="H660" s="9" t="n"/>
      <c r="I660" s="12" t="str">
        <f>IF(G660="","",IF(H660="לא",0,ROUND(G660*TaxRate/(1+TaxRate),2)))</f>
        <v/>
      </c>
      <c r="J660" s="12" t="str">
        <f>IF(G660="","",G660-I660)</f>
        <v/>
      </c>
      <c r="K660" s="13" t="str">
        <f>IF(A660="","",YEAR(A660))</f>
        <v/>
      </c>
    </row>
    <row r="661">
      <c r="A661" s="8" t="n"/>
      <c r="B661" s="9" t="n"/>
      <c r="C661" s="10" t="n"/>
      <c r="D661" s="10" t="n"/>
      <c r="E661" s="10" t="n"/>
      <c r="F661" s="10" t="n"/>
      <c r="G661" s="14" t="n"/>
      <c r="H661" s="9" t="n"/>
      <c r="I661" s="12" t="str">
        <f>IF(G661="","",IF(H661="לא",0,ROUND(G661*TaxRate/(1+TaxRate),2)))</f>
        <v/>
      </c>
      <c r="J661" s="12" t="str">
        <f>IF(G661="","",G661-I661)</f>
        <v/>
      </c>
      <c r="K661" s="13" t="str">
        <f>IF(A661="","",YEAR(A661))</f>
        <v/>
      </c>
    </row>
    <row r="662">
      <c r="A662" s="8" t="n"/>
      <c r="B662" s="9" t="n"/>
      <c r="C662" s="10" t="n"/>
      <c r="D662" s="10" t="n"/>
      <c r="E662" s="10" t="n"/>
      <c r="F662" s="10" t="n"/>
      <c r="G662" s="14" t="n"/>
      <c r="H662" s="9" t="n"/>
      <c r="I662" s="12" t="str">
        <f>IF(G662="","",IF(H662="לא",0,ROUND(G662*TaxRate/(1+TaxRate),2)))</f>
        <v/>
      </c>
      <c r="J662" s="12" t="str">
        <f>IF(G662="","",G662-I662)</f>
        <v/>
      </c>
      <c r="K662" s="13" t="str">
        <f>IF(A662="","",YEAR(A662))</f>
        <v/>
      </c>
    </row>
    <row r="663">
      <c r="A663" s="8" t="n"/>
      <c r="B663" s="9" t="n"/>
      <c r="C663" s="10" t="n"/>
      <c r="D663" s="10" t="n"/>
      <c r="E663" s="10" t="n"/>
      <c r="F663" s="10" t="n"/>
      <c r="G663" s="14" t="n"/>
      <c r="H663" s="9" t="n"/>
      <c r="I663" s="12" t="str">
        <f>IF(G663="","",IF(H663="לא",0,ROUND(G663*TaxRate/(1+TaxRate),2)))</f>
        <v/>
      </c>
      <c r="J663" s="12" t="str">
        <f>IF(G663="","",G663-I663)</f>
        <v/>
      </c>
      <c r="K663" s="13" t="str">
        <f>IF(A663="","",YEAR(A663))</f>
        <v/>
      </c>
    </row>
    <row r="664">
      <c r="A664" s="8" t="n"/>
      <c r="B664" s="9" t="n"/>
      <c r="C664" s="10" t="n"/>
      <c r="D664" s="10" t="n"/>
      <c r="E664" s="10" t="n"/>
      <c r="F664" s="10" t="n"/>
      <c r="G664" s="14" t="n"/>
      <c r="H664" s="9" t="n"/>
      <c r="I664" s="12" t="str">
        <f>IF(G664="","",IF(H664="לא",0,ROUND(G664*TaxRate/(1+TaxRate),2)))</f>
        <v/>
      </c>
      <c r="J664" s="12" t="str">
        <f>IF(G664="","",G664-I664)</f>
        <v/>
      </c>
      <c r="K664" s="13" t="str">
        <f>IF(A664="","",YEAR(A664))</f>
        <v/>
      </c>
    </row>
    <row r="665">
      <c r="A665" s="8" t="n"/>
      <c r="B665" s="9" t="n"/>
      <c r="C665" s="10" t="n"/>
      <c r="D665" s="10" t="n"/>
      <c r="E665" s="10" t="n"/>
      <c r="F665" s="10" t="n"/>
      <c r="G665" s="14" t="n"/>
      <c r="H665" s="9" t="n"/>
      <c r="I665" s="12" t="str">
        <f>IF(G665="","",IF(H665="לא",0,ROUND(G665*TaxRate/(1+TaxRate),2)))</f>
        <v/>
      </c>
      <c r="J665" s="12" t="str">
        <f>IF(G665="","",G665-I665)</f>
        <v/>
      </c>
      <c r="K665" s="13" t="str">
        <f>IF(A665="","",YEAR(A665))</f>
        <v/>
      </c>
    </row>
    <row r="666">
      <c r="A666" s="8" t="n"/>
      <c r="B666" s="9" t="n"/>
      <c r="C666" s="10" t="n"/>
      <c r="D666" s="10" t="n"/>
      <c r="E666" s="10" t="n"/>
      <c r="F666" s="10" t="n"/>
      <c r="G666" s="14" t="n"/>
      <c r="H666" s="9" t="n"/>
      <c r="I666" s="12" t="str">
        <f>IF(G666="","",IF(H666="לא",0,ROUND(G666*TaxRate/(1+TaxRate),2)))</f>
        <v/>
      </c>
      <c r="J666" s="12" t="str">
        <f>IF(G666="","",G666-I666)</f>
        <v/>
      </c>
      <c r="K666" s="13" t="str">
        <f>IF(A666="","",YEAR(A666))</f>
        <v/>
      </c>
    </row>
    <row r="667">
      <c r="A667" s="8" t="n"/>
      <c r="B667" s="9" t="n"/>
      <c r="C667" s="10" t="n"/>
      <c r="D667" s="10" t="n"/>
      <c r="E667" s="10" t="n"/>
      <c r="F667" s="10" t="n"/>
      <c r="G667" s="14" t="n"/>
      <c r="H667" s="9" t="n"/>
      <c r="I667" s="12" t="str">
        <f>IF(G667="","",IF(H667="לא",0,ROUND(G667*TaxRate/(1+TaxRate),2)))</f>
        <v/>
      </c>
      <c r="J667" s="12" t="str">
        <f>IF(G667="","",G667-I667)</f>
        <v/>
      </c>
      <c r="K667" s="13" t="str">
        <f>IF(A667="","",YEAR(A667))</f>
        <v/>
      </c>
    </row>
    <row r="668">
      <c r="A668" s="8" t="n"/>
      <c r="B668" s="9" t="n"/>
      <c r="C668" s="10" t="n"/>
      <c r="D668" s="10" t="n"/>
      <c r="E668" s="10" t="n"/>
      <c r="F668" s="10" t="n"/>
      <c r="G668" s="14" t="n"/>
      <c r="H668" s="9" t="n"/>
      <c r="I668" s="12" t="str">
        <f>IF(G668="","",IF(H668="לא",0,ROUND(G668*TaxRate/(1+TaxRate),2)))</f>
        <v/>
      </c>
      <c r="J668" s="12" t="str">
        <f>IF(G668="","",G668-I668)</f>
        <v/>
      </c>
      <c r="K668" s="13" t="str">
        <f>IF(A668="","",YEAR(A668))</f>
        <v/>
      </c>
    </row>
    <row r="669">
      <c r="A669" s="8" t="n"/>
      <c r="B669" s="9" t="n"/>
      <c r="C669" s="10" t="n"/>
      <c r="D669" s="10" t="n"/>
      <c r="E669" s="10" t="n"/>
      <c r="F669" s="10" t="n"/>
      <c r="G669" s="14" t="n"/>
      <c r="H669" s="9" t="n"/>
      <c r="I669" s="12" t="str">
        <f>IF(G669="","",IF(H669="לא",0,ROUND(G669*TaxRate/(1+TaxRate),2)))</f>
        <v/>
      </c>
      <c r="J669" s="12" t="str">
        <f>IF(G669="","",G669-I669)</f>
        <v/>
      </c>
      <c r="K669" s="13" t="str">
        <f>IF(A669="","",YEAR(A669))</f>
        <v/>
      </c>
    </row>
    <row r="670">
      <c r="A670" s="8" t="n"/>
      <c r="B670" s="9" t="n"/>
      <c r="C670" s="10" t="n"/>
      <c r="D670" s="10" t="n"/>
      <c r="E670" s="10" t="n"/>
      <c r="F670" s="10" t="n"/>
      <c r="G670" s="14" t="n"/>
      <c r="H670" s="9" t="n"/>
      <c r="I670" s="12" t="str">
        <f>IF(G670="","",IF(H670="לא",0,ROUND(G670*TaxRate/(1+TaxRate),2)))</f>
        <v/>
      </c>
      <c r="J670" s="12" t="str">
        <f>IF(G670="","",G670-I670)</f>
        <v/>
      </c>
      <c r="K670" s="13" t="str">
        <f>IF(A670="","",YEAR(A670))</f>
        <v/>
      </c>
    </row>
    <row r="671">
      <c r="A671" s="8" t="n"/>
      <c r="B671" s="9" t="n"/>
      <c r="C671" s="10" t="n"/>
      <c r="D671" s="10" t="n"/>
      <c r="E671" s="10" t="n"/>
      <c r="F671" s="10" t="n"/>
      <c r="G671" s="14" t="n"/>
      <c r="H671" s="9" t="n"/>
      <c r="I671" s="12" t="str">
        <f>IF(G671="","",IF(H671="לא",0,ROUND(G671*TaxRate/(1+TaxRate),2)))</f>
        <v/>
      </c>
      <c r="J671" s="12" t="str">
        <f>IF(G671="","",G671-I671)</f>
        <v/>
      </c>
      <c r="K671" s="13" t="str">
        <f>IF(A671="","",YEAR(A671))</f>
        <v/>
      </c>
    </row>
    <row r="672">
      <c r="A672" s="8" t="n"/>
      <c r="B672" s="9" t="n"/>
      <c r="C672" s="10" t="n"/>
      <c r="D672" s="10" t="n"/>
      <c r="E672" s="10" t="n"/>
      <c r="F672" s="10" t="n"/>
      <c r="G672" s="14" t="n"/>
      <c r="H672" s="9" t="n"/>
      <c r="I672" s="12" t="str">
        <f>IF(G672="","",IF(H672="לא",0,ROUND(G672*TaxRate/(1+TaxRate),2)))</f>
        <v/>
      </c>
      <c r="J672" s="12" t="str">
        <f>IF(G672="","",G672-I672)</f>
        <v/>
      </c>
      <c r="K672" s="13" t="str">
        <f>IF(A672="","",YEAR(A672))</f>
        <v/>
      </c>
    </row>
    <row r="673">
      <c r="A673" s="8" t="n"/>
      <c r="B673" s="9" t="n"/>
      <c r="C673" s="10" t="n"/>
      <c r="D673" s="10" t="n"/>
      <c r="E673" s="10" t="n"/>
      <c r="F673" s="10" t="n"/>
      <c r="G673" s="14" t="n"/>
      <c r="H673" s="9" t="n"/>
      <c r="I673" s="12" t="str">
        <f>IF(G673="","",IF(H673="לא",0,ROUND(G673*TaxRate/(1+TaxRate),2)))</f>
        <v/>
      </c>
      <c r="J673" s="12" t="str">
        <f>IF(G673="","",G673-I673)</f>
        <v/>
      </c>
      <c r="K673" s="13" t="str">
        <f>IF(A673="","",YEAR(A673))</f>
        <v/>
      </c>
    </row>
    <row r="674">
      <c r="A674" s="8" t="n"/>
      <c r="B674" s="9" t="n"/>
      <c r="C674" s="10" t="n"/>
      <c r="D674" s="10" t="n"/>
      <c r="E674" s="10" t="n"/>
      <c r="F674" s="10" t="n"/>
      <c r="G674" s="14" t="n"/>
      <c r="H674" s="9" t="n"/>
      <c r="I674" s="12" t="str">
        <f>IF(G674="","",IF(H674="לא",0,ROUND(G674*TaxRate/(1+TaxRate),2)))</f>
        <v/>
      </c>
      <c r="J674" s="12" t="str">
        <f>IF(G674="","",G674-I674)</f>
        <v/>
      </c>
      <c r="K674" s="13" t="str">
        <f>IF(A674="","",YEAR(A674))</f>
        <v/>
      </c>
    </row>
    <row r="675">
      <c r="A675" s="8" t="n"/>
      <c r="B675" s="9" t="n"/>
      <c r="C675" s="10" t="n"/>
      <c r="D675" s="10" t="n"/>
      <c r="E675" s="10" t="n"/>
      <c r="F675" s="10" t="n"/>
      <c r="G675" s="14" t="n"/>
      <c r="H675" s="9" t="n"/>
      <c r="I675" s="12" t="str">
        <f>IF(G675="","",IF(H675="לא",0,ROUND(G675*TaxRate/(1+TaxRate),2)))</f>
        <v/>
      </c>
      <c r="J675" s="12" t="str">
        <f>IF(G675="","",G675-I675)</f>
        <v/>
      </c>
      <c r="K675" s="13" t="str">
        <f>IF(A675="","",YEAR(A675))</f>
        <v/>
      </c>
    </row>
    <row r="676">
      <c r="A676" s="8" t="n"/>
      <c r="B676" s="9" t="n"/>
      <c r="C676" s="10" t="n"/>
      <c r="D676" s="10" t="n"/>
      <c r="E676" s="10" t="n"/>
      <c r="F676" s="10" t="n"/>
      <c r="G676" s="14" t="n"/>
      <c r="H676" s="9" t="n"/>
      <c r="I676" s="12" t="str">
        <f>IF(G676="","",IF(H676="לא",0,ROUND(G676*TaxRate/(1+TaxRate),2)))</f>
        <v/>
      </c>
      <c r="J676" s="12" t="str">
        <f>IF(G676="","",G676-I676)</f>
        <v/>
      </c>
      <c r="K676" s="13" t="str">
        <f>IF(A676="","",YEAR(A676))</f>
        <v/>
      </c>
    </row>
    <row r="677">
      <c r="A677" s="8" t="n"/>
      <c r="B677" s="9" t="n"/>
      <c r="C677" s="10" t="n"/>
      <c r="D677" s="10" t="n"/>
      <c r="E677" s="10" t="n"/>
      <c r="F677" s="10" t="n"/>
      <c r="G677" s="14" t="n"/>
      <c r="H677" s="9" t="n"/>
      <c r="I677" s="12" t="str">
        <f>IF(G677="","",IF(H677="לא",0,ROUND(G677*TaxRate/(1+TaxRate),2)))</f>
        <v/>
      </c>
      <c r="J677" s="12" t="str">
        <f>IF(G677="","",G677-I677)</f>
        <v/>
      </c>
      <c r="K677" s="13" t="str">
        <f>IF(A677="","",YEAR(A677))</f>
        <v/>
      </c>
    </row>
    <row r="678">
      <c r="A678" s="8" t="n"/>
      <c r="B678" s="9" t="n"/>
      <c r="C678" s="10" t="n"/>
      <c r="D678" s="10" t="n"/>
      <c r="E678" s="10" t="n"/>
      <c r="F678" s="10" t="n"/>
      <c r="G678" s="14" t="n"/>
      <c r="H678" s="9" t="n"/>
      <c r="I678" s="12" t="str">
        <f>IF(G678="","",IF(H678="לא",0,ROUND(G678*TaxRate/(1+TaxRate),2)))</f>
        <v/>
      </c>
      <c r="J678" s="12" t="str">
        <f>IF(G678="","",G678-I678)</f>
        <v/>
      </c>
      <c r="K678" s="13" t="str">
        <f>IF(A678="","",YEAR(A678))</f>
        <v/>
      </c>
    </row>
    <row r="679">
      <c r="A679" s="8" t="n"/>
      <c r="B679" s="9" t="n"/>
      <c r="C679" s="10" t="n"/>
      <c r="D679" s="10" t="n"/>
      <c r="E679" s="10" t="n"/>
      <c r="F679" s="10" t="n"/>
      <c r="G679" s="14" t="n"/>
      <c r="H679" s="9" t="n"/>
      <c r="I679" s="12" t="str">
        <f>IF(G679="","",IF(H679="לא",0,ROUND(G679*TaxRate/(1+TaxRate),2)))</f>
        <v/>
      </c>
      <c r="J679" s="12" t="str">
        <f>IF(G679="","",G679-I679)</f>
        <v/>
      </c>
      <c r="K679" s="13" t="str">
        <f>IF(A679="","",YEAR(A679))</f>
        <v/>
      </c>
    </row>
    <row r="680">
      <c r="A680" s="8" t="n"/>
      <c r="B680" s="9" t="n"/>
      <c r="C680" s="10" t="n"/>
      <c r="D680" s="10" t="n"/>
      <c r="E680" s="10" t="n"/>
      <c r="F680" s="10" t="n"/>
      <c r="G680" s="14" t="n"/>
      <c r="H680" s="9" t="n"/>
      <c r="I680" s="12" t="str">
        <f>IF(G680="","",IF(H680="לא",0,ROUND(G680*TaxRate/(1+TaxRate),2)))</f>
        <v/>
      </c>
      <c r="J680" s="12" t="str">
        <f>IF(G680="","",G680-I680)</f>
        <v/>
      </c>
      <c r="K680" s="13" t="str">
        <f>IF(A680="","",YEAR(A680))</f>
        <v/>
      </c>
    </row>
    <row r="681">
      <c r="A681" s="8" t="n"/>
      <c r="B681" s="9" t="n"/>
      <c r="C681" s="10" t="n"/>
      <c r="D681" s="10" t="n"/>
      <c r="E681" s="10" t="n"/>
      <c r="F681" s="10" t="n"/>
      <c r="G681" s="14" t="n"/>
      <c r="H681" s="9" t="n"/>
      <c r="I681" s="12" t="str">
        <f>IF(G681="","",IF(H681="לא",0,ROUND(G681*TaxRate/(1+TaxRate),2)))</f>
        <v/>
      </c>
      <c r="J681" s="12" t="str">
        <f>IF(G681="","",G681-I681)</f>
        <v/>
      </c>
      <c r="K681" s="13" t="str">
        <f>IF(A681="","",YEAR(A681))</f>
        <v/>
      </c>
    </row>
    <row r="682">
      <c r="A682" s="8" t="n"/>
      <c r="B682" s="9" t="n"/>
      <c r="C682" s="10" t="n"/>
      <c r="D682" s="10" t="n"/>
      <c r="E682" s="10" t="n"/>
      <c r="F682" s="10" t="n"/>
      <c r="G682" s="14" t="n"/>
      <c r="H682" s="9" t="n"/>
      <c r="I682" s="12" t="str">
        <f>IF(G682="","",IF(H682="לא",0,ROUND(G682*TaxRate/(1+TaxRate),2)))</f>
        <v/>
      </c>
      <c r="J682" s="12" t="str">
        <f>IF(G682="","",G682-I682)</f>
        <v/>
      </c>
      <c r="K682" s="13" t="str">
        <f>IF(A682="","",YEAR(A682))</f>
        <v/>
      </c>
    </row>
    <row r="683">
      <c r="A683" s="8" t="n"/>
      <c r="B683" s="9" t="n"/>
      <c r="C683" s="10" t="n"/>
      <c r="D683" s="10" t="n"/>
      <c r="E683" s="10" t="n"/>
      <c r="F683" s="10" t="n"/>
      <c r="G683" s="14" t="n"/>
      <c r="H683" s="9" t="n"/>
      <c r="I683" s="12" t="str">
        <f>IF(G683="","",IF(H683="לא",0,ROUND(G683*TaxRate/(1+TaxRate),2)))</f>
        <v/>
      </c>
      <c r="J683" s="12" t="str">
        <f>IF(G683="","",G683-I683)</f>
        <v/>
      </c>
      <c r="K683" s="13" t="str">
        <f>IF(A683="","",YEAR(A683))</f>
        <v/>
      </c>
    </row>
    <row r="684">
      <c r="A684" s="8" t="n"/>
      <c r="B684" s="9" t="n"/>
      <c r="C684" s="10" t="n"/>
      <c r="D684" s="10" t="n"/>
      <c r="E684" s="10" t="n"/>
      <c r="F684" s="10" t="n"/>
      <c r="G684" s="14" t="n"/>
      <c r="H684" s="9" t="n"/>
      <c r="I684" s="12" t="str">
        <f>IF(G684="","",IF(H684="לא",0,ROUND(G684*TaxRate/(1+TaxRate),2)))</f>
        <v/>
      </c>
      <c r="J684" s="12" t="str">
        <f>IF(G684="","",G684-I684)</f>
        <v/>
      </c>
      <c r="K684" s="13" t="str">
        <f>IF(A684="","",YEAR(A684))</f>
        <v/>
      </c>
    </row>
    <row r="685">
      <c r="A685" s="8" t="n"/>
      <c r="B685" s="9" t="n"/>
      <c r="C685" s="10" t="n"/>
      <c r="D685" s="10" t="n"/>
      <c r="E685" s="10" t="n"/>
      <c r="F685" s="10" t="n"/>
      <c r="G685" s="14" t="n"/>
      <c r="H685" s="9" t="n"/>
      <c r="I685" s="12" t="str">
        <f>IF(G685="","",IF(H685="לא",0,ROUND(G685*TaxRate/(1+TaxRate),2)))</f>
        <v/>
      </c>
      <c r="J685" s="12" t="str">
        <f>IF(G685="","",G685-I685)</f>
        <v/>
      </c>
      <c r="K685" s="13" t="str">
        <f>IF(A685="","",YEAR(A685))</f>
        <v/>
      </c>
    </row>
    <row r="686">
      <c r="A686" s="8" t="n"/>
      <c r="B686" s="9" t="n"/>
      <c r="C686" s="10" t="n"/>
      <c r="D686" s="10" t="n"/>
      <c r="E686" s="10" t="n"/>
      <c r="F686" s="10" t="n"/>
      <c r="G686" s="14" t="n"/>
      <c r="H686" s="9" t="n"/>
      <c r="I686" s="12" t="str">
        <f>IF(G686="","",IF(H686="לא",0,ROUND(G686*TaxRate/(1+TaxRate),2)))</f>
        <v/>
      </c>
      <c r="J686" s="12" t="str">
        <f>IF(G686="","",G686-I686)</f>
        <v/>
      </c>
      <c r="K686" s="13" t="str">
        <f>IF(A686="","",YEAR(A686))</f>
        <v/>
      </c>
    </row>
    <row r="687">
      <c r="A687" s="8" t="n"/>
      <c r="B687" s="9" t="n"/>
      <c r="C687" s="10" t="n"/>
      <c r="D687" s="10" t="n"/>
      <c r="E687" s="10" t="n"/>
      <c r="F687" s="10" t="n"/>
      <c r="G687" s="14" t="n"/>
      <c r="H687" s="9" t="n"/>
      <c r="I687" s="12" t="str">
        <f>IF(G687="","",IF(H687="לא",0,ROUND(G687*TaxRate/(1+TaxRate),2)))</f>
        <v/>
      </c>
      <c r="J687" s="12" t="str">
        <f>IF(G687="","",G687-I687)</f>
        <v/>
      </c>
      <c r="K687" s="13" t="str">
        <f>IF(A687="","",YEAR(A687))</f>
        <v/>
      </c>
    </row>
    <row r="688">
      <c r="A688" s="8" t="n"/>
      <c r="B688" s="9" t="n"/>
      <c r="C688" s="10" t="n"/>
      <c r="D688" s="10" t="n"/>
      <c r="E688" s="10" t="n"/>
      <c r="F688" s="10" t="n"/>
      <c r="G688" s="14" t="n"/>
      <c r="H688" s="9" t="n"/>
      <c r="I688" s="12" t="str">
        <f>IF(G688="","",IF(H688="לא",0,ROUND(G688*TaxRate/(1+TaxRate),2)))</f>
        <v/>
      </c>
      <c r="J688" s="12" t="str">
        <f>IF(G688="","",G688-I688)</f>
        <v/>
      </c>
      <c r="K688" s="13" t="str">
        <f>IF(A688="","",YEAR(A688))</f>
        <v/>
      </c>
    </row>
    <row r="689">
      <c r="A689" s="8" t="n"/>
      <c r="B689" s="9" t="n"/>
      <c r="C689" s="10" t="n"/>
      <c r="D689" s="10" t="n"/>
      <c r="E689" s="10" t="n"/>
      <c r="F689" s="10" t="n"/>
      <c r="G689" s="14" t="n"/>
      <c r="H689" s="9" t="n"/>
      <c r="I689" s="12" t="str">
        <f>IF(G689="","",IF(H689="לא",0,ROUND(G689*TaxRate/(1+TaxRate),2)))</f>
        <v/>
      </c>
      <c r="J689" s="12" t="str">
        <f>IF(G689="","",G689-I689)</f>
        <v/>
      </c>
      <c r="K689" s="13" t="str">
        <f>IF(A689="","",YEAR(A689))</f>
        <v/>
      </c>
    </row>
    <row r="690">
      <c r="A690" s="8" t="n"/>
      <c r="B690" s="9" t="n"/>
      <c r="C690" s="10" t="n"/>
      <c r="D690" s="10" t="n"/>
      <c r="E690" s="10" t="n"/>
      <c r="F690" s="10" t="n"/>
      <c r="G690" s="14" t="n"/>
      <c r="H690" s="9" t="n"/>
      <c r="I690" s="12" t="str">
        <f>IF(G690="","",IF(H690="לא",0,ROUND(G690*TaxRate/(1+TaxRate),2)))</f>
        <v/>
      </c>
      <c r="J690" s="12" t="str">
        <f>IF(G690="","",G690-I690)</f>
        <v/>
      </c>
      <c r="K690" s="13" t="str">
        <f>IF(A690="","",YEAR(A690))</f>
        <v/>
      </c>
    </row>
    <row r="691">
      <c r="A691" s="8" t="n"/>
      <c r="B691" s="9" t="n"/>
      <c r="C691" s="10" t="n"/>
      <c r="D691" s="10" t="n"/>
      <c r="E691" s="10" t="n"/>
      <c r="F691" s="10" t="n"/>
      <c r="G691" s="14" t="n"/>
      <c r="H691" s="9" t="n"/>
      <c r="I691" s="12" t="str">
        <f>IF(G691="","",IF(H691="לא",0,ROUND(G691*TaxRate/(1+TaxRate),2)))</f>
        <v/>
      </c>
      <c r="J691" s="12" t="str">
        <f>IF(G691="","",G691-I691)</f>
        <v/>
      </c>
      <c r="K691" s="13" t="str">
        <f>IF(A691="","",YEAR(A691))</f>
        <v/>
      </c>
    </row>
    <row r="692">
      <c r="A692" s="8" t="n"/>
      <c r="B692" s="9" t="n"/>
      <c r="C692" s="10" t="n"/>
      <c r="D692" s="10" t="n"/>
      <c r="E692" s="10" t="n"/>
      <c r="F692" s="10" t="n"/>
      <c r="G692" s="14" t="n"/>
      <c r="H692" s="9" t="n"/>
      <c r="I692" s="12" t="str">
        <f>IF(G692="","",IF(H692="לא",0,ROUND(G692*TaxRate/(1+TaxRate),2)))</f>
        <v/>
      </c>
      <c r="J692" s="12" t="str">
        <f>IF(G692="","",G692-I692)</f>
        <v/>
      </c>
      <c r="K692" s="13" t="str">
        <f>IF(A692="","",YEAR(A692))</f>
        <v/>
      </c>
    </row>
    <row r="693">
      <c r="A693" s="8" t="n"/>
      <c r="B693" s="9" t="n"/>
      <c r="C693" s="10" t="n"/>
      <c r="D693" s="10" t="n"/>
      <c r="E693" s="10" t="n"/>
      <c r="F693" s="10" t="n"/>
      <c r="G693" s="14" t="n"/>
      <c r="H693" s="9" t="n"/>
      <c r="I693" s="12" t="str">
        <f>IF(G693="","",IF(H693="לא",0,ROUND(G693*TaxRate/(1+TaxRate),2)))</f>
        <v/>
      </c>
      <c r="J693" s="12" t="str">
        <f>IF(G693="","",G693-I693)</f>
        <v/>
      </c>
      <c r="K693" s="13" t="str">
        <f>IF(A693="","",YEAR(A693))</f>
        <v/>
      </c>
    </row>
    <row r="694">
      <c r="A694" s="8" t="n"/>
      <c r="B694" s="9" t="n"/>
      <c r="C694" s="10" t="n"/>
      <c r="D694" s="10" t="n"/>
      <c r="E694" s="10" t="n"/>
      <c r="F694" s="10" t="n"/>
      <c r="G694" s="14" t="n"/>
      <c r="H694" s="9" t="n"/>
      <c r="I694" s="12" t="str">
        <f>IF(G694="","",IF(H694="לא",0,ROUND(G694*TaxRate/(1+TaxRate),2)))</f>
        <v/>
      </c>
      <c r="J694" s="12" t="str">
        <f>IF(G694="","",G694-I694)</f>
        <v/>
      </c>
      <c r="K694" s="13" t="str">
        <f>IF(A694="","",YEAR(A694))</f>
        <v/>
      </c>
    </row>
    <row r="695">
      <c r="A695" s="8" t="n"/>
      <c r="B695" s="9" t="n"/>
      <c r="C695" s="10" t="n"/>
      <c r="D695" s="10" t="n"/>
      <c r="E695" s="10" t="n"/>
      <c r="F695" s="10" t="n"/>
      <c r="G695" s="14" t="n"/>
      <c r="H695" s="9" t="n"/>
      <c r="I695" s="12" t="str">
        <f>IF(G695="","",IF(H695="לא",0,ROUND(G695*TaxRate/(1+TaxRate),2)))</f>
        <v/>
      </c>
      <c r="J695" s="12" t="str">
        <f>IF(G695="","",G695-I695)</f>
        <v/>
      </c>
      <c r="K695" s="13" t="str">
        <f>IF(A695="","",YEAR(A695))</f>
        <v/>
      </c>
    </row>
    <row r="696">
      <c r="A696" s="8" t="n"/>
      <c r="B696" s="9" t="n"/>
      <c r="C696" s="10" t="n"/>
      <c r="D696" s="10" t="n"/>
      <c r="E696" s="10" t="n"/>
      <c r="F696" s="10" t="n"/>
      <c r="G696" s="14" t="n"/>
      <c r="H696" s="9" t="n"/>
      <c r="I696" s="12" t="str">
        <f>IF(G696="","",IF(H696="לא",0,ROUND(G696*TaxRate/(1+TaxRate),2)))</f>
        <v/>
      </c>
      <c r="J696" s="12" t="str">
        <f>IF(G696="","",G696-I696)</f>
        <v/>
      </c>
      <c r="K696" s="13" t="str">
        <f>IF(A696="","",YEAR(A696))</f>
        <v/>
      </c>
    </row>
    <row r="697">
      <c r="A697" s="8" t="n"/>
      <c r="B697" s="9" t="n"/>
      <c r="C697" s="10" t="n"/>
      <c r="D697" s="10" t="n"/>
      <c r="E697" s="10" t="n"/>
      <c r="F697" s="10" t="n"/>
      <c r="G697" s="14" t="n"/>
      <c r="H697" s="9" t="n"/>
      <c r="I697" s="12" t="str">
        <f>IF(G697="","",IF(H697="לא",0,ROUND(G697*TaxRate/(1+TaxRate),2)))</f>
        <v/>
      </c>
      <c r="J697" s="12" t="str">
        <f>IF(G697="","",G697-I697)</f>
        <v/>
      </c>
      <c r="K697" s="13" t="str">
        <f>IF(A697="","",YEAR(A697))</f>
        <v/>
      </c>
    </row>
    <row r="698">
      <c r="A698" s="8" t="n"/>
      <c r="B698" s="9" t="n"/>
      <c r="C698" s="10" t="n"/>
      <c r="D698" s="10" t="n"/>
      <c r="E698" s="10" t="n"/>
      <c r="F698" s="10" t="n"/>
      <c r="G698" s="14" t="n"/>
      <c r="H698" s="9" t="n"/>
      <c r="I698" s="12" t="str">
        <f>IF(G698="","",IF(H698="לא",0,ROUND(G698*TaxRate/(1+TaxRate),2)))</f>
        <v/>
      </c>
      <c r="J698" s="12" t="str">
        <f>IF(G698="","",G698-I698)</f>
        <v/>
      </c>
      <c r="K698" s="13" t="str">
        <f>IF(A698="","",YEAR(A698))</f>
        <v/>
      </c>
    </row>
    <row r="699">
      <c r="A699" s="8" t="n"/>
      <c r="B699" s="9" t="n"/>
      <c r="C699" s="10" t="n"/>
      <c r="D699" s="10" t="n"/>
      <c r="E699" s="10" t="n"/>
      <c r="F699" s="10" t="n"/>
      <c r="G699" s="14" t="n"/>
      <c r="H699" s="9" t="n"/>
      <c r="I699" s="12" t="str">
        <f>IF(G699="","",IF(H699="לא",0,ROUND(G699*TaxRate/(1+TaxRate),2)))</f>
        <v/>
      </c>
      <c r="J699" s="12" t="str">
        <f>IF(G699="","",G699-I699)</f>
        <v/>
      </c>
      <c r="K699" s="13" t="str">
        <f>IF(A699="","",YEAR(A699))</f>
        <v/>
      </c>
    </row>
    <row r="700">
      <c r="A700" s="8" t="n"/>
      <c r="B700" s="9" t="n"/>
      <c r="C700" s="10" t="n"/>
      <c r="D700" s="10" t="n"/>
      <c r="E700" s="10" t="n"/>
      <c r="F700" s="10" t="n"/>
      <c r="G700" s="14" t="n"/>
      <c r="H700" s="9" t="n"/>
      <c r="I700" s="12" t="str">
        <f>IF(G700="","",IF(H700="לא",0,ROUND(G700*TaxRate/(1+TaxRate),2)))</f>
        <v/>
      </c>
      <c r="J700" s="12" t="str">
        <f>IF(G700="","",G700-I700)</f>
        <v/>
      </c>
      <c r="K700" s="13" t="str">
        <f>IF(A700="","",YEAR(A700))</f>
        <v/>
      </c>
    </row>
    <row r="701">
      <c r="A701" s="8" t="n"/>
      <c r="B701" s="9" t="n"/>
      <c r="C701" s="10" t="n"/>
      <c r="D701" s="10" t="n"/>
      <c r="E701" s="10" t="n"/>
      <c r="F701" s="10" t="n"/>
      <c r="G701" s="14" t="n"/>
      <c r="H701" s="9" t="n"/>
      <c r="I701" s="12" t="str">
        <f>IF(G701="","",IF(H701="לא",0,ROUND(G701*TaxRate/(1+TaxRate),2)))</f>
        <v/>
      </c>
      <c r="J701" s="12" t="str">
        <f>IF(G701="","",G701-I701)</f>
        <v/>
      </c>
      <c r="K701" s="13" t="str">
        <f>IF(A701="","",YEAR(A701))</f>
        <v/>
      </c>
    </row>
    <row r="702">
      <c r="A702" s="8" t="n"/>
      <c r="B702" s="9" t="n"/>
      <c r="C702" s="10" t="n"/>
      <c r="D702" s="10" t="n"/>
      <c r="E702" s="10" t="n"/>
      <c r="F702" s="10" t="n"/>
      <c r="G702" s="14" t="n"/>
      <c r="H702" s="9" t="n"/>
      <c r="I702" s="12" t="str">
        <f>IF(G702="","",IF(H702="לא",0,ROUND(G702*TaxRate/(1+TaxRate),2)))</f>
        <v/>
      </c>
      <c r="J702" s="12" t="str">
        <f>IF(G702="","",G702-I702)</f>
        <v/>
      </c>
      <c r="K702" s="13" t="str">
        <f>IF(A702="","",YEAR(A702))</f>
        <v/>
      </c>
    </row>
    <row r="703">
      <c r="A703" s="8" t="n"/>
      <c r="B703" s="9" t="n"/>
      <c r="C703" s="10" t="n"/>
      <c r="D703" s="10" t="n"/>
      <c r="E703" s="10" t="n"/>
      <c r="F703" s="10" t="n"/>
      <c r="G703" s="14" t="n"/>
      <c r="H703" s="9" t="n"/>
      <c r="I703" s="12" t="str">
        <f>IF(G703="","",IF(H703="לא",0,ROUND(G703*TaxRate/(1+TaxRate),2)))</f>
        <v/>
      </c>
      <c r="J703" s="12" t="str">
        <f>IF(G703="","",G703-I703)</f>
        <v/>
      </c>
      <c r="K703" s="13" t="str">
        <f>IF(A703="","",YEAR(A703))</f>
        <v/>
      </c>
    </row>
    <row r="704">
      <c r="A704" s="8" t="n"/>
      <c r="B704" s="9" t="n"/>
      <c r="C704" s="10" t="n"/>
      <c r="D704" s="10" t="n"/>
      <c r="E704" s="10" t="n"/>
      <c r="F704" s="10" t="n"/>
      <c r="G704" s="14" t="n"/>
      <c r="H704" s="9" t="n"/>
      <c r="I704" s="12" t="str">
        <f>IF(G704="","",IF(H704="לא",0,ROUND(G704*TaxRate/(1+TaxRate),2)))</f>
        <v/>
      </c>
      <c r="J704" s="12" t="str">
        <f>IF(G704="","",G704-I704)</f>
        <v/>
      </c>
      <c r="K704" s="13" t="str">
        <f>IF(A704="","",YEAR(A704))</f>
        <v/>
      </c>
    </row>
    <row r="705">
      <c r="A705" s="8" t="n"/>
      <c r="B705" s="9" t="n"/>
      <c r="C705" s="10" t="n"/>
      <c r="D705" s="10" t="n"/>
      <c r="E705" s="10" t="n"/>
      <c r="F705" s="10" t="n"/>
      <c r="G705" s="14" t="n"/>
      <c r="H705" s="9" t="n"/>
      <c r="I705" s="12" t="str">
        <f>IF(G705="","",IF(H705="לא",0,ROUND(G705*TaxRate/(1+TaxRate),2)))</f>
        <v/>
      </c>
      <c r="J705" s="12" t="str">
        <f>IF(G705="","",G705-I705)</f>
        <v/>
      </c>
      <c r="K705" s="13" t="str">
        <f>IF(A705="","",YEAR(A705))</f>
        <v/>
      </c>
    </row>
    <row r="706">
      <c r="A706" s="8" t="n"/>
      <c r="B706" s="9" t="n"/>
      <c r="C706" s="10" t="n"/>
      <c r="D706" s="10" t="n"/>
      <c r="E706" s="10" t="n"/>
      <c r="F706" s="10" t="n"/>
      <c r="G706" s="14" t="n"/>
      <c r="H706" s="9" t="n"/>
      <c r="I706" s="12" t="str">
        <f>IF(G706="","",IF(H706="לא",0,ROUND(G706*TaxRate/(1+TaxRate),2)))</f>
        <v/>
      </c>
      <c r="J706" s="12" t="str">
        <f>IF(G706="","",G706-I706)</f>
        <v/>
      </c>
      <c r="K706" s="13" t="str">
        <f>IF(A706="","",YEAR(A706))</f>
        <v/>
      </c>
    </row>
    <row r="707">
      <c r="A707" s="8" t="n"/>
      <c r="B707" s="9" t="n"/>
      <c r="C707" s="10" t="n"/>
      <c r="D707" s="10" t="n"/>
      <c r="E707" s="10" t="n"/>
      <c r="F707" s="10" t="n"/>
      <c r="G707" s="14" t="n"/>
      <c r="H707" s="9" t="n"/>
      <c r="I707" s="12" t="str">
        <f>IF(G707="","",IF(H707="לא",0,ROUND(G707*TaxRate/(1+TaxRate),2)))</f>
        <v/>
      </c>
      <c r="J707" s="12" t="str">
        <f>IF(G707="","",G707-I707)</f>
        <v/>
      </c>
      <c r="K707" s="13" t="str">
        <f>IF(A707="","",YEAR(A707))</f>
        <v/>
      </c>
    </row>
    <row r="708">
      <c r="A708" s="8" t="n"/>
      <c r="B708" s="9" t="n"/>
      <c r="C708" s="10" t="n"/>
      <c r="D708" s="10" t="n"/>
      <c r="E708" s="10" t="n"/>
      <c r="F708" s="10" t="n"/>
      <c r="G708" s="14" t="n"/>
      <c r="H708" s="9" t="n"/>
      <c r="I708" s="12" t="str">
        <f>IF(G708="","",IF(H708="לא",0,ROUND(G708*TaxRate/(1+TaxRate),2)))</f>
        <v/>
      </c>
      <c r="J708" s="12" t="str">
        <f>IF(G708="","",G708-I708)</f>
        <v/>
      </c>
      <c r="K708" s="13" t="str">
        <f>IF(A708="","",YEAR(A708))</f>
        <v/>
      </c>
    </row>
    <row r="709">
      <c r="A709" s="8" t="n"/>
      <c r="B709" s="9" t="n"/>
      <c r="C709" s="10" t="n"/>
      <c r="D709" s="10" t="n"/>
      <c r="E709" s="10" t="n"/>
      <c r="F709" s="10" t="n"/>
      <c r="G709" s="14" t="n"/>
      <c r="H709" s="9" t="n"/>
      <c r="I709" s="12" t="str">
        <f>IF(G709="","",IF(H709="לא",0,ROUND(G709*TaxRate/(1+TaxRate),2)))</f>
        <v/>
      </c>
      <c r="J709" s="12" t="str">
        <f>IF(G709="","",G709-I709)</f>
        <v/>
      </c>
      <c r="K709" s="13" t="str">
        <f>IF(A709="","",YEAR(A709))</f>
        <v/>
      </c>
    </row>
    <row r="710">
      <c r="A710" s="8" t="n"/>
      <c r="B710" s="9" t="n"/>
      <c r="C710" s="10" t="n"/>
      <c r="D710" s="10" t="n"/>
      <c r="E710" s="10" t="n"/>
      <c r="F710" s="10" t="n"/>
      <c r="G710" s="14" t="n"/>
      <c r="H710" s="9" t="n"/>
      <c r="I710" s="12" t="str">
        <f>IF(G710="","",IF(H710="לא",0,ROUND(G710*TaxRate/(1+TaxRate),2)))</f>
        <v/>
      </c>
      <c r="J710" s="12" t="str">
        <f>IF(G710="","",G710-I710)</f>
        <v/>
      </c>
      <c r="K710" s="13" t="str">
        <f>IF(A710="","",YEAR(A710))</f>
        <v/>
      </c>
    </row>
    <row r="711">
      <c r="A711" s="8" t="n"/>
      <c r="B711" s="9" t="n"/>
      <c r="C711" s="10" t="n"/>
      <c r="D711" s="10" t="n"/>
      <c r="E711" s="10" t="n"/>
      <c r="F711" s="10" t="n"/>
      <c r="G711" s="14" t="n"/>
      <c r="H711" s="9" t="n"/>
      <c r="I711" s="12" t="str">
        <f>IF(G711="","",IF(H711="לא",0,ROUND(G711*TaxRate/(1+TaxRate),2)))</f>
        <v/>
      </c>
      <c r="J711" s="12" t="str">
        <f>IF(G711="","",G711-I711)</f>
        <v/>
      </c>
      <c r="K711" s="13" t="str">
        <f>IF(A711="","",YEAR(A711))</f>
        <v/>
      </c>
    </row>
    <row r="712">
      <c r="A712" s="8" t="n"/>
      <c r="B712" s="9" t="n"/>
      <c r="C712" s="10" t="n"/>
      <c r="D712" s="10" t="n"/>
      <c r="E712" s="10" t="n"/>
      <c r="F712" s="10" t="n"/>
      <c r="G712" s="14" t="n"/>
      <c r="H712" s="9" t="n"/>
      <c r="I712" s="12" t="str">
        <f>IF(G712="","",IF(H712="לא",0,ROUND(G712*TaxRate/(1+TaxRate),2)))</f>
        <v/>
      </c>
      <c r="J712" s="12" t="str">
        <f>IF(G712="","",G712-I712)</f>
        <v/>
      </c>
      <c r="K712" s="13" t="str">
        <f>IF(A712="","",YEAR(A712))</f>
        <v/>
      </c>
    </row>
    <row r="713">
      <c r="A713" s="8" t="n"/>
      <c r="B713" s="9" t="n"/>
      <c r="C713" s="10" t="n"/>
      <c r="D713" s="10" t="n"/>
      <c r="E713" s="10" t="n"/>
      <c r="F713" s="10" t="n"/>
      <c r="G713" s="14" t="n"/>
      <c r="H713" s="9" t="n"/>
      <c r="I713" s="12" t="str">
        <f>IF(G713="","",IF(H713="לא",0,ROUND(G713*TaxRate/(1+TaxRate),2)))</f>
        <v/>
      </c>
      <c r="J713" s="12" t="str">
        <f>IF(G713="","",G713-I713)</f>
        <v/>
      </c>
      <c r="K713" s="13" t="str">
        <f>IF(A713="","",YEAR(A713))</f>
        <v/>
      </c>
    </row>
    <row r="714">
      <c r="A714" s="8" t="n"/>
      <c r="B714" s="9" t="n"/>
      <c r="C714" s="10" t="n"/>
      <c r="D714" s="10" t="n"/>
      <c r="E714" s="10" t="n"/>
      <c r="F714" s="10" t="n"/>
      <c r="G714" s="14" t="n"/>
      <c r="H714" s="9" t="n"/>
      <c r="I714" s="12" t="str">
        <f>IF(G714="","",IF(H714="לא",0,ROUND(G714*TaxRate/(1+TaxRate),2)))</f>
        <v/>
      </c>
      <c r="J714" s="12" t="str">
        <f>IF(G714="","",G714-I714)</f>
        <v/>
      </c>
      <c r="K714" s="13" t="str">
        <f>IF(A714="","",YEAR(A714))</f>
        <v/>
      </c>
    </row>
    <row r="715">
      <c r="A715" s="8" t="n"/>
      <c r="B715" s="9" t="n"/>
      <c r="C715" s="10" t="n"/>
      <c r="D715" s="10" t="n"/>
      <c r="E715" s="10" t="n"/>
      <c r="F715" s="10" t="n"/>
      <c r="G715" s="14" t="n"/>
      <c r="H715" s="9" t="n"/>
      <c r="I715" s="12" t="str">
        <f>IF(G715="","",IF(H715="לא",0,ROUND(G715*TaxRate/(1+TaxRate),2)))</f>
        <v/>
      </c>
      <c r="J715" s="12" t="str">
        <f>IF(G715="","",G715-I715)</f>
        <v/>
      </c>
      <c r="K715" s="13" t="str">
        <f>IF(A715="","",YEAR(A715))</f>
        <v/>
      </c>
    </row>
    <row r="716">
      <c r="A716" s="8" t="n"/>
      <c r="B716" s="9" t="n"/>
      <c r="C716" s="10" t="n"/>
      <c r="D716" s="10" t="n"/>
      <c r="E716" s="10" t="n"/>
      <c r="F716" s="10" t="n"/>
      <c r="G716" s="14" t="n"/>
      <c r="H716" s="9" t="n"/>
      <c r="I716" s="12" t="str">
        <f>IF(G716="","",IF(H716="לא",0,ROUND(G716*TaxRate/(1+TaxRate),2)))</f>
        <v/>
      </c>
      <c r="J716" s="12" t="str">
        <f>IF(G716="","",G716-I716)</f>
        <v/>
      </c>
      <c r="K716" s="13" t="str">
        <f>IF(A716="","",YEAR(A716))</f>
        <v/>
      </c>
    </row>
    <row r="717">
      <c r="A717" s="8" t="n"/>
      <c r="B717" s="9" t="n"/>
      <c r="C717" s="10" t="n"/>
      <c r="D717" s="10" t="n"/>
      <c r="E717" s="10" t="n"/>
      <c r="F717" s="10" t="n"/>
      <c r="G717" s="14" t="n"/>
      <c r="H717" s="9" t="n"/>
      <c r="I717" s="12" t="str">
        <f>IF(G717="","",IF(H717="לא",0,ROUND(G717*TaxRate/(1+TaxRate),2)))</f>
        <v/>
      </c>
      <c r="J717" s="12" t="str">
        <f>IF(G717="","",G717-I717)</f>
        <v/>
      </c>
      <c r="K717" s="13" t="str">
        <f>IF(A717="","",YEAR(A717))</f>
        <v/>
      </c>
    </row>
    <row r="718">
      <c r="A718" s="8" t="n"/>
      <c r="B718" s="9" t="n"/>
      <c r="C718" s="10" t="n"/>
      <c r="D718" s="10" t="n"/>
      <c r="E718" s="10" t="n"/>
      <c r="F718" s="10" t="n"/>
      <c r="G718" s="14" t="n"/>
      <c r="H718" s="9" t="n"/>
      <c r="I718" s="12" t="str">
        <f>IF(G718="","",IF(H718="לא",0,ROUND(G718*TaxRate/(1+TaxRate),2)))</f>
        <v/>
      </c>
      <c r="J718" s="12" t="str">
        <f>IF(G718="","",G718-I718)</f>
        <v/>
      </c>
      <c r="K718" s="13" t="str">
        <f>IF(A718="","",YEAR(A718))</f>
        <v/>
      </c>
    </row>
    <row r="719">
      <c r="A719" s="8" t="n"/>
      <c r="B719" s="9" t="n"/>
      <c r="C719" s="10" t="n"/>
      <c r="D719" s="10" t="n"/>
      <c r="E719" s="10" t="n"/>
      <c r="F719" s="10" t="n"/>
      <c r="G719" s="14" t="n"/>
      <c r="H719" s="9" t="n"/>
      <c r="I719" s="12" t="str">
        <f>IF(G719="","",IF(H719="לא",0,ROUND(G719*TaxRate/(1+TaxRate),2)))</f>
        <v/>
      </c>
      <c r="J719" s="12" t="str">
        <f>IF(G719="","",G719-I719)</f>
        <v/>
      </c>
      <c r="K719" s="13" t="str">
        <f>IF(A719="","",YEAR(A719))</f>
        <v/>
      </c>
    </row>
    <row r="720">
      <c r="A720" s="8" t="n"/>
      <c r="B720" s="9" t="n"/>
      <c r="C720" s="10" t="n"/>
      <c r="D720" s="10" t="n"/>
      <c r="E720" s="10" t="n"/>
      <c r="F720" s="10" t="n"/>
      <c r="G720" s="14" t="n"/>
      <c r="H720" s="9" t="n"/>
      <c r="I720" s="12" t="str">
        <f>IF(G720="","",IF(H720="לא",0,ROUND(G720*TaxRate/(1+TaxRate),2)))</f>
        <v/>
      </c>
      <c r="J720" s="12" t="str">
        <f>IF(G720="","",G720-I720)</f>
        <v/>
      </c>
      <c r="K720" s="13" t="str">
        <f>IF(A720="","",YEAR(A720))</f>
        <v/>
      </c>
    </row>
    <row r="721">
      <c r="A721" s="8" t="n"/>
      <c r="B721" s="9" t="n"/>
      <c r="C721" s="10" t="n"/>
      <c r="D721" s="10" t="n"/>
      <c r="E721" s="10" t="n"/>
      <c r="F721" s="10" t="n"/>
      <c r="G721" s="14" t="n"/>
      <c r="H721" s="9" t="n"/>
      <c r="I721" s="12" t="str">
        <f>IF(G721="","",IF(H721="לא",0,ROUND(G721*TaxRate/(1+TaxRate),2)))</f>
        <v/>
      </c>
      <c r="J721" s="12" t="str">
        <f>IF(G721="","",G721-I721)</f>
        <v/>
      </c>
      <c r="K721" s="13" t="str">
        <f>IF(A721="","",YEAR(A721))</f>
        <v/>
      </c>
    </row>
    <row r="722">
      <c r="A722" s="8" t="n"/>
      <c r="B722" s="9" t="n"/>
      <c r="C722" s="10" t="n"/>
      <c r="D722" s="10" t="n"/>
      <c r="E722" s="10" t="n"/>
      <c r="F722" s="10" t="n"/>
      <c r="G722" s="14" t="n"/>
      <c r="H722" s="9" t="n"/>
      <c r="I722" s="12" t="str">
        <f>IF(G722="","",IF(H722="לא",0,ROUND(G722*TaxRate/(1+TaxRate),2)))</f>
        <v/>
      </c>
      <c r="J722" s="12" t="str">
        <f>IF(G722="","",G722-I722)</f>
        <v/>
      </c>
      <c r="K722" s="13" t="str">
        <f>IF(A722="","",YEAR(A722))</f>
        <v/>
      </c>
    </row>
    <row r="723">
      <c r="A723" s="8" t="n"/>
      <c r="B723" s="9" t="n"/>
      <c r="C723" s="10" t="n"/>
      <c r="D723" s="10" t="n"/>
      <c r="E723" s="10" t="n"/>
      <c r="F723" s="10" t="n"/>
      <c r="G723" s="14" t="n"/>
      <c r="H723" s="9" t="n"/>
      <c r="I723" s="12" t="str">
        <f>IF(G723="","",IF(H723="לא",0,ROUND(G723*TaxRate/(1+TaxRate),2)))</f>
        <v/>
      </c>
      <c r="J723" s="12" t="str">
        <f>IF(G723="","",G723-I723)</f>
        <v/>
      </c>
      <c r="K723" s="13" t="str">
        <f>IF(A723="","",YEAR(A723))</f>
        <v/>
      </c>
    </row>
    <row r="724">
      <c r="A724" s="8" t="n"/>
      <c r="B724" s="9" t="n"/>
      <c r="C724" s="10" t="n"/>
      <c r="D724" s="10" t="n"/>
      <c r="E724" s="10" t="n"/>
      <c r="F724" s="10" t="n"/>
      <c r="G724" s="14" t="n"/>
      <c r="H724" s="9" t="n"/>
      <c r="I724" s="12" t="str">
        <f>IF(G724="","",IF(H724="לא",0,ROUND(G724*TaxRate/(1+TaxRate),2)))</f>
        <v/>
      </c>
      <c r="J724" s="12" t="str">
        <f>IF(G724="","",G724-I724)</f>
        <v/>
      </c>
      <c r="K724" s="13" t="str">
        <f>IF(A724="","",YEAR(A724))</f>
        <v/>
      </c>
    </row>
    <row r="725">
      <c r="A725" s="8" t="n"/>
      <c r="B725" s="9" t="n"/>
      <c r="C725" s="10" t="n"/>
      <c r="D725" s="10" t="n"/>
      <c r="E725" s="10" t="n"/>
      <c r="F725" s="10" t="n"/>
      <c r="G725" s="14" t="n"/>
      <c r="H725" s="9" t="n"/>
      <c r="I725" s="12" t="str">
        <f>IF(G725="","",IF(H725="לא",0,ROUND(G725*TaxRate/(1+TaxRate),2)))</f>
        <v/>
      </c>
      <c r="J725" s="12" t="str">
        <f>IF(G725="","",G725-I725)</f>
        <v/>
      </c>
      <c r="K725" s="13" t="str">
        <f>IF(A725="","",YEAR(A725))</f>
        <v/>
      </c>
    </row>
    <row r="726">
      <c r="A726" s="8" t="n"/>
      <c r="B726" s="9" t="n"/>
      <c r="C726" s="10" t="n"/>
      <c r="D726" s="10" t="n"/>
      <c r="E726" s="10" t="n"/>
      <c r="F726" s="10" t="n"/>
      <c r="G726" s="14" t="n"/>
      <c r="H726" s="9" t="n"/>
      <c r="I726" s="12" t="str">
        <f>IF(G726="","",IF(H726="לא",0,ROUND(G726*TaxRate/(1+TaxRate),2)))</f>
        <v/>
      </c>
      <c r="J726" s="12" t="str">
        <f>IF(G726="","",G726-I726)</f>
        <v/>
      </c>
      <c r="K726" s="13" t="str">
        <f>IF(A726="","",YEAR(A726))</f>
        <v/>
      </c>
    </row>
    <row r="727">
      <c r="A727" s="8" t="n"/>
      <c r="B727" s="9" t="n"/>
      <c r="C727" s="10" t="n"/>
      <c r="D727" s="10" t="n"/>
      <c r="E727" s="10" t="n"/>
      <c r="F727" s="10" t="n"/>
      <c r="G727" s="14" t="n"/>
      <c r="H727" s="9" t="n"/>
      <c r="I727" s="12" t="str">
        <f>IF(G727="","",IF(H727="לא",0,ROUND(G727*TaxRate/(1+TaxRate),2)))</f>
        <v/>
      </c>
      <c r="J727" s="12" t="str">
        <f>IF(G727="","",G727-I727)</f>
        <v/>
      </c>
      <c r="K727" s="13" t="str">
        <f>IF(A727="","",YEAR(A727))</f>
        <v/>
      </c>
    </row>
    <row r="728">
      <c r="A728" s="8" t="n"/>
      <c r="B728" s="9" t="n"/>
      <c r="C728" s="10" t="n"/>
      <c r="D728" s="10" t="n"/>
      <c r="E728" s="10" t="n"/>
      <c r="F728" s="10" t="n"/>
      <c r="G728" s="14" t="n"/>
      <c r="H728" s="9" t="n"/>
      <c r="I728" s="12" t="str">
        <f>IF(G728="","",IF(H728="לא",0,ROUND(G728*TaxRate/(1+TaxRate),2)))</f>
        <v/>
      </c>
      <c r="J728" s="12" t="str">
        <f>IF(G728="","",G728-I728)</f>
        <v/>
      </c>
      <c r="K728" s="13" t="str">
        <f>IF(A728="","",YEAR(A728))</f>
        <v/>
      </c>
    </row>
    <row r="729">
      <c r="A729" s="8" t="n"/>
      <c r="B729" s="9" t="n"/>
      <c r="C729" s="10" t="n"/>
      <c r="D729" s="10" t="n"/>
      <c r="E729" s="10" t="n"/>
      <c r="F729" s="10" t="n"/>
      <c r="G729" s="14" t="n"/>
      <c r="H729" s="9" t="n"/>
      <c r="I729" s="12" t="str">
        <f>IF(G729="","",IF(H729="לא",0,ROUND(G729*TaxRate/(1+TaxRate),2)))</f>
        <v/>
      </c>
      <c r="J729" s="12" t="str">
        <f>IF(G729="","",G729-I729)</f>
        <v/>
      </c>
      <c r="K729" s="13" t="str">
        <f>IF(A729="","",YEAR(A729))</f>
        <v/>
      </c>
    </row>
    <row r="730">
      <c r="A730" s="8" t="n"/>
      <c r="B730" s="9" t="n"/>
      <c r="C730" s="10" t="n"/>
      <c r="D730" s="10" t="n"/>
      <c r="E730" s="10" t="n"/>
      <c r="F730" s="10" t="n"/>
      <c r="G730" s="14" t="n"/>
      <c r="H730" s="9" t="n"/>
      <c r="I730" s="12" t="str">
        <f>IF(G730="","",IF(H730="לא",0,ROUND(G730*TaxRate/(1+TaxRate),2)))</f>
        <v/>
      </c>
      <c r="J730" s="12" t="str">
        <f>IF(G730="","",G730-I730)</f>
        <v/>
      </c>
      <c r="K730" s="13" t="str">
        <f>IF(A730="","",YEAR(A730))</f>
        <v/>
      </c>
    </row>
    <row r="731">
      <c r="A731" s="8" t="n"/>
      <c r="B731" s="9" t="n"/>
      <c r="C731" s="10" t="n"/>
      <c r="D731" s="10" t="n"/>
      <c r="E731" s="10" t="n"/>
      <c r="F731" s="10" t="n"/>
      <c r="G731" s="14" t="n"/>
      <c r="H731" s="9" t="n"/>
      <c r="I731" s="12" t="str">
        <f>IF(G731="","",IF(H731="לא",0,ROUND(G731*TaxRate/(1+TaxRate),2)))</f>
        <v/>
      </c>
      <c r="J731" s="12" t="str">
        <f>IF(G731="","",G731-I731)</f>
        <v/>
      </c>
      <c r="K731" s="13" t="str">
        <f>IF(A731="","",YEAR(A731))</f>
        <v/>
      </c>
    </row>
    <row r="732">
      <c r="A732" s="8" t="n"/>
      <c r="B732" s="9" t="n"/>
      <c r="C732" s="10" t="n"/>
      <c r="D732" s="10" t="n"/>
      <c r="E732" s="10" t="n"/>
      <c r="F732" s="10" t="n"/>
      <c r="G732" s="14" t="n"/>
      <c r="H732" s="9" t="n"/>
      <c r="I732" s="12" t="str">
        <f>IF(G732="","",IF(H732="לא",0,ROUND(G732*TaxRate/(1+TaxRate),2)))</f>
        <v/>
      </c>
      <c r="J732" s="12" t="str">
        <f>IF(G732="","",G732-I732)</f>
        <v/>
      </c>
      <c r="K732" s="13" t="str">
        <f>IF(A732="","",YEAR(A732))</f>
        <v/>
      </c>
    </row>
    <row r="733">
      <c r="A733" s="8" t="n"/>
      <c r="B733" s="9" t="n"/>
      <c r="C733" s="10" t="n"/>
      <c r="D733" s="10" t="n"/>
      <c r="E733" s="10" t="n"/>
      <c r="F733" s="10" t="n"/>
      <c r="G733" s="14" t="n"/>
      <c r="H733" s="9" t="n"/>
      <c r="I733" s="12" t="str">
        <f>IF(G733="","",IF(H733="לא",0,ROUND(G733*TaxRate/(1+TaxRate),2)))</f>
        <v/>
      </c>
      <c r="J733" s="12" t="str">
        <f>IF(G733="","",G733-I733)</f>
        <v/>
      </c>
      <c r="K733" s="13" t="str">
        <f>IF(A733="","",YEAR(A733))</f>
        <v/>
      </c>
    </row>
    <row r="734">
      <c r="A734" s="8" t="n"/>
      <c r="B734" s="9" t="n"/>
      <c r="C734" s="10" t="n"/>
      <c r="D734" s="10" t="n"/>
      <c r="E734" s="10" t="n"/>
      <c r="F734" s="10" t="n"/>
      <c r="G734" s="14" t="n"/>
      <c r="H734" s="9" t="n"/>
      <c r="I734" s="12" t="str">
        <f>IF(G734="","",IF(H734="לא",0,ROUND(G734*TaxRate/(1+TaxRate),2)))</f>
        <v/>
      </c>
      <c r="J734" s="12" t="str">
        <f>IF(G734="","",G734-I734)</f>
        <v/>
      </c>
      <c r="K734" s="13" t="str">
        <f>IF(A734="","",YEAR(A734))</f>
        <v/>
      </c>
    </row>
    <row r="735">
      <c r="A735" s="8" t="n"/>
      <c r="B735" s="9" t="n"/>
      <c r="C735" s="10" t="n"/>
      <c r="D735" s="10" t="n"/>
      <c r="E735" s="10" t="n"/>
      <c r="F735" s="10" t="n"/>
      <c r="G735" s="14" t="n"/>
      <c r="H735" s="9" t="n"/>
      <c r="I735" s="12" t="str">
        <f>IF(G735="","",IF(H735="לא",0,ROUND(G735*TaxRate/(1+TaxRate),2)))</f>
        <v/>
      </c>
      <c r="J735" s="12" t="str">
        <f>IF(G735="","",G735-I735)</f>
        <v/>
      </c>
      <c r="K735" s="13" t="str">
        <f>IF(A735="","",YEAR(A735))</f>
        <v/>
      </c>
    </row>
    <row r="736">
      <c r="A736" s="8" t="n"/>
      <c r="B736" s="9" t="n"/>
      <c r="C736" s="10" t="n"/>
      <c r="D736" s="10" t="n"/>
      <c r="E736" s="10" t="n"/>
      <c r="F736" s="10" t="n"/>
      <c r="G736" s="14" t="n"/>
      <c r="H736" s="9" t="n"/>
      <c r="I736" s="12" t="str">
        <f>IF(G736="","",IF(H736="לא",0,ROUND(G736*TaxRate/(1+TaxRate),2)))</f>
        <v/>
      </c>
      <c r="J736" s="12" t="str">
        <f>IF(G736="","",G736-I736)</f>
        <v/>
      </c>
      <c r="K736" s="13" t="str">
        <f>IF(A736="","",YEAR(A736))</f>
        <v/>
      </c>
    </row>
    <row r="737">
      <c r="A737" s="8" t="n"/>
      <c r="B737" s="9" t="n"/>
      <c r="C737" s="10" t="n"/>
      <c r="D737" s="10" t="n"/>
      <c r="E737" s="10" t="n"/>
      <c r="F737" s="10" t="n"/>
      <c r="G737" s="14" t="n"/>
      <c r="H737" s="9" t="n"/>
      <c r="I737" s="12" t="str">
        <f>IF(G737="","",IF(H737="לא",0,ROUND(G737*TaxRate/(1+TaxRate),2)))</f>
        <v/>
      </c>
      <c r="J737" s="12" t="str">
        <f>IF(G737="","",G737-I737)</f>
        <v/>
      </c>
      <c r="K737" s="13" t="str">
        <f>IF(A737="","",YEAR(A737))</f>
        <v/>
      </c>
    </row>
    <row r="738">
      <c r="A738" s="8" t="n"/>
      <c r="B738" s="9" t="n"/>
      <c r="C738" s="10" t="n"/>
      <c r="D738" s="10" t="n"/>
      <c r="E738" s="10" t="n"/>
      <c r="F738" s="10" t="n"/>
      <c r="G738" s="14" t="n"/>
      <c r="H738" s="9" t="n"/>
      <c r="I738" s="12" t="str">
        <f>IF(G738="","",IF(H738="לא",0,ROUND(G738*TaxRate/(1+TaxRate),2)))</f>
        <v/>
      </c>
      <c r="J738" s="12" t="str">
        <f>IF(G738="","",G738-I738)</f>
        <v/>
      </c>
      <c r="K738" s="13" t="str">
        <f>IF(A738="","",YEAR(A738))</f>
        <v/>
      </c>
    </row>
    <row r="739">
      <c r="A739" s="8" t="n"/>
      <c r="B739" s="9" t="n"/>
      <c r="C739" s="10" t="n"/>
      <c r="D739" s="10" t="n"/>
      <c r="E739" s="10" t="n"/>
      <c r="F739" s="10" t="n"/>
      <c r="G739" s="14" t="n"/>
      <c r="H739" s="9" t="n"/>
      <c r="I739" s="12" t="str">
        <f>IF(G739="","",IF(H739="לא",0,ROUND(G739*TaxRate/(1+TaxRate),2)))</f>
        <v/>
      </c>
      <c r="J739" s="12" t="str">
        <f>IF(G739="","",G739-I739)</f>
        <v/>
      </c>
      <c r="K739" s="13" t="str">
        <f>IF(A739="","",YEAR(A739))</f>
        <v/>
      </c>
    </row>
    <row r="740">
      <c r="A740" s="8" t="n"/>
      <c r="B740" s="9" t="n"/>
      <c r="C740" s="10" t="n"/>
      <c r="D740" s="10" t="n"/>
      <c r="E740" s="10" t="n"/>
      <c r="F740" s="10" t="n"/>
      <c r="G740" s="14" t="n"/>
      <c r="H740" s="9" t="n"/>
      <c r="I740" s="12" t="str">
        <f>IF(G740="","",IF(H740="לא",0,ROUND(G740*TaxRate/(1+TaxRate),2)))</f>
        <v/>
      </c>
      <c r="J740" s="12" t="str">
        <f>IF(G740="","",G740-I740)</f>
        <v/>
      </c>
      <c r="K740" s="13" t="str">
        <f>IF(A740="","",YEAR(A740))</f>
        <v/>
      </c>
    </row>
    <row r="741">
      <c r="A741" s="8" t="n"/>
      <c r="B741" s="9" t="n"/>
      <c r="C741" s="10" t="n"/>
      <c r="D741" s="10" t="n"/>
      <c r="E741" s="10" t="n"/>
      <c r="F741" s="10" t="n"/>
      <c r="G741" s="14" t="n"/>
      <c r="H741" s="9" t="n"/>
      <c r="I741" s="12" t="str">
        <f>IF(G741="","",IF(H741="לא",0,ROUND(G741*TaxRate/(1+TaxRate),2)))</f>
        <v/>
      </c>
      <c r="J741" s="12" t="str">
        <f>IF(G741="","",G741-I741)</f>
        <v/>
      </c>
      <c r="K741" s="13" t="str">
        <f>IF(A741="","",YEAR(A741))</f>
        <v/>
      </c>
    </row>
    <row r="742">
      <c r="A742" s="8" t="n"/>
      <c r="B742" s="9" t="n"/>
      <c r="C742" s="10" t="n"/>
      <c r="D742" s="10" t="n"/>
      <c r="E742" s="10" t="n"/>
      <c r="F742" s="10" t="n"/>
      <c r="G742" s="14" t="n"/>
      <c r="H742" s="9" t="n"/>
      <c r="I742" s="12" t="str">
        <f>IF(G742="","",IF(H742="לא",0,ROUND(G742*TaxRate/(1+TaxRate),2)))</f>
        <v/>
      </c>
      <c r="J742" s="12" t="str">
        <f>IF(G742="","",G742-I742)</f>
        <v/>
      </c>
      <c r="K742" s="13" t="str">
        <f>IF(A742="","",YEAR(A742))</f>
        <v/>
      </c>
    </row>
    <row r="743">
      <c r="A743" s="8" t="n"/>
      <c r="B743" s="9" t="n"/>
      <c r="C743" s="10" t="n"/>
      <c r="D743" s="10" t="n"/>
      <c r="E743" s="10" t="n"/>
      <c r="F743" s="10" t="n"/>
      <c r="G743" s="14" t="n"/>
      <c r="H743" s="9" t="n"/>
      <c r="I743" s="12" t="str">
        <f>IF(G743="","",IF(H743="לא",0,ROUND(G743*TaxRate/(1+TaxRate),2)))</f>
        <v/>
      </c>
      <c r="J743" s="12" t="str">
        <f>IF(G743="","",G743-I743)</f>
        <v/>
      </c>
      <c r="K743" s="13" t="str">
        <f>IF(A743="","",YEAR(A743))</f>
        <v/>
      </c>
    </row>
    <row r="744">
      <c r="A744" s="8" t="n"/>
      <c r="B744" s="9" t="n"/>
      <c r="C744" s="10" t="n"/>
      <c r="D744" s="10" t="n"/>
      <c r="E744" s="10" t="n"/>
      <c r="F744" s="10" t="n"/>
      <c r="G744" s="14" t="n"/>
      <c r="H744" s="9" t="n"/>
      <c r="I744" s="12" t="str">
        <f>IF(G744="","",IF(H744="לא",0,ROUND(G744*TaxRate/(1+TaxRate),2)))</f>
        <v/>
      </c>
      <c r="J744" s="12" t="str">
        <f>IF(G744="","",G744-I744)</f>
        <v/>
      </c>
      <c r="K744" s="13" t="str">
        <f>IF(A744="","",YEAR(A744))</f>
        <v/>
      </c>
    </row>
    <row r="745">
      <c r="A745" s="8" t="n"/>
      <c r="B745" s="9" t="n"/>
      <c r="C745" s="10" t="n"/>
      <c r="D745" s="10" t="n"/>
      <c r="E745" s="10" t="n"/>
      <c r="F745" s="10" t="n"/>
      <c r="G745" s="14" t="n"/>
      <c r="H745" s="9" t="n"/>
      <c r="I745" s="12" t="str">
        <f>IF(G745="","",IF(H745="לא",0,ROUND(G745*TaxRate/(1+TaxRate),2)))</f>
        <v/>
      </c>
      <c r="J745" s="12" t="str">
        <f>IF(G745="","",G745-I745)</f>
        <v/>
      </c>
      <c r="K745" s="13" t="str">
        <f>IF(A745="","",YEAR(A745))</f>
        <v/>
      </c>
    </row>
    <row r="746">
      <c r="A746" s="8" t="n"/>
      <c r="B746" s="9" t="n"/>
      <c r="C746" s="10" t="n"/>
      <c r="D746" s="10" t="n"/>
      <c r="E746" s="10" t="n"/>
      <c r="F746" s="10" t="n"/>
      <c r="G746" s="14" t="n"/>
      <c r="H746" s="9" t="n"/>
      <c r="I746" s="12" t="str">
        <f>IF(G746="","",IF(H746="לא",0,ROUND(G746*TaxRate/(1+TaxRate),2)))</f>
        <v/>
      </c>
      <c r="J746" s="12" t="str">
        <f>IF(G746="","",G746-I746)</f>
        <v/>
      </c>
      <c r="K746" s="13" t="str">
        <f>IF(A746="","",YEAR(A746))</f>
        <v/>
      </c>
    </row>
    <row r="747">
      <c r="A747" s="8" t="n"/>
      <c r="B747" s="9" t="n"/>
      <c r="C747" s="10" t="n"/>
      <c r="D747" s="10" t="n"/>
      <c r="E747" s="10" t="n"/>
      <c r="F747" s="10" t="n"/>
      <c r="G747" s="14" t="n"/>
      <c r="H747" s="9" t="n"/>
      <c r="I747" s="12" t="str">
        <f>IF(G747="","",IF(H747="לא",0,ROUND(G747*TaxRate/(1+TaxRate),2)))</f>
        <v/>
      </c>
      <c r="J747" s="12" t="str">
        <f>IF(G747="","",G747-I747)</f>
        <v/>
      </c>
      <c r="K747" s="13" t="str">
        <f>IF(A747="","",YEAR(A747))</f>
        <v/>
      </c>
    </row>
    <row r="748">
      <c r="A748" s="8" t="n"/>
      <c r="B748" s="9" t="n"/>
      <c r="C748" s="10" t="n"/>
      <c r="D748" s="10" t="n"/>
      <c r="E748" s="10" t="n"/>
      <c r="F748" s="10" t="n"/>
      <c r="G748" s="14" t="n"/>
      <c r="H748" s="9" t="n"/>
      <c r="I748" s="12" t="str">
        <f>IF(G748="","",IF(H748="לא",0,ROUND(G748*TaxRate/(1+TaxRate),2)))</f>
        <v/>
      </c>
      <c r="J748" s="12" t="str">
        <f>IF(G748="","",G748-I748)</f>
        <v/>
      </c>
      <c r="K748" s="13" t="str">
        <f>IF(A748="","",YEAR(A748))</f>
        <v/>
      </c>
    </row>
    <row r="749">
      <c r="A749" s="8" t="n"/>
      <c r="B749" s="9" t="n"/>
      <c r="C749" s="10" t="n"/>
      <c r="D749" s="10" t="n"/>
      <c r="E749" s="10" t="n"/>
      <c r="F749" s="10" t="n"/>
      <c r="G749" s="14" t="n"/>
      <c r="H749" s="9" t="n"/>
      <c r="I749" s="12" t="str">
        <f>IF(G749="","",IF(H749="לא",0,ROUND(G749*TaxRate/(1+TaxRate),2)))</f>
        <v/>
      </c>
      <c r="J749" s="12" t="str">
        <f>IF(G749="","",G749-I749)</f>
        <v/>
      </c>
      <c r="K749" s="13" t="str">
        <f>IF(A749="","",YEAR(A749))</f>
        <v/>
      </c>
    </row>
    <row r="750">
      <c r="A750" s="8" t="n"/>
      <c r="B750" s="9" t="n"/>
      <c r="C750" s="10" t="n"/>
      <c r="D750" s="10" t="n"/>
      <c r="E750" s="10" t="n"/>
      <c r="F750" s="10" t="n"/>
      <c r="G750" s="14" t="n"/>
      <c r="H750" s="9" t="n"/>
      <c r="I750" s="12" t="str">
        <f>IF(G750="","",IF(H750="לא",0,ROUND(G750*TaxRate/(1+TaxRate),2)))</f>
        <v/>
      </c>
      <c r="J750" s="12" t="str">
        <f>IF(G750="","",G750-I750)</f>
        <v/>
      </c>
      <c r="K750" s="13" t="str">
        <f>IF(A750="","",YEAR(A750))</f>
        <v/>
      </c>
    </row>
    <row r="751">
      <c r="A751" s="8" t="n"/>
      <c r="B751" s="9" t="n"/>
      <c r="C751" s="10" t="n"/>
      <c r="D751" s="10" t="n"/>
      <c r="E751" s="10" t="n"/>
      <c r="F751" s="10" t="n"/>
      <c r="G751" s="14" t="n"/>
      <c r="H751" s="9" t="n"/>
      <c r="I751" s="12" t="str">
        <f>IF(G751="","",IF(H751="לא",0,ROUND(G751*TaxRate/(1+TaxRate),2)))</f>
        <v/>
      </c>
      <c r="J751" s="12" t="str">
        <f>IF(G751="","",G751-I751)</f>
        <v/>
      </c>
      <c r="K751" s="13" t="str">
        <f>IF(A751="","",YEAR(A751))</f>
        <v/>
      </c>
    </row>
    <row r="752">
      <c r="A752" s="8" t="n"/>
      <c r="B752" s="9" t="n"/>
      <c r="C752" s="10" t="n"/>
      <c r="D752" s="10" t="n"/>
      <c r="E752" s="10" t="n"/>
      <c r="F752" s="10" t="n"/>
      <c r="G752" s="14" t="n"/>
      <c r="H752" s="9" t="n"/>
      <c r="I752" s="12" t="str">
        <f>IF(G752="","",IF(H752="לא",0,ROUND(G752*TaxRate/(1+TaxRate),2)))</f>
        <v/>
      </c>
      <c r="J752" s="12" t="str">
        <f>IF(G752="","",G752-I752)</f>
        <v/>
      </c>
      <c r="K752" s="13" t="str">
        <f>IF(A752="","",YEAR(A752))</f>
        <v/>
      </c>
    </row>
    <row r="753">
      <c r="A753" s="8" t="n"/>
      <c r="B753" s="9" t="n"/>
      <c r="C753" s="10" t="n"/>
      <c r="D753" s="10" t="n"/>
      <c r="E753" s="10" t="n"/>
      <c r="F753" s="10" t="n"/>
      <c r="G753" s="14" t="n"/>
      <c r="H753" s="9" t="n"/>
      <c r="I753" s="12" t="str">
        <f>IF(G753="","",IF(H753="לא",0,ROUND(G753*TaxRate/(1+TaxRate),2)))</f>
        <v/>
      </c>
      <c r="J753" s="12" t="str">
        <f>IF(G753="","",G753-I753)</f>
        <v/>
      </c>
      <c r="K753" s="13" t="str">
        <f>IF(A753="","",YEAR(A753))</f>
        <v/>
      </c>
    </row>
    <row r="754">
      <c r="A754" s="8" t="n"/>
      <c r="B754" s="9" t="n"/>
      <c r="C754" s="10" t="n"/>
      <c r="D754" s="10" t="n"/>
      <c r="E754" s="10" t="n"/>
      <c r="F754" s="10" t="n"/>
      <c r="G754" s="14" t="n"/>
      <c r="H754" s="9" t="n"/>
      <c r="I754" s="12" t="str">
        <f>IF(G754="","",IF(H754="לא",0,ROUND(G754*TaxRate/(1+TaxRate),2)))</f>
        <v/>
      </c>
      <c r="J754" s="12" t="str">
        <f>IF(G754="","",G754-I754)</f>
        <v/>
      </c>
      <c r="K754" s="13" t="str">
        <f>IF(A754="","",YEAR(A754))</f>
        <v/>
      </c>
    </row>
    <row r="755">
      <c r="A755" s="8" t="n"/>
      <c r="B755" s="9" t="n"/>
      <c r="C755" s="10" t="n"/>
      <c r="D755" s="10" t="n"/>
      <c r="E755" s="10" t="n"/>
      <c r="F755" s="10" t="n"/>
      <c r="G755" s="14" t="n"/>
      <c r="H755" s="9" t="n"/>
      <c r="I755" s="12" t="str">
        <f>IF(G755="","",IF(H755="לא",0,ROUND(G755*TaxRate/(1+TaxRate),2)))</f>
        <v/>
      </c>
      <c r="J755" s="12" t="str">
        <f>IF(G755="","",G755-I755)</f>
        <v/>
      </c>
      <c r="K755" s="13" t="str">
        <f>IF(A755="","",YEAR(A755))</f>
        <v/>
      </c>
    </row>
    <row r="756">
      <c r="A756" s="8" t="n"/>
      <c r="B756" s="9" t="n"/>
      <c r="C756" s="10" t="n"/>
      <c r="D756" s="10" t="n"/>
      <c r="E756" s="10" t="n"/>
      <c r="F756" s="10" t="n"/>
      <c r="G756" s="14" t="n"/>
      <c r="H756" s="9" t="n"/>
      <c r="I756" s="12" t="str">
        <f>IF(G756="","",IF(H756="לא",0,ROUND(G756*TaxRate/(1+TaxRate),2)))</f>
        <v/>
      </c>
      <c r="J756" s="12" t="str">
        <f>IF(G756="","",G756-I756)</f>
        <v/>
      </c>
      <c r="K756" s="13" t="str">
        <f>IF(A756="","",YEAR(A756))</f>
        <v/>
      </c>
    </row>
    <row r="757">
      <c r="A757" s="8" t="n"/>
      <c r="B757" s="9" t="n"/>
      <c r="C757" s="10" t="n"/>
      <c r="D757" s="10" t="n"/>
      <c r="E757" s="10" t="n"/>
      <c r="F757" s="10" t="n"/>
      <c r="G757" s="14" t="n"/>
      <c r="H757" s="9" t="n"/>
      <c r="I757" s="12" t="str">
        <f>IF(G757="","",IF(H757="לא",0,ROUND(G757*TaxRate/(1+TaxRate),2)))</f>
        <v/>
      </c>
      <c r="J757" s="12" t="str">
        <f>IF(G757="","",G757-I757)</f>
        <v/>
      </c>
      <c r="K757" s="13" t="str">
        <f>IF(A757="","",YEAR(A757))</f>
        <v/>
      </c>
    </row>
    <row r="758">
      <c r="A758" s="8" t="n"/>
      <c r="B758" s="9" t="n"/>
      <c r="C758" s="10" t="n"/>
      <c r="D758" s="10" t="n"/>
      <c r="E758" s="10" t="n"/>
      <c r="F758" s="10" t="n"/>
      <c r="G758" s="14" t="n"/>
      <c r="H758" s="9" t="n"/>
      <c r="I758" s="12" t="str">
        <f>IF(G758="","",IF(H758="לא",0,ROUND(G758*TaxRate/(1+TaxRate),2)))</f>
        <v/>
      </c>
      <c r="J758" s="12" t="str">
        <f>IF(G758="","",G758-I758)</f>
        <v/>
      </c>
      <c r="K758" s="13" t="str">
        <f>IF(A758="","",YEAR(A758))</f>
        <v/>
      </c>
    </row>
    <row r="759">
      <c r="A759" s="8" t="n"/>
      <c r="B759" s="9" t="n"/>
      <c r="C759" s="10" t="n"/>
      <c r="D759" s="10" t="n"/>
      <c r="E759" s="10" t="n"/>
      <c r="F759" s="10" t="n"/>
      <c r="G759" s="14" t="n"/>
      <c r="H759" s="9" t="n"/>
      <c r="I759" s="12" t="str">
        <f>IF(G759="","",IF(H759="לא",0,ROUND(G759*TaxRate/(1+TaxRate),2)))</f>
        <v/>
      </c>
      <c r="J759" s="12" t="str">
        <f>IF(G759="","",G759-I759)</f>
        <v/>
      </c>
      <c r="K759" s="13" t="str">
        <f>IF(A759="","",YEAR(A759))</f>
        <v/>
      </c>
    </row>
    <row r="760">
      <c r="A760" s="8" t="n"/>
      <c r="B760" s="9" t="n"/>
      <c r="C760" s="10" t="n"/>
      <c r="D760" s="10" t="n"/>
      <c r="E760" s="10" t="n"/>
      <c r="F760" s="10" t="n"/>
      <c r="G760" s="14" t="n"/>
      <c r="H760" s="9" t="n"/>
      <c r="I760" s="12" t="str">
        <f>IF(G760="","",IF(H760="לא",0,ROUND(G760*TaxRate/(1+TaxRate),2)))</f>
        <v/>
      </c>
      <c r="J760" s="12" t="str">
        <f>IF(G760="","",G760-I760)</f>
        <v/>
      </c>
      <c r="K760" s="13" t="str">
        <f>IF(A760="","",YEAR(A760))</f>
        <v/>
      </c>
    </row>
    <row r="761">
      <c r="A761" s="8" t="n"/>
      <c r="B761" s="9" t="n"/>
      <c r="C761" s="10" t="n"/>
      <c r="D761" s="10" t="n"/>
      <c r="E761" s="10" t="n"/>
      <c r="F761" s="10" t="n"/>
      <c r="G761" s="14" t="n"/>
      <c r="H761" s="9" t="n"/>
      <c r="I761" s="12" t="str">
        <f>IF(G761="","",IF(H761="לא",0,ROUND(G761*TaxRate/(1+TaxRate),2)))</f>
        <v/>
      </c>
      <c r="J761" s="12" t="str">
        <f>IF(G761="","",G761-I761)</f>
        <v/>
      </c>
      <c r="K761" s="13" t="str">
        <f>IF(A761="","",YEAR(A761))</f>
        <v/>
      </c>
    </row>
    <row r="762">
      <c r="A762" s="8" t="n"/>
      <c r="B762" s="9" t="n"/>
      <c r="C762" s="10" t="n"/>
      <c r="D762" s="10" t="n"/>
      <c r="E762" s="10" t="n"/>
      <c r="F762" s="10" t="n"/>
      <c r="G762" s="14" t="n"/>
      <c r="H762" s="9" t="n"/>
      <c r="I762" s="12" t="str">
        <f>IF(G762="","",IF(H762="לא",0,ROUND(G762*TaxRate/(1+TaxRate),2)))</f>
        <v/>
      </c>
      <c r="J762" s="12" t="str">
        <f>IF(G762="","",G762-I762)</f>
        <v/>
      </c>
      <c r="K762" s="13" t="str">
        <f>IF(A762="","",YEAR(A762))</f>
        <v/>
      </c>
    </row>
    <row r="763">
      <c r="A763" s="8" t="n"/>
      <c r="B763" s="9" t="n"/>
      <c r="C763" s="10" t="n"/>
      <c r="D763" s="10" t="n"/>
      <c r="E763" s="10" t="n"/>
      <c r="F763" s="10" t="n"/>
      <c r="G763" s="14" t="n"/>
      <c r="H763" s="9" t="n"/>
      <c r="I763" s="12" t="str">
        <f>IF(G763="","",IF(H763="לא",0,ROUND(G763*TaxRate/(1+TaxRate),2)))</f>
        <v/>
      </c>
      <c r="J763" s="12" t="str">
        <f>IF(G763="","",G763-I763)</f>
        <v/>
      </c>
      <c r="K763" s="13" t="str">
        <f>IF(A763="","",YEAR(A763))</f>
        <v/>
      </c>
    </row>
    <row r="764">
      <c r="A764" s="8" t="n"/>
      <c r="B764" s="9" t="n"/>
      <c r="C764" s="10" t="n"/>
      <c r="D764" s="10" t="n"/>
      <c r="E764" s="10" t="n"/>
      <c r="F764" s="10" t="n"/>
      <c r="G764" s="14" t="n"/>
      <c r="H764" s="9" t="n"/>
      <c r="I764" s="12" t="str">
        <f>IF(G764="","",IF(H764="לא",0,ROUND(G764*TaxRate/(1+TaxRate),2)))</f>
        <v/>
      </c>
      <c r="J764" s="12" t="str">
        <f>IF(G764="","",G764-I764)</f>
        <v/>
      </c>
      <c r="K764" s="13" t="str">
        <f>IF(A764="","",YEAR(A764))</f>
        <v/>
      </c>
    </row>
    <row r="765">
      <c r="A765" s="8" t="n"/>
      <c r="B765" s="9" t="n"/>
      <c r="C765" s="10" t="n"/>
      <c r="D765" s="10" t="n"/>
      <c r="E765" s="10" t="n"/>
      <c r="F765" s="10" t="n"/>
      <c r="G765" s="14" t="n"/>
      <c r="H765" s="9" t="n"/>
      <c r="I765" s="12" t="str">
        <f>IF(G765="","",IF(H765="לא",0,ROUND(G765*TaxRate/(1+TaxRate),2)))</f>
        <v/>
      </c>
      <c r="J765" s="12" t="str">
        <f>IF(G765="","",G765-I765)</f>
        <v/>
      </c>
      <c r="K765" s="13" t="str">
        <f>IF(A765="","",YEAR(A765))</f>
        <v/>
      </c>
    </row>
    <row r="766">
      <c r="A766" s="8" t="n"/>
      <c r="B766" s="9" t="n"/>
      <c r="C766" s="10" t="n"/>
      <c r="D766" s="10" t="n"/>
      <c r="E766" s="10" t="n"/>
      <c r="F766" s="10" t="n"/>
      <c r="G766" s="14" t="n"/>
      <c r="H766" s="9" t="n"/>
      <c r="I766" s="12" t="str">
        <f>IF(G766="","",IF(H766="לא",0,ROUND(G766*TaxRate/(1+TaxRate),2)))</f>
        <v/>
      </c>
      <c r="J766" s="12" t="str">
        <f>IF(G766="","",G766-I766)</f>
        <v/>
      </c>
      <c r="K766" s="13" t="str">
        <f>IF(A766="","",YEAR(A766))</f>
        <v/>
      </c>
    </row>
    <row r="767">
      <c r="A767" s="8" t="n"/>
      <c r="B767" s="9" t="n"/>
      <c r="C767" s="10" t="n"/>
      <c r="D767" s="10" t="n"/>
      <c r="E767" s="10" t="n"/>
      <c r="F767" s="10" t="n"/>
      <c r="G767" s="14" t="n"/>
      <c r="H767" s="9" t="n"/>
      <c r="I767" s="12" t="str">
        <f>IF(G767="","",IF(H767="לא",0,ROUND(G767*TaxRate/(1+TaxRate),2)))</f>
        <v/>
      </c>
      <c r="J767" s="12" t="str">
        <f>IF(G767="","",G767-I767)</f>
        <v/>
      </c>
      <c r="K767" s="13" t="str">
        <f>IF(A767="","",YEAR(A767))</f>
        <v/>
      </c>
    </row>
    <row r="768">
      <c r="A768" s="8" t="n"/>
      <c r="B768" s="9" t="n"/>
      <c r="C768" s="10" t="n"/>
      <c r="D768" s="10" t="n"/>
      <c r="E768" s="10" t="n"/>
      <c r="F768" s="10" t="n"/>
      <c r="G768" s="14" t="n"/>
      <c r="H768" s="9" t="n"/>
      <c r="I768" s="12" t="str">
        <f>IF(G768="","",IF(H768="לא",0,ROUND(G768*TaxRate/(1+TaxRate),2)))</f>
        <v/>
      </c>
      <c r="J768" s="12" t="str">
        <f>IF(G768="","",G768-I768)</f>
        <v/>
      </c>
      <c r="K768" s="13" t="str">
        <f>IF(A768="","",YEAR(A768))</f>
        <v/>
      </c>
    </row>
    <row r="769">
      <c r="A769" s="8" t="n"/>
      <c r="B769" s="9" t="n"/>
      <c r="C769" s="10" t="n"/>
      <c r="D769" s="10" t="n"/>
      <c r="E769" s="10" t="n"/>
      <c r="F769" s="10" t="n"/>
      <c r="G769" s="14" t="n"/>
      <c r="H769" s="9" t="n"/>
      <c r="I769" s="12" t="str">
        <f>IF(G769="","",IF(H769="לא",0,ROUND(G769*TaxRate/(1+TaxRate),2)))</f>
        <v/>
      </c>
      <c r="J769" s="12" t="str">
        <f>IF(G769="","",G769-I769)</f>
        <v/>
      </c>
      <c r="K769" s="13" t="str">
        <f>IF(A769="","",YEAR(A769))</f>
        <v/>
      </c>
    </row>
    <row r="770">
      <c r="A770" s="8" t="n"/>
      <c r="B770" s="9" t="n"/>
      <c r="C770" s="10" t="n"/>
      <c r="D770" s="10" t="n"/>
      <c r="E770" s="10" t="n"/>
      <c r="F770" s="10" t="n"/>
      <c r="G770" s="14" t="n"/>
      <c r="H770" s="9" t="n"/>
      <c r="I770" s="12" t="str">
        <f>IF(G770="","",IF(H770="לא",0,ROUND(G770*TaxRate/(1+TaxRate),2)))</f>
        <v/>
      </c>
      <c r="J770" s="12" t="str">
        <f>IF(G770="","",G770-I770)</f>
        <v/>
      </c>
      <c r="K770" s="13" t="str">
        <f>IF(A770="","",YEAR(A770))</f>
        <v/>
      </c>
    </row>
    <row r="771">
      <c r="A771" s="8" t="n"/>
      <c r="B771" s="9" t="n"/>
      <c r="C771" s="10" t="n"/>
      <c r="D771" s="10" t="n"/>
      <c r="E771" s="10" t="n"/>
      <c r="F771" s="10" t="n"/>
      <c r="G771" s="14" t="n"/>
      <c r="H771" s="9" t="n"/>
      <c r="I771" s="12" t="str">
        <f>IF(G771="","",IF(H771="לא",0,ROUND(G771*TaxRate/(1+TaxRate),2)))</f>
        <v/>
      </c>
      <c r="J771" s="12" t="str">
        <f>IF(G771="","",G771-I771)</f>
        <v/>
      </c>
      <c r="K771" s="13" t="str">
        <f>IF(A771="","",YEAR(A771))</f>
        <v/>
      </c>
    </row>
    <row r="772">
      <c r="A772" s="8" t="n"/>
      <c r="B772" s="9" t="n"/>
      <c r="C772" s="10" t="n"/>
      <c r="D772" s="10" t="n"/>
      <c r="E772" s="10" t="n"/>
      <c r="F772" s="10" t="n"/>
      <c r="G772" s="14" t="n"/>
      <c r="H772" s="9" t="n"/>
      <c r="I772" s="12" t="str">
        <f>IF(G772="","",IF(H772="לא",0,ROUND(G772*TaxRate/(1+TaxRate),2)))</f>
        <v/>
      </c>
      <c r="J772" s="12" t="str">
        <f>IF(G772="","",G772-I772)</f>
        <v/>
      </c>
      <c r="K772" s="13" t="str">
        <f>IF(A772="","",YEAR(A772))</f>
        <v/>
      </c>
    </row>
    <row r="773">
      <c r="A773" s="8" t="n"/>
      <c r="B773" s="9" t="n"/>
      <c r="C773" s="10" t="n"/>
      <c r="D773" s="10" t="n"/>
      <c r="E773" s="10" t="n"/>
      <c r="F773" s="10" t="n"/>
      <c r="G773" s="14" t="n"/>
      <c r="H773" s="9" t="n"/>
      <c r="I773" s="12" t="str">
        <f>IF(G773="","",IF(H773="לא",0,ROUND(G773*TaxRate/(1+TaxRate),2)))</f>
        <v/>
      </c>
      <c r="J773" s="12" t="str">
        <f>IF(G773="","",G773-I773)</f>
        <v/>
      </c>
      <c r="K773" s="13" t="str">
        <f>IF(A773="","",YEAR(A773))</f>
        <v/>
      </c>
    </row>
    <row r="774">
      <c r="A774" s="8" t="n"/>
      <c r="B774" s="9" t="n"/>
      <c r="C774" s="10" t="n"/>
      <c r="D774" s="10" t="n"/>
      <c r="E774" s="10" t="n"/>
      <c r="F774" s="10" t="n"/>
      <c r="G774" s="14" t="n"/>
      <c r="H774" s="9" t="n"/>
      <c r="I774" s="12" t="str">
        <f>IF(G774="","",IF(H774="לא",0,ROUND(G774*TaxRate/(1+TaxRate),2)))</f>
        <v/>
      </c>
      <c r="J774" s="12" t="str">
        <f>IF(G774="","",G774-I774)</f>
        <v/>
      </c>
      <c r="K774" s="13" t="str">
        <f>IF(A774="","",YEAR(A774))</f>
        <v/>
      </c>
    </row>
    <row r="775">
      <c r="A775" s="8" t="n"/>
      <c r="B775" s="9" t="n"/>
      <c r="C775" s="10" t="n"/>
      <c r="D775" s="10" t="n"/>
      <c r="E775" s="10" t="n"/>
      <c r="F775" s="10" t="n"/>
      <c r="G775" s="14" t="n"/>
      <c r="H775" s="9" t="n"/>
      <c r="I775" s="12" t="str">
        <f>IF(G775="","",IF(H775="לא",0,ROUND(G775*TaxRate/(1+TaxRate),2)))</f>
        <v/>
      </c>
      <c r="J775" s="12" t="str">
        <f>IF(G775="","",G775-I775)</f>
        <v/>
      </c>
      <c r="K775" s="13" t="str">
        <f>IF(A775="","",YEAR(A775))</f>
        <v/>
      </c>
    </row>
    <row r="776">
      <c r="A776" s="8" t="n"/>
      <c r="B776" s="9" t="n"/>
      <c r="C776" s="10" t="n"/>
      <c r="D776" s="10" t="n"/>
      <c r="E776" s="10" t="n"/>
      <c r="F776" s="10" t="n"/>
      <c r="G776" s="14" t="n"/>
      <c r="H776" s="9" t="n"/>
      <c r="I776" s="12" t="str">
        <f>IF(G776="","",IF(H776="לא",0,ROUND(G776*TaxRate/(1+TaxRate),2)))</f>
        <v/>
      </c>
      <c r="J776" s="12" t="str">
        <f>IF(G776="","",G776-I776)</f>
        <v/>
      </c>
      <c r="K776" s="13" t="str">
        <f>IF(A776="","",YEAR(A776))</f>
        <v/>
      </c>
    </row>
    <row r="777">
      <c r="A777" s="8" t="n"/>
      <c r="B777" s="9" t="n"/>
      <c r="C777" s="10" t="n"/>
      <c r="D777" s="10" t="n"/>
      <c r="E777" s="10" t="n"/>
      <c r="F777" s="10" t="n"/>
      <c r="G777" s="14" t="n"/>
      <c r="H777" s="9" t="n"/>
      <c r="I777" s="12" t="str">
        <f>IF(G777="","",IF(H777="לא",0,ROUND(G777*TaxRate/(1+TaxRate),2)))</f>
        <v/>
      </c>
      <c r="J777" s="12" t="str">
        <f>IF(G777="","",G777-I777)</f>
        <v/>
      </c>
      <c r="K777" s="13" t="str">
        <f>IF(A777="","",YEAR(A777))</f>
        <v/>
      </c>
    </row>
    <row r="778">
      <c r="A778" s="8" t="n"/>
      <c r="B778" s="9" t="n"/>
      <c r="C778" s="10" t="n"/>
      <c r="D778" s="10" t="n"/>
      <c r="E778" s="10" t="n"/>
      <c r="F778" s="10" t="n"/>
      <c r="G778" s="14" t="n"/>
      <c r="H778" s="9" t="n"/>
      <c r="I778" s="12" t="str">
        <f>IF(G778="","",IF(H778="לא",0,ROUND(G778*TaxRate/(1+TaxRate),2)))</f>
        <v/>
      </c>
      <c r="J778" s="12" t="str">
        <f>IF(G778="","",G778-I778)</f>
        <v/>
      </c>
      <c r="K778" s="13" t="str">
        <f>IF(A778="","",YEAR(A778))</f>
        <v/>
      </c>
    </row>
    <row r="779">
      <c r="A779" s="8" t="n"/>
      <c r="B779" s="9" t="n"/>
      <c r="C779" s="10" t="n"/>
      <c r="D779" s="10" t="n"/>
      <c r="E779" s="10" t="n"/>
      <c r="F779" s="10" t="n"/>
      <c r="G779" s="14" t="n"/>
      <c r="H779" s="9" t="n"/>
      <c r="I779" s="12" t="str">
        <f>IF(G779="","",IF(H779="לא",0,ROUND(G779*TaxRate/(1+TaxRate),2)))</f>
        <v/>
      </c>
      <c r="J779" s="12" t="str">
        <f>IF(G779="","",G779-I779)</f>
        <v/>
      </c>
      <c r="K779" s="13" t="str">
        <f>IF(A779="","",YEAR(A779))</f>
        <v/>
      </c>
    </row>
    <row r="780">
      <c r="A780" s="8" t="n"/>
      <c r="B780" s="9" t="n"/>
      <c r="C780" s="10" t="n"/>
      <c r="D780" s="10" t="n"/>
      <c r="E780" s="10" t="n"/>
      <c r="F780" s="10" t="n"/>
      <c r="G780" s="14" t="n"/>
      <c r="H780" s="9" t="n"/>
      <c r="I780" s="12" t="str">
        <f>IF(G780="","",IF(H780="לא",0,ROUND(G780*TaxRate/(1+TaxRate),2)))</f>
        <v/>
      </c>
      <c r="J780" s="12" t="str">
        <f>IF(G780="","",G780-I780)</f>
        <v/>
      </c>
      <c r="K780" s="13" t="str">
        <f>IF(A780="","",YEAR(A780))</f>
        <v/>
      </c>
    </row>
    <row r="781">
      <c r="A781" s="8" t="n"/>
      <c r="B781" s="9" t="n"/>
      <c r="C781" s="10" t="n"/>
      <c r="D781" s="10" t="n"/>
      <c r="E781" s="10" t="n"/>
      <c r="F781" s="10" t="n"/>
      <c r="G781" s="14" t="n"/>
      <c r="H781" s="9" t="n"/>
      <c r="I781" s="12" t="str">
        <f>IF(G781="","",IF(H781="לא",0,ROUND(G781*TaxRate/(1+TaxRate),2)))</f>
        <v/>
      </c>
      <c r="J781" s="12" t="str">
        <f>IF(G781="","",G781-I781)</f>
        <v/>
      </c>
      <c r="K781" s="13" t="str">
        <f>IF(A781="","",YEAR(A781))</f>
        <v/>
      </c>
    </row>
    <row r="782">
      <c r="A782" s="8" t="n"/>
      <c r="B782" s="9" t="n"/>
      <c r="C782" s="10" t="n"/>
      <c r="D782" s="10" t="n"/>
      <c r="E782" s="10" t="n"/>
      <c r="F782" s="10" t="n"/>
      <c r="G782" s="14" t="n"/>
      <c r="H782" s="9" t="n"/>
      <c r="I782" s="12" t="str">
        <f>IF(G782="","",IF(H782="לא",0,ROUND(G782*TaxRate/(1+TaxRate),2)))</f>
        <v/>
      </c>
      <c r="J782" s="12" t="str">
        <f>IF(G782="","",G782-I782)</f>
        <v/>
      </c>
      <c r="K782" s="13" t="str">
        <f>IF(A782="","",YEAR(A782))</f>
        <v/>
      </c>
    </row>
    <row r="783">
      <c r="A783" s="8" t="n"/>
      <c r="B783" s="9" t="n"/>
      <c r="C783" s="10" t="n"/>
      <c r="D783" s="10" t="n"/>
      <c r="E783" s="10" t="n"/>
      <c r="F783" s="10" t="n"/>
      <c r="G783" s="14" t="n"/>
      <c r="H783" s="9" t="n"/>
      <c r="I783" s="12" t="str">
        <f>IF(G783="","",IF(H783="לא",0,ROUND(G783*TaxRate/(1+TaxRate),2)))</f>
        <v/>
      </c>
      <c r="J783" s="12" t="str">
        <f>IF(G783="","",G783-I783)</f>
        <v/>
      </c>
      <c r="K783" s="13" t="str">
        <f>IF(A783="","",YEAR(A783))</f>
        <v/>
      </c>
    </row>
    <row r="784">
      <c r="A784" s="8" t="n"/>
      <c r="B784" s="9" t="n"/>
      <c r="C784" s="10" t="n"/>
      <c r="D784" s="10" t="n"/>
      <c r="E784" s="10" t="n"/>
      <c r="F784" s="10" t="n"/>
      <c r="G784" s="14" t="n"/>
      <c r="H784" s="9" t="n"/>
      <c r="I784" s="12" t="str">
        <f>IF(G784="","",IF(H784="לא",0,ROUND(G784*TaxRate/(1+TaxRate),2)))</f>
        <v/>
      </c>
      <c r="J784" s="12" t="str">
        <f>IF(G784="","",G784-I784)</f>
        <v/>
      </c>
      <c r="K784" s="13" t="str">
        <f>IF(A784="","",YEAR(A784))</f>
        <v/>
      </c>
    </row>
    <row r="785">
      <c r="A785" s="8" t="n"/>
      <c r="B785" s="9" t="n"/>
      <c r="C785" s="10" t="n"/>
      <c r="D785" s="10" t="n"/>
      <c r="E785" s="10" t="n"/>
      <c r="F785" s="10" t="n"/>
      <c r="G785" s="14" t="n"/>
      <c r="H785" s="9" t="n"/>
      <c r="I785" s="12" t="str">
        <f>IF(G785="","",IF(H785="לא",0,ROUND(G785*TaxRate/(1+TaxRate),2)))</f>
        <v/>
      </c>
      <c r="J785" s="12" t="str">
        <f>IF(G785="","",G785-I785)</f>
        <v/>
      </c>
      <c r="K785" s="13" t="str">
        <f>IF(A785="","",YEAR(A785))</f>
        <v/>
      </c>
    </row>
    <row r="786">
      <c r="A786" s="8" t="n"/>
      <c r="B786" s="9" t="n"/>
      <c r="C786" s="10" t="n"/>
      <c r="D786" s="10" t="n"/>
      <c r="E786" s="10" t="n"/>
      <c r="F786" s="10" t="n"/>
      <c r="G786" s="14" t="n"/>
      <c r="H786" s="9" t="n"/>
      <c r="I786" s="12" t="str">
        <f>IF(G786="","",IF(H786="לא",0,ROUND(G786*TaxRate/(1+TaxRate),2)))</f>
        <v/>
      </c>
      <c r="J786" s="12" t="str">
        <f>IF(G786="","",G786-I786)</f>
        <v/>
      </c>
      <c r="K786" s="13" t="str">
        <f>IF(A786="","",YEAR(A786))</f>
        <v/>
      </c>
    </row>
    <row r="787">
      <c r="A787" s="8" t="n"/>
      <c r="B787" s="9" t="n"/>
      <c r="C787" s="10" t="n"/>
      <c r="D787" s="10" t="n"/>
      <c r="E787" s="10" t="n"/>
      <c r="F787" s="10" t="n"/>
      <c r="G787" s="14" t="n"/>
      <c r="H787" s="9" t="n"/>
      <c r="I787" s="12" t="str">
        <f>IF(G787="","",IF(H787="לא",0,ROUND(G787*TaxRate/(1+TaxRate),2)))</f>
        <v/>
      </c>
      <c r="J787" s="12" t="str">
        <f>IF(G787="","",G787-I787)</f>
        <v/>
      </c>
      <c r="K787" s="13" t="str">
        <f>IF(A787="","",YEAR(A787))</f>
        <v/>
      </c>
    </row>
    <row r="788">
      <c r="A788" s="8" t="n"/>
      <c r="B788" s="9" t="n"/>
      <c r="C788" s="10" t="n"/>
      <c r="D788" s="10" t="n"/>
      <c r="E788" s="10" t="n"/>
      <c r="F788" s="10" t="n"/>
      <c r="G788" s="14" t="n"/>
      <c r="H788" s="9" t="n"/>
      <c r="I788" s="12" t="str">
        <f>IF(G788="","",IF(H788="לא",0,ROUND(G788*TaxRate/(1+TaxRate),2)))</f>
        <v/>
      </c>
      <c r="J788" s="12" t="str">
        <f>IF(G788="","",G788-I788)</f>
        <v/>
      </c>
      <c r="K788" s="13" t="str">
        <f>IF(A788="","",YEAR(A788))</f>
        <v/>
      </c>
    </row>
    <row r="789">
      <c r="A789" s="8" t="n"/>
      <c r="B789" s="9" t="n"/>
      <c r="C789" s="10" t="n"/>
      <c r="D789" s="10" t="n"/>
      <c r="E789" s="10" t="n"/>
      <c r="F789" s="10" t="n"/>
      <c r="G789" s="14" t="n"/>
      <c r="H789" s="9" t="n"/>
      <c r="I789" s="12" t="str">
        <f>IF(G789="","",IF(H789="לא",0,ROUND(G789*TaxRate/(1+TaxRate),2)))</f>
        <v/>
      </c>
      <c r="J789" s="12" t="str">
        <f>IF(G789="","",G789-I789)</f>
        <v/>
      </c>
      <c r="K789" s="13" t="str">
        <f>IF(A789="","",YEAR(A789))</f>
        <v/>
      </c>
    </row>
    <row r="790">
      <c r="A790" s="8" t="n"/>
      <c r="B790" s="9" t="n"/>
      <c r="C790" s="10" t="n"/>
      <c r="D790" s="10" t="n"/>
      <c r="E790" s="10" t="n"/>
      <c r="F790" s="10" t="n"/>
      <c r="G790" s="14" t="n"/>
      <c r="H790" s="9" t="n"/>
      <c r="I790" s="12" t="str">
        <f>IF(G790="","",IF(H790="לא",0,ROUND(G790*TaxRate/(1+TaxRate),2)))</f>
        <v/>
      </c>
      <c r="J790" s="12" t="str">
        <f>IF(G790="","",G790-I790)</f>
        <v/>
      </c>
      <c r="K790" s="13" t="str">
        <f>IF(A790="","",YEAR(A790))</f>
        <v/>
      </c>
    </row>
    <row r="791">
      <c r="A791" s="8" t="n"/>
      <c r="B791" s="9" t="n"/>
      <c r="C791" s="10" t="n"/>
      <c r="D791" s="10" t="n"/>
      <c r="E791" s="10" t="n"/>
      <c r="F791" s="10" t="n"/>
      <c r="G791" s="14" t="n"/>
      <c r="H791" s="9" t="n"/>
      <c r="I791" s="12" t="str">
        <f>IF(G791="","",IF(H791="לא",0,ROUND(G791*TaxRate/(1+TaxRate),2)))</f>
        <v/>
      </c>
      <c r="J791" s="12" t="str">
        <f>IF(G791="","",G791-I791)</f>
        <v/>
      </c>
      <c r="K791" s="13" t="str">
        <f>IF(A791="","",YEAR(A791))</f>
        <v/>
      </c>
    </row>
    <row r="792">
      <c r="A792" s="8" t="n"/>
      <c r="B792" s="9" t="n"/>
      <c r="C792" s="10" t="n"/>
      <c r="D792" s="10" t="n"/>
      <c r="E792" s="10" t="n"/>
      <c r="F792" s="10" t="n"/>
      <c r="G792" s="14" t="n"/>
      <c r="H792" s="9" t="n"/>
      <c r="I792" s="12" t="str">
        <f>IF(G792="","",IF(H792="לא",0,ROUND(G792*TaxRate/(1+TaxRate),2)))</f>
        <v/>
      </c>
      <c r="J792" s="12" t="str">
        <f>IF(G792="","",G792-I792)</f>
        <v/>
      </c>
      <c r="K792" s="13" t="str">
        <f>IF(A792="","",YEAR(A792))</f>
        <v/>
      </c>
    </row>
    <row r="793">
      <c r="A793" s="8" t="n"/>
      <c r="B793" s="9" t="n"/>
      <c r="C793" s="10" t="n"/>
      <c r="D793" s="10" t="n"/>
      <c r="E793" s="10" t="n"/>
      <c r="F793" s="10" t="n"/>
      <c r="G793" s="14" t="n"/>
      <c r="H793" s="9" t="n"/>
      <c r="I793" s="12" t="str">
        <f>IF(G793="","",IF(H793="לא",0,ROUND(G793*TaxRate/(1+TaxRate),2)))</f>
        <v/>
      </c>
      <c r="J793" s="12" t="str">
        <f>IF(G793="","",G793-I793)</f>
        <v/>
      </c>
      <c r="K793" s="13" t="str">
        <f>IF(A793="","",YEAR(A793))</f>
        <v/>
      </c>
    </row>
    <row r="794">
      <c r="A794" s="8" t="n"/>
      <c r="B794" s="9" t="n"/>
      <c r="C794" s="10" t="n"/>
      <c r="D794" s="10" t="n"/>
      <c r="E794" s="10" t="n"/>
      <c r="F794" s="10" t="n"/>
      <c r="G794" s="14" t="n"/>
      <c r="H794" s="9" t="n"/>
      <c r="I794" s="12" t="str">
        <f>IF(G794="","",IF(H794="לא",0,ROUND(G794*TaxRate/(1+TaxRate),2)))</f>
        <v/>
      </c>
      <c r="J794" s="12" t="str">
        <f>IF(G794="","",G794-I794)</f>
        <v/>
      </c>
      <c r="K794" s="13" t="str">
        <f>IF(A794="","",YEAR(A794))</f>
        <v/>
      </c>
    </row>
    <row r="795">
      <c r="A795" s="8" t="n"/>
      <c r="B795" s="9" t="n"/>
      <c r="C795" s="10" t="n"/>
      <c r="D795" s="10" t="n"/>
      <c r="E795" s="10" t="n"/>
      <c r="F795" s="10" t="n"/>
      <c r="G795" s="14" t="n"/>
      <c r="H795" s="9" t="n"/>
      <c r="I795" s="12" t="str">
        <f>IF(G795="","",IF(H795="לא",0,ROUND(G795*TaxRate/(1+TaxRate),2)))</f>
        <v/>
      </c>
      <c r="J795" s="12" t="str">
        <f>IF(G795="","",G795-I795)</f>
        <v/>
      </c>
      <c r="K795" s="13" t="str">
        <f>IF(A795="","",YEAR(A795))</f>
        <v/>
      </c>
    </row>
    <row r="796">
      <c r="A796" s="8" t="n"/>
      <c r="B796" s="9" t="n"/>
      <c r="C796" s="10" t="n"/>
      <c r="D796" s="10" t="n"/>
      <c r="E796" s="10" t="n"/>
      <c r="F796" s="10" t="n"/>
      <c r="G796" s="14" t="n"/>
      <c r="H796" s="9" t="n"/>
      <c r="I796" s="12" t="str">
        <f>IF(G796="","",IF(H796="לא",0,ROUND(G796*TaxRate/(1+TaxRate),2)))</f>
        <v/>
      </c>
      <c r="J796" s="12" t="str">
        <f>IF(G796="","",G796-I796)</f>
        <v/>
      </c>
      <c r="K796" s="13" t="str">
        <f>IF(A796="","",YEAR(A796))</f>
        <v/>
      </c>
    </row>
    <row r="797">
      <c r="A797" s="8" t="n"/>
      <c r="B797" s="9" t="n"/>
      <c r="C797" s="10" t="n"/>
      <c r="D797" s="10" t="n"/>
      <c r="E797" s="10" t="n"/>
      <c r="F797" s="10" t="n"/>
      <c r="G797" s="14" t="n"/>
      <c r="H797" s="9" t="n"/>
      <c r="I797" s="12" t="str">
        <f>IF(G797="","",IF(H797="לא",0,ROUND(G797*TaxRate/(1+TaxRate),2)))</f>
        <v/>
      </c>
      <c r="J797" s="12" t="str">
        <f>IF(G797="","",G797-I797)</f>
        <v/>
      </c>
      <c r="K797" s="13" t="str">
        <f>IF(A797="","",YEAR(A797))</f>
        <v/>
      </c>
    </row>
    <row r="798">
      <c r="A798" s="8" t="n"/>
      <c r="B798" s="9" t="n"/>
      <c r="C798" s="10" t="n"/>
      <c r="D798" s="10" t="n"/>
      <c r="E798" s="10" t="n"/>
      <c r="F798" s="10" t="n"/>
      <c r="G798" s="14" t="n"/>
      <c r="H798" s="9" t="n"/>
      <c r="I798" s="12" t="str">
        <f>IF(G798="","",IF(H798="לא",0,ROUND(G798*TaxRate/(1+TaxRate),2)))</f>
        <v/>
      </c>
      <c r="J798" s="12" t="str">
        <f>IF(G798="","",G798-I798)</f>
        <v/>
      </c>
      <c r="K798" s="13" t="str">
        <f>IF(A798="","",YEAR(A798))</f>
        <v/>
      </c>
    </row>
    <row r="799">
      <c r="A799" s="8" t="n"/>
      <c r="B799" s="9" t="n"/>
      <c r="C799" s="10" t="n"/>
      <c r="D799" s="10" t="n"/>
      <c r="E799" s="10" t="n"/>
      <c r="F799" s="10" t="n"/>
      <c r="G799" s="14" t="n"/>
      <c r="H799" s="9" t="n"/>
      <c r="I799" s="12" t="str">
        <f>IF(G799="","",IF(H799="לא",0,ROUND(G799*TaxRate/(1+TaxRate),2)))</f>
        <v/>
      </c>
      <c r="J799" s="12" t="str">
        <f>IF(G799="","",G799-I799)</f>
        <v/>
      </c>
      <c r="K799" s="13" t="str">
        <f>IF(A799="","",YEAR(A799))</f>
        <v/>
      </c>
    </row>
    <row r="800">
      <c r="A800" s="8" t="n"/>
      <c r="B800" s="9" t="n"/>
      <c r="C800" s="10" t="n"/>
      <c r="D800" s="10" t="n"/>
      <c r="E800" s="10" t="n"/>
      <c r="F800" s="10" t="n"/>
      <c r="G800" s="14" t="n"/>
      <c r="H800" s="9" t="n"/>
      <c r="I800" s="12" t="str">
        <f>IF(G800="","",IF(H800="לא",0,ROUND(G800*TaxRate/(1+TaxRate),2)))</f>
        <v/>
      </c>
      <c r="J800" s="12" t="str">
        <f>IF(G800="","",G800-I800)</f>
        <v/>
      </c>
      <c r="K800" s="13" t="str">
        <f>IF(A800="","",YEAR(A800))</f>
        <v/>
      </c>
    </row>
    <row r="801">
      <c r="A801" s="8" t="n"/>
      <c r="B801" s="9" t="n"/>
      <c r="C801" s="10" t="n"/>
      <c r="D801" s="10" t="n"/>
      <c r="E801" s="10" t="n"/>
      <c r="F801" s="10" t="n"/>
      <c r="G801" s="14" t="n"/>
      <c r="H801" s="9" t="n"/>
      <c r="I801" s="12" t="str">
        <f>IF(G801="","",IF(H801="לא",0,ROUND(G801*TaxRate/(1+TaxRate),2)))</f>
        <v/>
      </c>
      <c r="J801" s="12" t="str">
        <f>IF(G801="","",G801-I801)</f>
        <v/>
      </c>
      <c r="K801" s="13" t="str">
        <f>IF(A801="","",YEAR(A801))</f>
        <v/>
      </c>
    </row>
    <row r="802">
      <c r="A802" s="8" t="n"/>
      <c r="B802" s="9" t="n"/>
      <c r="C802" s="10" t="n"/>
      <c r="D802" s="10" t="n"/>
      <c r="E802" s="10" t="n"/>
      <c r="F802" s="10" t="n"/>
      <c r="G802" s="14" t="n"/>
      <c r="H802" s="9" t="n"/>
      <c r="I802" s="12" t="str">
        <f>IF(G802="","",IF(H802="לא",0,ROUND(G802*TaxRate/(1+TaxRate),2)))</f>
        <v/>
      </c>
      <c r="J802" s="12" t="str">
        <f>IF(G802="","",G802-I802)</f>
        <v/>
      </c>
      <c r="K802" s="13" t="str">
        <f>IF(A802="","",YEAR(A802))</f>
        <v/>
      </c>
    </row>
    <row r="803">
      <c r="A803" s="8" t="n"/>
      <c r="B803" s="9" t="n"/>
      <c r="C803" s="10" t="n"/>
      <c r="D803" s="10" t="n"/>
      <c r="E803" s="10" t="n"/>
      <c r="F803" s="10" t="n"/>
      <c r="G803" s="14" t="n"/>
      <c r="H803" s="9" t="n"/>
      <c r="I803" s="12" t="str">
        <f>IF(G803="","",IF(H803="לא",0,ROUND(G803*TaxRate/(1+TaxRate),2)))</f>
        <v/>
      </c>
      <c r="J803" s="12" t="str">
        <f>IF(G803="","",G803-I803)</f>
        <v/>
      </c>
      <c r="K803" s="13" t="str">
        <f>IF(A803="","",YEAR(A803))</f>
        <v/>
      </c>
    </row>
    <row r="804">
      <c r="A804" s="8" t="n"/>
      <c r="B804" s="9" t="n"/>
      <c r="C804" s="10" t="n"/>
      <c r="D804" s="10" t="n"/>
      <c r="E804" s="10" t="n"/>
      <c r="F804" s="10" t="n"/>
      <c r="G804" s="14" t="n"/>
      <c r="H804" s="9" t="n"/>
      <c r="I804" s="12" t="str">
        <f>IF(G804="","",IF(H804="לא",0,ROUND(G804*TaxRate/(1+TaxRate),2)))</f>
        <v/>
      </c>
      <c r="J804" s="12" t="str">
        <f>IF(G804="","",G804-I804)</f>
        <v/>
      </c>
      <c r="K804" s="13" t="str">
        <f>IF(A804="","",YEAR(A804))</f>
        <v/>
      </c>
    </row>
    <row r="805">
      <c r="A805" s="8" t="n"/>
      <c r="B805" s="9" t="n"/>
      <c r="C805" s="10" t="n"/>
      <c r="D805" s="10" t="n"/>
      <c r="E805" s="10" t="n"/>
      <c r="F805" s="10" t="n"/>
      <c r="G805" s="14" t="n"/>
      <c r="H805" s="9" t="n"/>
      <c r="I805" s="12" t="str">
        <f>IF(G805="","",IF(H805="לא",0,ROUND(G805*TaxRate/(1+TaxRate),2)))</f>
        <v/>
      </c>
      <c r="J805" s="12" t="str">
        <f>IF(G805="","",G805-I805)</f>
        <v/>
      </c>
      <c r="K805" s="13" t="str">
        <f>IF(A805="","",YEAR(A805))</f>
        <v/>
      </c>
    </row>
    <row r="806">
      <c r="A806" s="8" t="n"/>
      <c r="B806" s="9" t="n"/>
      <c r="C806" s="10" t="n"/>
      <c r="D806" s="10" t="n"/>
      <c r="E806" s="10" t="n"/>
      <c r="F806" s="10" t="n"/>
      <c r="G806" s="14" t="n"/>
      <c r="H806" s="9" t="n"/>
      <c r="I806" s="12" t="str">
        <f>IF(G806="","",IF(H806="לא",0,ROUND(G806*TaxRate/(1+TaxRate),2)))</f>
        <v/>
      </c>
      <c r="J806" s="12" t="str">
        <f>IF(G806="","",G806-I806)</f>
        <v/>
      </c>
      <c r="K806" s="13" t="str">
        <f>IF(A806="","",YEAR(A806))</f>
        <v/>
      </c>
    </row>
    <row r="807">
      <c r="A807" s="8" t="n"/>
      <c r="B807" s="9" t="n"/>
      <c r="C807" s="10" t="n"/>
      <c r="D807" s="10" t="n"/>
      <c r="E807" s="10" t="n"/>
      <c r="F807" s="10" t="n"/>
      <c r="G807" s="14" t="n"/>
      <c r="H807" s="9" t="n"/>
      <c r="I807" s="12" t="str">
        <f>IF(G807="","",IF(H807="לא",0,ROUND(G807*TaxRate/(1+TaxRate),2)))</f>
        <v/>
      </c>
      <c r="J807" s="12" t="str">
        <f>IF(G807="","",G807-I807)</f>
        <v/>
      </c>
      <c r="K807" s="13" t="str">
        <f>IF(A807="","",YEAR(A807))</f>
        <v/>
      </c>
    </row>
    <row r="808">
      <c r="A808" s="8" t="n"/>
      <c r="B808" s="9" t="n"/>
      <c r="C808" s="10" t="n"/>
      <c r="D808" s="10" t="n"/>
      <c r="E808" s="10" t="n"/>
      <c r="F808" s="10" t="n"/>
      <c r="G808" s="14" t="n"/>
      <c r="H808" s="9" t="n"/>
      <c r="I808" s="12" t="str">
        <f>IF(G808="","",IF(H808="לא",0,ROUND(G808*TaxRate/(1+TaxRate),2)))</f>
        <v/>
      </c>
      <c r="J808" s="12" t="str">
        <f>IF(G808="","",G808-I808)</f>
        <v/>
      </c>
      <c r="K808" s="13" t="str">
        <f>IF(A808="","",YEAR(A808))</f>
        <v/>
      </c>
    </row>
    <row r="809">
      <c r="A809" s="8" t="n"/>
      <c r="B809" s="9" t="n"/>
      <c r="C809" s="10" t="n"/>
      <c r="D809" s="10" t="n"/>
      <c r="E809" s="10" t="n"/>
      <c r="F809" s="10" t="n"/>
      <c r="G809" s="14" t="n"/>
      <c r="H809" s="9" t="n"/>
      <c r="I809" s="12" t="str">
        <f>IF(G809="","",IF(H809="לא",0,ROUND(G809*TaxRate/(1+TaxRate),2)))</f>
        <v/>
      </c>
      <c r="J809" s="12" t="str">
        <f>IF(G809="","",G809-I809)</f>
        <v/>
      </c>
      <c r="K809" s="13" t="str">
        <f>IF(A809="","",YEAR(A809))</f>
        <v/>
      </c>
    </row>
    <row r="810">
      <c r="A810" s="8" t="n"/>
      <c r="B810" s="9" t="n"/>
      <c r="C810" s="10" t="n"/>
      <c r="D810" s="10" t="n"/>
      <c r="E810" s="10" t="n"/>
      <c r="F810" s="10" t="n"/>
      <c r="G810" s="14" t="n"/>
      <c r="H810" s="9" t="n"/>
      <c r="I810" s="12" t="str">
        <f>IF(G810="","",IF(H810="לא",0,ROUND(G810*TaxRate/(1+TaxRate),2)))</f>
        <v/>
      </c>
      <c r="J810" s="12" t="str">
        <f>IF(G810="","",G810-I810)</f>
        <v/>
      </c>
      <c r="K810" s="13" t="str">
        <f>IF(A810="","",YEAR(A810))</f>
        <v/>
      </c>
    </row>
    <row r="811">
      <c r="A811" s="8" t="n"/>
      <c r="B811" s="9" t="n"/>
      <c r="C811" s="10" t="n"/>
      <c r="D811" s="10" t="n"/>
      <c r="E811" s="10" t="n"/>
      <c r="F811" s="10" t="n"/>
      <c r="G811" s="14" t="n"/>
      <c r="H811" s="9" t="n"/>
      <c r="I811" s="12" t="str">
        <f>IF(G811="","",IF(H811="לא",0,ROUND(G811*TaxRate/(1+TaxRate),2)))</f>
        <v/>
      </c>
      <c r="J811" s="12" t="str">
        <f>IF(G811="","",G811-I811)</f>
        <v/>
      </c>
      <c r="K811" s="13" t="str">
        <f>IF(A811="","",YEAR(A811))</f>
        <v/>
      </c>
    </row>
    <row r="812">
      <c r="A812" s="8" t="n"/>
      <c r="B812" s="9" t="n"/>
      <c r="C812" s="10" t="n"/>
      <c r="D812" s="10" t="n"/>
      <c r="E812" s="10" t="n"/>
      <c r="F812" s="10" t="n"/>
      <c r="G812" s="14" t="n"/>
      <c r="H812" s="9" t="n"/>
      <c r="I812" s="12" t="str">
        <f>IF(G812="","",IF(H812="לא",0,ROUND(G812*TaxRate/(1+TaxRate),2)))</f>
        <v/>
      </c>
      <c r="J812" s="12" t="str">
        <f>IF(G812="","",G812-I812)</f>
        <v/>
      </c>
      <c r="K812" s="13" t="str">
        <f>IF(A812="","",YEAR(A812))</f>
        <v/>
      </c>
    </row>
    <row r="813">
      <c r="A813" s="8" t="n"/>
      <c r="B813" s="9" t="n"/>
      <c r="C813" s="10" t="n"/>
      <c r="D813" s="10" t="n"/>
      <c r="E813" s="10" t="n"/>
      <c r="F813" s="10" t="n"/>
      <c r="G813" s="14" t="n"/>
      <c r="H813" s="9" t="n"/>
      <c r="I813" s="12" t="str">
        <f>IF(G813="","",IF(H813="לא",0,ROUND(G813*TaxRate/(1+TaxRate),2)))</f>
        <v/>
      </c>
      <c r="J813" s="12" t="str">
        <f>IF(G813="","",G813-I813)</f>
        <v/>
      </c>
      <c r="K813" s="13" t="str">
        <f>IF(A813="","",YEAR(A813))</f>
        <v/>
      </c>
    </row>
    <row r="814">
      <c r="A814" s="8" t="n"/>
      <c r="B814" s="9" t="n"/>
      <c r="C814" s="10" t="n"/>
      <c r="D814" s="10" t="n"/>
      <c r="E814" s="10" t="n"/>
      <c r="F814" s="10" t="n"/>
      <c r="G814" s="14" t="n"/>
      <c r="H814" s="9" t="n"/>
      <c r="I814" s="12" t="str">
        <f>IF(G814="","",IF(H814="לא",0,ROUND(G814*TaxRate/(1+TaxRate),2)))</f>
        <v/>
      </c>
      <c r="J814" s="12" t="str">
        <f>IF(G814="","",G814-I814)</f>
        <v/>
      </c>
      <c r="K814" s="13" t="str">
        <f>IF(A814="","",YEAR(A814))</f>
        <v/>
      </c>
    </row>
    <row r="815">
      <c r="A815" s="8" t="n"/>
      <c r="B815" s="9" t="n"/>
      <c r="C815" s="10" t="n"/>
      <c r="D815" s="10" t="n"/>
      <c r="E815" s="10" t="n"/>
      <c r="F815" s="10" t="n"/>
      <c r="G815" s="14" t="n"/>
      <c r="H815" s="9" t="n"/>
      <c r="I815" s="12" t="str">
        <f>IF(G815="","",IF(H815="לא",0,ROUND(G815*TaxRate/(1+TaxRate),2)))</f>
        <v/>
      </c>
      <c r="J815" s="12" t="str">
        <f>IF(G815="","",G815-I815)</f>
        <v/>
      </c>
      <c r="K815" s="13" t="str">
        <f>IF(A815="","",YEAR(A815))</f>
        <v/>
      </c>
    </row>
    <row r="816">
      <c r="A816" s="8" t="n"/>
      <c r="B816" s="9" t="n"/>
      <c r="C816" s="10" t="n"/>
      <c r="D816" s="10" t="n"/>
      <c r="E816" s="10" t="n"/>
      <c r="F816" s="10" t="n"/>
      <c r="G816" s="14" t="n"/>
      <c r="H816" s="9" t="n"/>
      <c r="I816" s="12" t="str">
        <f>IF(G816="","",IF(H816="לא",0,ROUND(G816*TaxRate/(1+TaxRate),2)))</f>
        <v/>
      </c>
      <c r="J816" s="12" t="str">
        <f>IF(G816="","",G816-I816)</f>
        <v/>
      </c>
      <c r="K816" s="13" t="str">
        <f>IF(A816="","",YEAR(A816))</f>
        <v/>
      </c>
    </row>
    <row r="817">
      <c r="A817" s="8" t="n"/>
      <c r="B817" s="9" t="n"/>
      <c r="C817" s="10" t="n"/>
      <c r="D817" s="10" t="n"/>
      <c r="E817" s="10" t="n"/>
      <c r="F817" s="10" t="n"/>
      <c r="G817" s="14" t="n"/>
      <c r="H817" s="9" t="n"/>
      <c r="I817" s="12" t="str">
        <f>IF(G817="","",IF(H817="לא",0,ROUND(G817*TaxRate/(1+TaxRate),2)))</f>
        <v/>
      </c>
      <c r="J817" s="12" t="str">
        <f>IF(G817="","",G817-I817)</f>
        <v/>
      </c>
      <c r="K817" s="13" t="str">
        <f>IF(A817="","",YEAR(A817))</f>
        <v/>
      </c>
    </row>
    <row r="818">
      <c r="A818" s="8" t="n"/>
      <c r="B818" s="9" t="n"/>
      <c r="C818" s="10" t="n"/>
      <c r="D818" s="10" t="n"/>
      <c r="E818" s="10" t="n"/>
      <c r="F818" s="10" t="n"/>
      <c r="G818" s="14" t="n"/>
      <c r="H818" s="9" t="n"/>
      <c r="I818" s="12" t="str">
        <f>IF(G818="","",IF(H818="לא",0,ROUND(G818*TaxRate/(1+TaxRate),2)))</f>
        <v/>
      </c>
      <c r="J818" s="12" t="str">
        <f>IF(G818="","",G818-I818)</f>
        <v/>
      </c>
      <c r="K818" s="13" t="str">
        <f>IF(A818="","",YEAR(A818))</f>
        <v/>
      </c>
    </row>
    <row r="819">
      <c r="A819" s="8" t="n"/>
      <c r="B819" s="9" t="n"/>
      <c r="C819" s="10" t="n"/>
      <c r="D819" s="10" t="n"/>
      <c r="E819" s="10" t="n"/>
      <c r="F819" s="10" t="n"/>
      <c r="G819" s="14" t="n"/>
      <c r="H819" s="9" t="n"/>
      <c r="I819" s="12" t="str">
        <f>IF(G819="","",IF(H819="לא",0,ROUND(G819*TaxRate/(1+TaxRate),2)))</f>
        <v/>
      </c>
      <c r="J819" s="12" t="str">
        <f>IF(G819="","",G819-I819)</f>
        <v/>
      </c>
      <c r="K819" s="13" t="str">
        <f>IF(A819="","",YEAR(A819))</f>
        <v/>
      </c>
    </row>
    <row r="820">
      <c r="A820" s="8" t="n"/>
      <c r="B820" s="9" t="n"/>
      <c r="C820" s="10" t="n"/>
      <c r="D820" s="10" t="n"/>
      <c r="E820" s="10" t="n"/>
      <c r="F820" s="10" t="n"/>
      <c r="G820" s="14" t="n"/>
      <c r="H820" s="9" t="n"/>
      <c r="I820" s="12" t="str">
        <f>IF(G820="","",IF(H820="לא",0,ROUND(G820*TaxRate/(1+TaxRate),2)))</f>
        <v/>
      </c>
      <c r="J820" s="12" t="str">
        <f>IF(G820="","",G820-I820)</f>
        <v/>
      </c>
      <c r="K820" s="13" t="str">
        <f>IF(A820="","",YEAR(A820))</f>
        <v/>
      </c>
    </row>
    <row r="821">
      <c r="A821" s="8" t="n"/>
      <c r="B821" s="9" t="n"/>
      <c r="C821" s="10" t="n"/>
      <c r="D821" s="10" t="n"/>
      <c r="E821" s="10" t="n"/>
      <c r="F821" s="10" t="n"/>
      <c r="G821" s="14" t="n"/>
      <c r="H821" s="9" t="n"/>
      <c r="I821" s="12" t="str">
        <f>IF(G821="","",IF(H821="לא",0,ROUND(G821*TaxRate/(1+TaxRate),2)))</f>
        <v/>
      </c>
      <c r="J821" s="12" t="str">
        <f>IF(G821="","",G821-I821)</f>
        <v/>
      </c>
      <c r="K821" s="13" t="str">
        <f>IF(A821="","",YEAR(A821))</f>
        <v/>
      </c>
    </row>
    <row r="822">
      <c r="A822" s="8" t="n"/>
      <c r="B822" s="9" t="n"/>
      <c r="C822" s="10" t="n"/>
      <c r="D822" s="10" t="n"/>
      <c r="E822" s="10" t="n"/>
      <c r="F822" s="10" t="n"/>
      <c r="G822" s="14" t="n"/>
      <c r="H822" s="9" t="n"/>
      <c r="I822" s="12" t="str">
        <f>IF(G822="","",IF(H822="לא",0,ROUND(G822*TaxRate/(1+TaxRate),2)))</f>
        <v/>
      </c>
      <c r="J822" s="12" t="str">
        <f>IF(G822="","",G822-I822)</f>
        <v/>
      </c>
      <c r="K822" s="13" t="str">
        <f>IF(A822="","",YEAR(A822))</f>
        <v/>
      </c>
    </row>
    <row r="823">
      <c r="A823" s="8" t="n"/>
      <c r="B823" s="9" t="n"/>
      <c r="C823" s="10" t="n"/>
      <c r="D823" s="10" t="n"/>
      <c r="E823" s="10" t="n"/>
      <c r="F823" s="10" t="n"/>
      <c r="G823" s="14" t="n"/>
      <c r="H823" s="9" t="n"/>
      <c r="I823" s="12" t="str">
        <f>IF(G823="","",IF(H823="לא",0,ROUND(G823*TaxRate/(1+TaxRate),2)))</f>
        <v/>
      </c>
      <c r="J823" s="12" t="str">
        <f>IF(G823="","",G823-I823)</f>
        <v/>
      </c>
      <c r="K823" s="13" t="str">
        <f>IF(A823="","",YEAR(A823))</f>
        <v/>
      </c>
    </row>
    <row r="824">
      <c r="A824" s="8" t="n"/>
      <c r="B824" s="9" t="n"/>
      <c r="C824" s="10" t="n"/>
      <c r="D824" s="10" t="n"/>
      <c r="E824" s="10" t="n"/>
      <c r="F824" s="10" t="n"/>
      <c r="G824" s="14" t="n"/>
      <c r="H824" s="9" t="n"/>
      <c r="I824" s="12" t="str">
        <f>IF(G824="","",IF(H824="לא",0,ROUND(G824*TaxRate/(1+TaxRate),2)))</f>
        <v/>
      </c>
      <c r="J824" s="12" t="str">
        <f>IF(G824="","",G824-I824)</f>
        <v/>
      </c>
      <c r="K824" s="13" t="str">
        <f>IF(A824="","",YEAR(A824))</f>
        <v/>
      </c>
    </row>
    <row r="825">
      <c r="A825" s="8" t="n"/>
      <c r="B825" s="9" t="n"/>
      <c r="C825" s="10" t="n"/>
      <c r="D825" s="10" t="n"/>
      <c r="E825" s="10" t="n"/>
      <c r="F825" s="10" t="n"/>
      <c r="G825" s="14" t="n"/>
      <c r="H825" s="9" t="n"/>
      <c r="I825" s="12" t="str">
        <f>IF(G825="","",IF(H825="לא",0,ROUND(G825*TaxRate/(1+TaxRate),2)))</f>
        <v/>
      </c>
      <c r="J825" s="12" t="str">
        <f>IF(G825="","",G825-I825)</f>
        <v/>
      </c>
      <c r="K825" s="13" t="str">
        <f>IF(A825="","",YEAR(A825))</f>
        <v/>
      </c>
    </row>
    <row r="826">
      <c r="A826" s="8" t="n"/>
      <c r="B826" s="9" t="n"/>
      <c r="C826" s="10" t="n"/>
      <c r="D826" s="10" t="n"/>
      <c r="E826" s="10" t="n"/>
      <c r="F826" s="10" t="n"/>
      <c r="G826" s="14" t="n"/>
      <c r="H826" s="9" t="n"/>
      <c r="I826" s="12" t="str">
        <f>IF(G826="","",IF(H826="לא",0,ROUND(G826*TaxRate/(1+TaxRate),2)))</f>
        <v/>
      </c>
      <c r="J826" s="12" t="str">
        <f>IF(G826="","",G826-I826)</f>
        <v/>
      </c>
      <c r="K826" s="13" t="str">
        <f>IF(A826="","",YEAR(A826))</f>
        <v/>
      </c>
    </row>
    <row r="827">
      <c r="A827" s="8" t="n"/>
      <c r="B827" s="9" t="n"/>
      <c r="C827" s="10" t="n"/>
      <c r="D827" s="10" t="n"/>
      <c r="E827" s="10" t="n"/>
      <c r="F827" s="10" t="n"/>
      <c r="G827" s="14" t="n"/>
      <c r="H827" s="9" t="n"/>
      <c r="I827" s="12" t="str">
        <f>IF(G827="","",IF(H827="לא",0,ROUND(G827*TaxRate/(1+TaxRate),2)))</f>
        <v/>
      </c>
      <c r="J827" s="12" t="str">
        <f>IF(G827="","",G827-I827)</f>
        <v/>
      </c>
      <c r="K827" s="13" t="str">
        <f>IF(A827="","",YEAR(A827))</f>
        <v/>
      </c>
    </row>
    <row r="828">
      <c r="A828" s="8" t="n"/>
      <c r="B828" s="9" t="n"/>
      <c r="C828" s="10" t="n"/>
      <c r="D828" s="10" t="n"/>
      <c r="E828" s="10" t="n"/>
      <c r="F828" s="10" t="n"/>
      <c r="G828" s="14" t="n"/>
      <c r="H828" s="9" t="n"/>
      <c r="I828" s="12" t="str">
        <f>IF(G828="","",IF(H828="לא",0,ROUND(G828*TaxRate/(1+TaxRate),2)))</f>
        <v/>
      </c>
      <c r="J828" s="12" t="str">
        <f>IF(G828="","",G828-I828)</f>
        <v/>
      </c>
      <c r="K828" s="13" t="str">
        <f>IF(A828="","",YEAR(A828))</f>
        <v/>
      </c>
    </row>
    <row r="829">
      <c r="A829" s="8" t="n"/>
      <c r="B829" s="9" t="n"/>
      <c r="C829" s="10" t="n"/>
      <c r="D829" s="10" t="n"/>
      <c r="E829" s="10" t="n"/>
      <c r="F829" s="10" t="n"/>
      <c r="G829" s="14" t="n"/>
      <c r="H829" s="9" t="n"/>
      <c r="I829" s="12" t="str">
        <f>IF(G829="","",IF(H829="לא",0,ROUND(G829*TaxRate/(1+TaxRate),2)))</f>
        <v/>
      </c>
      <c r="J829" s="12" t="str">
        <f>IF(G829="","",G829-I829)</f>
        <v/>
      </c>
      <c r="K829" s="13" t="str">
        <f>IF(A829="","",YEAR(A829))</f>
        <v/>
      </c>
    </row>
    <row r="830">
      <c r="A830" s="8" t="n"/>
      <c r="B830" s="9" t="n"/>
      <c r="C830" s="10" t="n"/>
      <c r="D830" s="10" t="n"/>
      <c r="E830" s="10" t="n"/>
      <c r="F830" s="10" t="n"/>
      <c r="G830" s="14" t="n"/>
      <c r="H830" s="9" t="n"/>
      <c r="I830" s="12" t="str">
        <f>IF(G830="","",IF(H830="לא",0,ROUND(G830*TaxRate/(1+TaxRate),2)))</f>
        <v/>
      </c>
      <c r="J830" s="12" t="str">
        <f>IF(G830="","",G830-I830)</f>
        <v/>
      </c>
      <c r="K830" s="13" t="str">
        <f>IF(A830="","",YEAR(A830))</f>
        <v/>
      </c>
    </row>
    <row r="831">
      <c r="A831" s="8" t="n"/>
      <c r="B831" s="9" t="n"/>
      <c r="C831" s="10" t="n"/>
      <c r="D831" s="10" t="n"/>
      <c r="E831" s="10" t="n"/>
      <c r="F831" s="10" t="n"/>
      <c r="G831" s="14" t="n"/>
      <c r="H831" s="9" t="n"/>
      <c r="I831" s="12" t="str">
        <f>IF(G831="","",IF(H831="לא",0,ROUND(G831*TaxRate/(1+TaxRate),2)))</f>
        <v/>
      </c>
      <c r="J831" s="12" t="str">
        <f>IF(G831="","",G831-I831)</f>
        <v/>
      </c>
      <c r="K831" s="13" t="str">
        <f>IF(A831="","",YEAR(A831))</f>
        <v/>
      </c>
    </row>
    <row r="832">
      <c r="A832" s="8" t="n"/>
      <c r="B832" s="9" t="n"/>
      <c r="C832" s="10" t="n"/>
      <c r="D832" s="10" t="n"/>
      <c r="E832" s="10" t="n"/>
      <c r="F832" s="10" t="n"/>
      <c r="G832" s="14" t="n"/>
      <c r="H832" s="9" t="n"/>
      <c r="I832" s="12" t="str">
        <f>IF(G832="","",IF(H832="לא",0,ROUND(G832*TaxRate/(1+TaxRate),2)))</f>
        <v/>
      </c>
      <c r="J832" s="12" t="str">
        <f>IF(G832="","",G832-I832)</f>
        <v/>
      </c>
      <c r="K832" s="13" t="str">
        <f>IF(A832="","",YEAR(A832))</f>
        <v/>
      </c>
    </row>
    <row r="833">
      <c r="A833" s="8" t="n"/>
      <c r="B833" s="9" t="n"/>
      <c r="C833" s="10" t="n"/>
      <c r="D833" s="10" t="n"/>
      <c r="E833" s="10" t="n"/>
      <c r="F833" s="10" t="n"/>
      <c r="G833" s="14" t="n"/>
      <c r="H833" s="9" t="n"/>
      <c r="I833" s="12" t="str">
        <f>IF(G833="","",IF(H833="לא",0,ROUND(G833*TaxRate/(1+TaxRate),2)))</f>
        <v/>
      </c>
      <c r="J833" s="12" t="str">
        <f>IF(G833="","",G833-I833)</f>
        <v/>
      </c>
      <c r="K833" s="13" t="str">
        <f>IF(A833="","",YEAR(A833))</f>
        <v/>
      </c>
    </row>
    <row r="834">
      <c r="A834" s="8" t="n"/>
      <c r="B834" s="9" t="n"/>
      <c r="C834" s="10" t="n"/>
      <c r="D834" s="10" t="n"/>
      <c r="E834" s="10" t="n"/>
      <c r="F834" s="10" t="n"/>
      <c r="G834" s="14" t="n"/>
      <c r="H834" s="9" t="n"/>
      <c r="I834" s="12" t="str">
        <f>IF(G834="","",IF(H834="לא",0,ROUND(G834*TaxRate/(1+TaxRate),2)))</f>
        <v/>
      </c>
      <c r="J834" s="12" t="str">
        <f>IF(G834="","",G834-I834)</f>
        <v/>
      </c>
      <c r="K834" s="13" t="str">
        <f>IF(A834="","",YEAR(A834))</f>
        <v/>
      </c>
    </row>
    <row r="835">
      <c r="A835" s="8" t="n"/>
      <c r="B835" s="9" t="n"/>
      <c r="C835" s="10" t="n"/>
      <c r="D835" s="10" t="n"/>
      <c r="E835" s="10" t="n"/>
      <c r="F835" s="10" t="n"/>
      <c r="G835" s="14" t="n"/>
      <c r="H835" s="9" t="n"/>
      <c r="I835" s="12" t="str">
        <f>IF(G835="","",IF(H835="לא",0,ROUND(G835*TaxRate/(1+TaxRate),2)))</f>
        <v/>
      </c>
      <c r="J835" s="12" t="str">
        <f>IF(G835="","",G835-I835)</f>
        <v/>
      </c>
      <c r="K835" s="13" t="str">
        <f>IF(A835="","",YEAR(A835))</f>
        <v/>
      </c>
    </row>
    <row r="836">
      <c r="A836" s="8" t="n"/>
      <c r="B836" s="9" t="n"/>
      <c r="C836" s="10" t="n"/>
      <c r="D836" s="10" t="n"/>
      <c r="E836" s="10" t="n"/>
      <c r="F836" s="10" t="n"/>
      <c r="G836" s="14" t="n"/>
      <c r="H836" s="9" t="n"/>
      <c r="I836" s="12" t="str">
        <f>IF(G836="","",IF(H836="לא",0,ROUND(G836*TaxRate/(1+TaxRate),2)))</f>
        <v/>
      </c>
      <c r="J836" s="12" t="str">
        <f>IF(G836="","",G836-I836)</f>
        <v/>
      </c>
      <c r="K836" s="13" t="str">
        <f>IF(A836="","",YEAR(A836))</f>
        <v/>
      </c>
    </row>
    <row r="837">
      <c r="A837" s="8" t="n"/>
      <c r="B837" s="9" t="n"/>
      <c r="C837" s="10" t="n"/>
      <c r="D837" s="10" t="n"/>
      <c r="E837" s="10" t="n"/>
      <c r="F837" s="10" t="n"/>
      <c r="G837" s="14" t="n"/>
      <c r="H837" s="9" t="n"/>
      <c r="I837" s="12" t="str">
        <f>IF(G837="","",IF(H837="לא",0,ROUND(G837*TaxRate/(1+TaxRate),2)))</f>
        <v/>
      </c>
      <c r="J837" s="12" t="str">
        <f>IF(G837="","",G837-I837)</f>
        <v/>
      </c>
      <c r="K837" s="13" t="str">
        <f>IF(A837="","",YEAR(A837))</f>
        <v/>
      </c>
    </row>
    <row r="838">
      <c r="A838" s="8" t="n"/>
      <c r="B838" s="9" t="n"/>
      <c r="C838" s="10" t="n"/>
      <c r="D838" s="10" t="n"/>
      <c r="E838" s="10" t="n"/>
      <c r="F838" s="10" t="n"/>
      <c r="G838" s="14" t="n"/>
      <c r="H838" s="9" t="n"/>
      <c r="I838" s="12" t="str">
        <f>IF(G838="","",IF(H838="לא",0,ROUND(G838*TaxRate/(1+TaxRate),2)))</f>
        <v/>
      </c>
      <c r="J838" s="12" t="str">
        <f>IF(G838="","",G838-I838)</f>
        <v/>
      </c>
      <c r="K838" s="13" t="str">
        <f>IF(A838="","",YEAR(A838))</f>
        <v/>
      </c>
    </row>
    <row r="839">
      <c r="A839" s="8" t="n"/>
      <c r="B839" s="9" t="n"/>
      <c r="C839" s="10" t="n"/>
      <c r="D839" s="10" t="n"/>
      <c r="E839" s="10" t="n"/>
      <c r="F839" s="10" t="n"/>
      <c r="G839" s="14" t="n"/>
      <c r="H839" s="9" t="n"/>
      <c r="I839" s="12" t="str">
        <f>IF(G839="","",IF(H839="לא",0,ROUND(G839*TaxRate/(1+TaxRate),2)))</f>
        <v/>
      </c>
      <c r="J839" s="12" t="str">
        <f>IF(G839="","",G839-I839)</f>
        <v/>
      </c>
      <c r="K839" s="13" t="str">
        <f>IF(A839="","",YEAR(A839))</f>
        <v/>
      </c>
    </row>
    <row r="840">
      <c r="A840" s="8" t="n"/>
      <c r="B840" s="9" t="n"/>
      <c r="C840" s="10" t="n"/>
      <c r="D840" s="10" t="n"/>
      <c r="E840" s="10" t="n"/>
      <c r="F840" s="10" t="n"/>
      <c r="G840" s="14" t="n"/>
      <c r="H840" s="9" t="n"/>
      <c r="I840" s="12" t="str">
        <f>IF(G840="","",IF(H840="לא",0,ROUND(G840*TaxRate/(1+TaxRate),2)))</f>
        <v/>
      </c>
      <c r="J840" s="12" t="str">
        <f>IF(G840="","",G840-I840)</f>
        <v/>
      </c>
      <c r="K840" s="13" t="str">
        <f>IF(A840="","",YEAR(A840))</f>
        <v/>
      </c>
    </row>
    <row r="841">
      <c r="A841" s="8" t="n"/>
      <c r="B841" s="9" t="n"/>
      <c r="C841" s="10" t="n"/>
      <c r="D841" s="10" t="n"/>
      <c r="E841" s="10" t="n"/>
      <c r="F841" s="10" t="n"/>
      <c r="G841" s="14" t="n"/>
      <c r="H841" s="9" t="n"/>
      <c r="I841" s="12" t="str">
        <f>IF(G841="","",IF(H841="לא",0,ROUND(G841*TaxRate/(1+TaxRate),2)))</f>
        <v/>
      </c>
      <c r="J841" s="12" t="str">
        <f>IF(G841="","",G841-I841)</f>
        <v/>
      </c>
      <c r="K841" s="13" t="str">
        <f>IF(A841="","",YEAR(A841))</f>
        <v/>
      </c>
    </row>
    <row r="842">
      <c r="A842" s="8" t="n"/>
      <c r="B842" s="9" t="n"/>
      <c r="C842" s="10" t="n"/>
      <c r="D842" s="10" t="n"/>
      <c r="E842" s="10" t="n"/>
      <c r="F842" s="10" t="n"/>
      <c r="G842" s="14" t="n"/>
      <c r="H842" s="9" t="n"/>
      <c r="I842" s="12" t="str">
        <f>IF(G842="","",IF(H842="לא",0,ROUND(G842*TaxRate/(1+TaxRate),2)))</f>
        <v/>
      </c>
      <c r="J842" s="12" t="str">
        <f>IF(G842="","",G842-I842)</f>
        <v/>
      </c>
      <c r="K842" s="13" t="str">
        <f>IF(A842="","",YEAR(A842))</f>
        <v/>
      </c>
    </row>
    <row r="843">
      <c r="A843" s="8" t="n"/>
      <c r="B843" s="9" t="n"/>
      <c r="C843" s="10" t="n"/>
      <c r="D843" s="10" t="n"/>
      <c r="E843" s="10" t="n"/>
      <c r="F843" s="10" t="n"/>
      <c r="G843" s="14" t="n"/>
      <c r="H843" s="9" t="n"/>
      <c r="I843" s="12" t="str">
        <f>IF(G843="","",IF(H843="לא",0,ROUND(G843*TaxRate/(1+TaxRate),2)))</f>
        <v/>
      </c>
      <c r="J843" s="12" t="str">
        <f>IF(G843="","",G843-I843)</f>
        <v/>
      </c>
      <c r="K843" s="13" t="str">
        <f>IF(A843="","",YEAR(A843))</f>
        <v/>
      </c>
    </row>
    <row r="844">
      <c r="A844" s="8" t="n"/>
      <c r="B844" s="9" t="n"/>
      <c r="C844" s="10" t="n"/>
      <c r="D844" s="10" t="n"/>
      <c r="E844" s="10" t="n"/>
      <c r="F844" s="10" t="n"/>
      <c r="G844" s="14" t="n"/>
      <c r="H844" s="9" t="n"/>
      <c r="I844" s="12" t="str">
        <f>IF(G844="","",IF(H844="לא",0,ROUND(G844*TaxRate/(1+TaxRate),2)))</f>
        <v/>
      </c>
      <c r="J844" s="12" t="str">
        <f>IF(G844="","",G844-I844)</f>
        <v/>
      </c>
      <c r="K844" s="13" t="str">
        <f>IF(A844="","",YEAR(A844))</f>
        <v/>
      </c>
    </row>
    <row r="845">
      <c r="A845" s="8" t="n"/>
      <c r="B845" s="9" t="n"/>
      <c r="C845" s="10" t="n"/>
      <c r="D845" s="10" t="n"/>
      <c r="E845" s="10" t="n"/>
      <c r="F845" s="10" t="n"/>
      <c r="G845" s="14" t="n"/>
      <c r="H845" s="9" t="n"/>
      <c r="I845" s="12" t="str">
        <f>IF(G845="","",IF(H845="לא",0,ROUND(G845*TaxRate/(1+TaxRate),2)))</f>
        <v/>
      </c>
      <c r="J845" s="12" t="str">
        <f>IF(G845="","",G845-I845)</f>
        <v/>
      </c>
      <c r="K845" s="13" t="str">
        <f>IF(A845="","",YEAR(A845))</f>
        <v/>
      </c>
    </row>
    <row r="846">
      <c r="A846" s="8" t="n"/>
      <c r="B846" s="9" t="n"/>
      <c r="C846" s="10" t="n"/>
      <c r="D846" s="10" t="n"/>
      <c r="E846" s="10" t="n"/>
      <c r="F846" s="10" t="n"/>
      <c r="G846" s="14" t="n"/>
      <c r="H846" s="9" t="n"/>
      <c r="I846" s="12" t="str">
        <f>IF(G846="","",IF(H846="לא",0,ROUND(G846*TaxRate/(1+TaxRate),2)))</f>
        <v/>
      </c>
      <c r="J846" s="12" t="str">
        <f>IF(G846="","",G846-I846)</f>
        <v/>
      </c>
      <c r="K846" s="13" t="str">
        <f>IF(A846="","",YEAR(A846))</f>
        <v/>
      </c>
    </row>
    <row r="847">
      <c r="A847" s="8" t="n"/>
      <c r="B847" s="9" t="n"/>
      <c r="C847" s="10" t="n"/>
      <c r="D847" s="10" t="n"/>
      <c r="E847" s="10" t="n"/>
      <c r="F847" s="10" t="n"/>
      <c r="G847" s="14" t="n"/>
      <c r="H847" s="9" t="n"/>
      <c r="I847" s="12" t="str">
        <f>IF(G847="","",IF(H847="לא",0,ROUND(G847*TaxRate/(1+TaxRate),2)))</f>
        <v/>
      </c>
      <c r="J847" s="12" t="str">
        <f>IF(G847="","",G847-I847)</f>
        <v/>
      </c>
      <c r="K847" s="13" t="str">
        <f>IF(A847="","",YEAR(A847))</f>
        <v/>
      </c>
    </row>
    <row r="848">
      <c r="A848" s="8" t="n"/>
      <c r="B848" s="9" t="n"/>
      <c r="C848" s="10" t="n"/>
      <c r="D848" s="10" t="n"/>
      <c r="E848" s="10" t="n"/>
      <c r="F848" s="10" t="n"/>
      <c r="G848" s="14" t="n"/>
      <c r="H848" s="9" t="n"/>
      <c r="I848" s="12" t="str">
        <f>IF(G848="","",IF(H848="לא",0,ROUND(G848*TaxRate/(1+TaxRate),2)))</f>
        <v/>
      </c>
      <c r="J848" s="12" t="str">
        <f>IF(G848="","",G848-I848)</f>
        <v/>
      </c>
      <c r="K848" s="13" t="str">
        <f>IF(A848="","",YEAR(A848))</f>
        <v/>
      </c>
    </row>
    <row r="849">
      <c r="A849" s="8" t="n"/>
      <c r="B849" s="9" t="n"/>
      <c r="C849" s="10" t="n"/>
      <c r="D849" s="10" t="n"/>
      <c r="E849" s="10" t="n"/>
      <c r="F849" s="10" t="n"/>
      <c r="G849" s="14" t="n"/>
      <c r="H849" s="9" t="n"/>
      <c r="I849" s="12" t="str">
        <f>IF(G849="","",IF(H849="לא",0,ROUND(G849*TaxRate/(1+TaxRate),2)))</f>
        <v/>
      </c>
      <c r="J849" s="12" t="str">
        <f>IF(G849="","",G849-I849)</f>
        <v/>
      </c>
      <c r="K849" s="13" t="str">
        <f>IF(A849="","",YEAR(A849))</f>
        <v/>
      </c>
    </row>
    <row r="850">
      <c r="A850" s="8" t="n"/>
      <c r="B850" s="9" t="n"/>
      <c r="C850" s="10" t="n"/>
      <c r="D850" s="10" t="n"/>
      <c r="E850" s="10" t="n"/>
      <c r="F850" s="10" t="n"/>
      <c r="G850" s="14" t="n"/>
      <c r="H850" s="9" t="n"/>
      <c r="I850" s="12" t="str">
        <f>IF(G850="","",IF(H850="לא",0,ROUND(G850*TaxRate/(1+TaxRate),2)))</f>
        <v/>
      </c>
      <c r="J850" s="12" t="str">
        <f>IF(G850="","",G850-I850)</f>
        <v/>
      </c>
      <c r="K850" s="13" t="str">
        <f>IF(A850="","",YEAR(A850))</f>
        <v/>
      </c>
    </row>
    <row r="851">
      <c r="A851" s="8" t="n"/>
      <c r="B851" s="9" t="n"/>
      <c r="C851" s="10" t="n"/>
      <c r="D851" s="10" t="n"/>
      <c r="E851" s="10" t="n"/>
      <c r="F851" s="10" t="n"/>
      <c r="G851" s="14" t="n"/>
      <c r="H851" s="9" t="n"/>
      <c r="I851" s="12" t="str">
        <f>IF(G851="","",IF(H851="לא",0,ROUND(G851*TaxRate/(1+TaxRate),2)))</f>
        <v/>
      </c>
      <c r="J851" s="12" t="str">
        <f>IF(G851="","",G851-I851)</f>
        <v/>
      </c>
      <c r="K851" s="13" t="str">
        <f>IF(A851="","",YEAR(A851))</f>
        <v/>
      </c>
    </row>
    <row r="852">
      <c r="A852" s="8" t="n"/>
      <c r="B852" s="9" t="n"/>
      <c r="C852" s="10" t="n"/>
      <c r="D852" s="10" t="n"/>
      <c r="E852" s="10" t="n"/>
      <c r="F852" s="10" t="n"/>
      <c r="G852" s="14" t="n"/>
      <c r="H852" s="9" t="n"/>
      <c r="I852" s="12" t="str">
        <f>IF(G852="","",IF(H852="לא",0,ROUND(G852*TaxRate/(1+TaxRate),2)))</f>
        <v/>
      </c>
      <c r="J852" s="12" t="str">
        <f>IF(G852="","",G852-I852)</f>
        <v/>
      </c>
      <c r="K852" s="13" t="str">
        <f>IF(A852="","",YEAR(A852))</f>
        <v/>
      </c>
    </row>
    <row r="853">
      <c r="A853" s="8" t="n"/>
      <c r="B853" s="9" t="n"/>
      <c r="C853" s="10" t="n"/>
      <c r="D853" s="10" t="n"/>
      <c r="E853" s="10" t="n"/>
      <c r="F853" s="10" t="n"/>
      <c r="G853" s="14" t="n"/>
      <c r="H853" s="9" t="n"/>
      <c r="I853" s="12" t="str">
        <f>IF(G853="","",IF(H853="לא",0,ROUND(G853*TaxRate/(1+TaxRate),2)))</f>
        <v/>
      </c>
      <c r="J853" s="12" t="str">
        <f>IF(G853="","",G853-I853)</f>
        <v/>
      </c>
      <c r="K853" s="13" t="str">
        <f>IF(A853="","",YEAR(A853))</f>
        <v/>
      </c>
    </row>
    <row r="854">
      <c r="A854" s="8" t="n"/>
      <c r="B854" s="9" t="n"/>
      <c r="C854" s="10" t="n"/>
      <c r="D854" s="10" t="n"/>
      <c r="E854" s="10" t="n"/>
      <c r="F854" s="10" t="n"/>
      <c r="G854" s="14" t="n"/>
      <c r="H854" s="9" t="n"/>
      <c r="I854" s="12" t="str">
        <f>IF(G854="","",IF(H854="לא",0,ROUND(G854*TaxRate/(1+TaxRate),2)))</f>
        <v/>
      </c>
      <c r="J854" s="12" t="str">
        <f>IF(G854="","",G854-I854)</f>
        <v/>
      </c>
      <c r="K854" s="13" t="str">
        <f>IF(A854="","",YEAR(A854))</f>
        <v/>
      </c>
    </row>
    <row r="855">
      <c r="A855" s="8" t="n"/>
      <c r="B855" s="9" t="n"/>
      <c r="C855" s="10" t="n"/>
      <c r="D855" s="10" t="n"/>
      <c r="E855" s="10" t="n"/>
      <c r="F855" s="10" t="n"/>
      <c r="G855" s="14" t="n"/>
      <c r="H855" s="9" t="n"/>
      <c r="I855" s="12" t="str">
        <f>IF(G855="","",IF(H855="לא",0,ROUND(G855*TaxRate/(1+TaxRate),2)))</f>
        <v/>
      </c>
      <c r="J855" s="12" t="str">
        <f>IF(G855="","",G855-I855)</f>
        <v/>
      </c>
      <c r="K855" s="13" t="str">
        <f>IF(A855="","",YEAR(A855))</f>
        <v/>
      </c>
    </row>
    <row r="856">
      <c r="A856" s="8" t="n"/>
      <c r="B856" s="9" t="n"/>
      <c r="C856" s="10" t="n"/>
      <c r="D856" s="10" t="n"/>
      <c r="E856" s="10" t="n"/>
      <c r="F856" s="10" t="n"/>
      <c r="G856" s="14" t="n"/>
      <c r="H856" s="9" t="n"/>
      <c r="I856" s="12" t="str">
        <f>IF(G856="","",IF(H856="לא",0,ROUND(G856*TaxRate/(1+TaxRate),2)))</f>
        <v/>
      </c>
      <c r="J856" s="12" t="str">
        <f>IF(G856="","",G856-I856)</f>
        <v/>
      </c>
      <c r="K856" s="13" t="str">
        <f>IF(A856="","",YEAR(A856))</f>
        <v/>
      </c>
    </row>
    <row r="857">
      <c r="A857" s="8" t="n"/>
      <c r="B857" s="9" t="n"/>
      <c r="C857" s="10" t="n"/>
      <c r="D857" s="10" t="n"/>
      <c r="E857" s="10" t="n"/>
      <c r="F857" s="10" t="n"/>
      <c r="G857" s="14" t="n"/>
      <c r="H857" s="9" t="n"/>
      <c r="I857" s="12" t="str">
        <f>IF(G857="","",IF(H857="לא",0,ROUND(G857*TaxRate/(1+TaxRate),2)))</f>
        <v/>
      </c>
      <c r="J857" s="12" t="str">
        <f>IF(G857="","",G857-I857)</f>
        <v/>
      </c>
      <c r="K857" s="13" t="str">
        <f>IF(A857="","",YEAR(A857))</f>
        <v/>
      </c>
    </row>
    <row r="858">
      <c r="A858" s="8" t="n"/>
      <c r="B858" s="9" t="n"/>
      <c r="C858" s="10" t="n"/>
      <c r="D858" s="10" t="n"/>
      <c r="E858" s="10" t="n"/>
      <c r="F858" s="10" t="n"/>
      <c r="G858" s="14" t="n"/>
      <c r="H858" s="9" t="n"/>
      <c r="I858" s="12" t="str">
        <f>IF(G858="","",IF(H858="לא",0,ROUND(G858*TaxRate/(1+TaxRate),2)))</f>
        <v/>
      </c>
      <c r="J858" s="12" t="str">
        <f>IF(G858="","",G858-I858)</f>
        <v/>
      </c>
      <c r="K858" s="13" t="str">
        <f>IF(A858="","",YEAR(A858))</f>
        <v/>
      </c>
    </row>
    <row r="859">
      <c r="A859" s="8" t="n"/>
      <c r="B859" s="9" t="n"/>
      <c r="C859" s="10" t="n"/>
      <c r="D859" s="10" t="n"/>
      <c r="E859" s="10" t="n"/>
      <c r="F859" s="10" t="n"/>
      <c r="G859" s="14" t="n"/>
      <c r="H859" s="9" t="n"/>
      <c r="I859" s="12" t="str">
        <f>IF(G859="","",IF(H859="לא",0,ROUND(G859*TaxRate/(1+TaxRate),2)))</f>
        <v/>
      </c>
      <c r="J859" s="12" t="str">
        <f>IF(G859="","",G859-I859)</f>
        <v/>
      </c>
      <c r="K859" s="13" t="str">
        <f>IF(A859="","",YEAR(A859))</f>
        <v/>
      </c>
    </row>
    <row r="860">
      <c r="A860" s="8" t="n"/>
      <c r="B860" s="9" t="n"/>
      <c r="C860" s="10" t="n"/>
      <c r="D860" s="10" t="n"/>
      <c r="E860" s="10" t="n"/>
      <c r="F860" s="10" t="n"/>
      <c r="G860" s="14" t="n"/>
      <c r="H860" s="9" t="n"/>
      <c r="I860" s="12" t="str">
        <f>IF(G860="","",IF(H860="לא",0,ROUND(G860*TaxRate/(1+TaxRate),2)))</f>
        <v/>
      </c>
      <c r="J860" s="12" t="str">
        <f>IF(G860="","",G860-I860)</f>
        <v/>
      </c>
      <c r="K860" s="13" t="str">
        <f>IF(A860="","",YEAR(A860))</f>
        <v/>
      </c>
    </row>
    <row r="861">
      <c r="A861" s="8" t="n"/>
      <c r="B861" s="9" t="n"/>
      <c r="C861" s="10" t="n"/>
      <c r="D861" s="10" t="n"/>
      <c r="E861" s="10" t="n"/>
      <c r="F861" s="10" t="n"/>
      <c r="G861" s="14" t="n"/>
      <c r="H861" s="9" t="n"/>
      <c r="I861" s="12" t="str">
        <f>IF(G861="","",IF(H861="לא",0,ROUND(G861*TaxRate/(1+TaxRate),2)))</f>
        <v/>
      </c>
      <c r="J861" s="12" t="str">
        <f>IF(G861="","",G861-I861)</f>
        <v/>
      </c>
      <c r="K861" s="13" t="str">
        <f>IF(A861="","",YEAR(A861))</f>
        <v/>
      </c>
    </row>
    <row r="862">
      <c r="A862" s="8" t="n"/>
      <c r="B862" s="9" t="n"/>
      <c r="C862" s="10" t="n"/>
      <c r="D862" s="10" t="n"/>
      <c r="E862" s="10" t="n"/>
      <c r="F862" s="10" t="n"/>
      <c r="G862" s="14" t="n"/>
      <c r="H862" s="9" t="n"/>
      <c r="I862" s="12" t="str">
        <f>IF(G862="","",IF(H862="לא",0,ROUND(G862*TaxRate/(1+TaxRate),2)))</f>
        <v/>
      </c>
      <c r="J862" s="12" t="str">
        <f>IF(G862="","",G862-I862)</f>
        <v/>
      </c>
      <c r="K862" s="13" t="str">
        <f>IF(A862="","",YEAR(A862))</f>
        <v/>
      </c>
    </row>
    <row r="863">
      <c r="A863" s="8" t="n"/>
      <c r="B863" s="9" t="n"/>
      <c r="C863" s="10" t="n"/>
      <c r="D863" s="10" t="n"/>
      <c r="E863" s="10" t="n"/>
      <c r="F863" s="10" t="n"/>
      <c r="G863" s="14" t="n"/>
      <c r="H863" s="9" t="n"/>
      <c r="I863" s="12" t="str">
        <f>IF(G863="","",IF(H863="לא",0,ROUND(G863*TaxRate/(1+TaxRate),2)))</f>
        <v/>
      </c>
      <c r="J863" s="12" t="str">
        <f>IF(G863="","",G863-I863)</f>
        <v/>
      </c>
      <c r="K863" s="13" t="str">
        <f>IF(A863="","",YEAR(A863))</f>
        <v/>
      </c>
    </row>
    <row r="864">
      <c r="A864" s="8" t="n"/>
      <c r="B864" s="9" t="n"/>
      <c r="C864" s="10" t="n"/>
      <c r="D864" s="10" t="n"/>
      <c r="E864" s="10" t="n"/>
      <c r="F864" s="10" t="n"/>
      <c r="G864" s="14" t="n"/>
      <c r="H864" s="9" t="n"/>
      <c r="I864" s="12" t="str">
        <f>IF(G864="","",IF(H864="לא",0,ROUND(G864*TaxRate/(1+TaxRate),2)))</f>
        <v/>
      </c>
      <c r="J864" s="12" t="str">
        <f>IF(G864="","",G864-I864)</f>
        <v/>
      </c>
      <c r="K864" s="13" t="str">
        <f>IF(A864="","",YEAR(A864))</f>
        <v/>
      </c>
    </row>
    <row r="865">
      <c r="A865" s="8" t="n"/>
      <c r="B865" s="9" t="n"/>
      <c r="C865" s="10" t="n"/>
      <c r="D865" s="10" t="n"/>
      <c r="E865" s="10" t="n"/>
      <c r="F865" s="10" t="n"/>
      <c r="G865" s="14" t="n"/>
      <c r="H865" s="9" t="n"/>
      <c r="I865" s="12" t="str">
        <f>IF(G865="","",IF(H865="לא",0,ROUND(G865*TaxRate/(1+TaxRate),2)))</f>
        <v/>
      </c>
      <c r="J865" s="12" t="str">
        <f>IF(G865="","",G865-I865)</f>
        <v/>
      </c>
      <c r="K865" s="13" t="str">
        <f>IF(A865="","",YEAR(A865))</f>
        <v/>
      </c>
    </row>
    <row r="866">
      <c r="A866" s="8" t="n"/>
      <c r="B866" s="9" t="n"/>
      <c r="C866" s="10" t="n"/>
      <c r="D866" s="10" t="n"/>
      <c r="E866" s="10" t="n"/>
      <c r="F866" s="10" t="n"/>
      <c r="G866" s="14" t="n"/>
      <c r="H866" s="9" t="n"/>
      <c r="I866" s="12" t="str">
        <f>IF(G866="","",IF(H866="לא",0,ROUND(G866*TaxRate/(1+TaxRate),2)))</f>
        <v/>
      </c>
      <c r="J866" s="12" t="str">
        <f>IF(G866="","",G866-I866)</f>
        <v/>
      </c>
      <c r="K866" s="13" t="str">
        <f>IF(A866="","",YEAR(A866))</f>
        <v/>
      </c>
    </row>
    <row r="867">
      <c r="A867" s="8" t="n"/>
      <c r="B867" s="9" t="n"/>
      <c r="C867" s="10" t="n"/>
      <c r="D867" s="10" t="n"/>
      <c r="E867" s="10" t="n"/>
      <c r="F867" s="10" t="n"/>
      <c r="G867" s="14" t="n"/>
      <c r="H867" s="9" t="n"/>
      <c r="I867" s="12" t="str">
        <f>IF(G867="","",IF(H867="לא",0,ROUND(G867*TaxRate/(1+TaxRate),2)))</f>
        <v/>
      </c>
      <c r="J867" s="12" t="str">
        <f>IF(G867="","",G867-I867)</f>
        <v/>
      </c>
      <c r="K867" s="13" t="str">
        <f>IF(A867="","",YEAR(A867))</f>
        <v/>
      </c>
    </row>
    <row r="868">
      <c r="A868" s="8" t="n"/>
      <c r="B868" s="9" t="n"/>
      <c r="C868" s="10" t="n"/>
      <c r="D868" s="10" t="n"/>
      <c r="E868" s="10" t="n"/>
      <c r="F868" s="10" t="n"/>
      <c r="G868" s="14" t="n"/>
      <c r="H868" s="9" t="n"/>
      <c r="I868" s="12" t="str">
        <f>IF(G868="","",IF(H868="לא",0,ROUND(G868*TaxRate/(1+TaxRate),2)))</f>
        <v/>
      </c>
      <c r="J868" s="12" t="str">
        <f>IF(G868="","",G868-I868)</f>
        <v/>
      </c>
      <c r="K868" s="13" t="str">
        <f>IF(A868="","",YEAR(A868))</f>
        <v/>
      </c>
    </row>
    <row r="869">
      <c r="A869" s="8" t="n"/>
      <c r="B869" s="9" t="n"/>
      <c r="C869" s="10" t="n"/>
      <c r="D869" s="10" t="n"/>
      <c r="E869" s="10" t="n"/>
      <c r="F869" s="10" t="n"/>
      <c r="G869" s="14" t="n"/>
      <c r="H869" s="9" t="n"/>
      <c r="I869" s="12" t="str">
        <f>IF(G869="","",IF(H869="לא",0,ROUND(G869*TaxRate/(1+TaxRate),2)))</f>
        <v/>
      </c>
      <c r="J869" s="12" t="str">
        <f>IF(G869="","",G869-I869)</f>
        <v/>
      </c>
      <c r="K869" s="13" t="str">
        <f>IF(A869="","",YEAR(A869))</f>
        <v/>
      </c>
    </row>
    <row r="870">
      <c r="A870" s="8" t="n"/>
      <c r="B870" s="9" t="n"/>
      <c r="C870" s="10" t="n"/>
      <c r="D870" s="10" t="n"/>
      <c r="E870" s="10" t="n"/>
      <c r="F870" s="10" t="n"/>
      <c r="G870" s="14" t="n"/>
      <c r="H870" s="9" t="n"/>
      <c r="I870" s="12" t="str">
        <f>IF(G870="","",IF(H870="לא",0,ROUND(G870*TaxRate/(1+TaxRate),2)))</f>
        <v/>
      </c>
      <c r="J870" s="12" t="str">
        <f>IF(G870="","",G870-I870)</f>
        <v/>
      </c>
      <c r="K870" s="13" t="str">
        <f>IF(A870="","",YEAR(A870))</f>
        <v/>
      </c>
    </row>
    <row r="871">
      <c r="A871" s="8" t="n"/>
      <c r="B871" s="9" t="n"/>
      <c r="C871" s="10" t="n"/>
      <c r="D871" s="10" t="n"/>
      <c r="E871" s="10" t="n"/>
      <c r="F871" s="10" t="n"/>
      <c r="G871" s="14" t="n"/>
      <c r="H871" s="9" t="n"/>
      <c r="I871" s="12" t="str">
        <f>IF(G871="","",IF(H871="לא",0,ROUND(G871*TaxRate/(1+TaxRate),2)))</f>
        <v/>
      </c>
      <c r="J871" s="12" t="str">
        <f>IF(G871="","",G871-I871)</f>
        <v/>
      </c>
      <c r="K871" s="13" t="str">
        <f>IF(A871="","",YEAR(A871))</f>
        <v/>
      </c>
    </row>
    <row r="872">
      <c r="A872" s="8" t="n"/>
      <c r="B872" s="9" t="n"/>
      <c r="C872" s="10" t="n"/>
      <c r="D872" s="10" t="n"/>
      <c r="E872" s="10" t="n"/>
      <c r="F872" s="10" t="n"/>
      <c r="G872" s="14" t="n"/>
      <c r="H872" s="9" t="n"/>
      <c r="I872" s="12" t="str">
        <f>IF(G872="","",IF(H872="לא",0,ROUND(G872*TaxRate/(1+TaxRate),2)))</f>
        <v/>
      </c>
      <c r="J872" s="12" t="str">
        <f>IF(G872="","",G872-I872)</f>
        <v/>
      </c>
      <c r="K872" s="13" t="str">
        <f>IF(A872="","",YEAR(A872))</f>
        <v/>
      </c>
    </row>
    <row r="873">
      <c r="A873" s="8" t="n"/>
      <c r="B873" s="9" t="n"/>
      <c r="C873" s="10" t="n"/>
      <c r="D873" s="10" t="n"/>
      <c r="E873" s="10" t="n"/>
      <c r="F873" s="10" t="n"/>
      <c r="G873" s="14" t="n"/>
      <c r="H873" s="9" t="n"/>
      <c r="I873" s="12" t="str">
        <f>IF(G873="","",IF(H873="לא",0,ROUND(G873*TaxRate/(1+TaxRate),2)))</f>
        <v/>
      </c>
      <c r="J873" s="12" t="str">
        <f>IF(G873="","",G873-I873)</f>
        <v/>
      </c>
      <c r="K873" s="13" t="str">
        <f>IF(A873="","",YEAR(A873))</f>
        <v/>
      </c>
    </row>
    <row r="874">
      <c r="A874" s="8" t="n"/>
      <c r="B874" s="9" t="n"/>
      <c r="C874" s="10" t="n"/>
      <c r="D874" s="10" t="n"/>
      <c r="E874" s="10" t="n"/>
      <c r="F874" s="10" t="n"/>
      <c r="G874" s="14" t="n"/>
      <c r="H874" s="9" t="n"/>
      <c r="I874" s="12" t="str">
        <f>IF(G874="","",IF(H874="לא",0,ROUND(G874*TaxRate/(1+TaxRate),2)))</f>
        <v/>
      </c>
      <c r="J874" s="12" t="str">
        <f>IF(G874="","",G874-I874)</f>
        <v/>
      </c>
      <c r="K874" s="13" t="str">
        <f>IF(A874="","",YEAR(A874))</f>
        <v/>
      </c>
    </row>
    <row r="875">
      <c r="A875" s="8" t="n"/>
      <c r="B875" s="9" t="n"/>
      <c r="C875" s="10" t="n"/>
      <c r="D875" s="10" t="n"/>
      <c r="E875" s="10" t="n"/>
      <c r="F875" s="10" t="n"/>
      <c r="G875" s="14" t="n"/>
      <c r="H875" s="9" t="n"/>
      <c r="I875" s="12" t="str">
        <f>IF(G875="","",IF(H875="לא",0,ROUND(G875*TaxRate/(1+TaxRate),2)))</f>
        <v/>
      </c>
      <c r="J875" s="12" t="str">
        <f>IF(G875="","",G875-I875)</f>
        <v/>
      </c>
      <c r="K875" s="13" t="str">
        <f>IF(A875="","",YEAR(A875))</f>
        <v/>
      </c>
    </row>
    <row r="876">
      <c r="A876" s="8" t="n"/>
      <c r="B876" s="9" t="n"/>
      <c r="C876" s="10" t="n"/>
      <c r="D876" s="10" t="n"/>
      <c r="E876" s="10" t="n"/>
      <c r="F876" s="10" t="n"/>
      <c r="G876" s="14" t="n"/>
      <c r="H876" s="9" t="n"/>
      <c r="I876" s="12" t="str">
        <f>IF(G876="","",IF(H876="לא",0,ROUND(G876*TaxRate/(1+TaxRate),2)))</f>
        <v/>
      </c>
      <c r="J876" s="12" t="str">
        <f>IF(G876="","",G876-I876)</f>
        <v/>
      </c>
      <c r="K876" s="13" t="str">
        <f>IF(A876="","",YEAR(A876))</f>
        <v/>
      </c>
    </row>
    <row r="877">
      <c r="A877" s="8" t="n"/>
      <c r="B877" s="9" t="n"/>
      <c r="C877" s="10" t="n"/>
      <c r="D877" s="10" t="n"/>
      <c r="E877" s="10" t="n"/>
      <c r="F877" s="10" t="n"/>
      <c r="G877" s="14" t="n"/>
      <c r="H877" s="9" t="n"/>
      <c r="I877" s="12" t="str">
        <f>IF(G877="","",IF(H877="לא",0,ROUND(G877*TaxRate/(1+TaxRate),2)))</f>
        <v/>
      </c>
      <c r="J877" s="12" t="str">
        <f>IF(G877="","",G877-I877)</f>
        <v/>
      </c>
      <c r="K877" s="13" t="str">
        <f>IF(A877="","",YEAR(A877))</f>
        <v/>
      </c>
    </row>
    <row r="878">
      <c r="A878" s="8" t="n"/>
      <c r="B878" s="9" t="n"/>
      <c r="C878" s="10" t="n"/>
      <c r="D878" s="10" t="n"/>
      <c r="E878" s="10" t="n"/>
      <c r="F878" s="10" t="n"/>
      <c r="G878" s="14" t="n"/>
      <c r="H878" s="9" t="n"/>
      <c r="I878" s="12" t="str">
        <f>IF(G878="","",IF(H878="לא",0,ROUND(G878*TaxRate/(1+TaxRate),2)))</f>
        <v/>
      </c>
      <c r="J878" s="12" t="str">
        <f>IF(G878="","",G878-I878)</f>
        <v/>
      </c>
      <c r="K878" s="13" t="str">
        <f>IF(A878="","",YEAR(A878))</f>
        <v/>
      </c>
    </row>
    <row r="879">
      <c r="A879" s="8" t="n"/>
      <c r="B879" s="9" t="n"/>
      <c r="C879" s="10" t="n"/>
      <c r="D879" s="10" t="n"/>
      <c r="E879" s="10" t="n"/>
      <c r="F879" s="10" t="n"/>
      <c r="G879" s="14" t="n"/>
      <c r="H879" s="9" t="n"/>
      <c r="I879" s="12" t="str">
        <f>IF(G879="","",IF(H879="לא",0,ROUND(G879*TaxRate/(1+TaxRate),2)))</f>
        <v/>
      </c>
      <c r="J879" s="12" t="str">
        <f>IF(G879="","",G879-I879)</f>
        <v/>
      </c>
      <c r="K879" s="13" t="str">
        <f>IF(A879="","",YEAR(A879))</f>
        <v/>
      </c>
    </row>
    <row r="880">
      <c r="A880" s="8" t="n"/>
      <c r="B880" s="9" t="n"/>
      <c r="C880" s="10" t="n"/>
      <c r="D880" s="10" t="n"/>
      <c r="E880" s="10" t="n"/>
      <c r="F880" s="10" t="n"/>
      <c r="G880" s="14" t="n"/>
      <c r="H880" s="9" t="n"/>
      <c r="I880" s="12" t="str">
        <f>IF(G880="","",IF(H880="לא",0,ROUND(G880*TaxRate/(1+TaxRate),2)))</f>
        <v/>
      </c>
      <c r="J880" s="12" t="str">
        <f>IF(G880="","",G880-I880)</f>
        <v/>
      </c>
      <c r="K880" s="13" t="str">
        <f>IF(A880="","",YEAR(A880))</f>
        <v/>
      </c>
    </row>
    <row r="881">
      <c r="A881" s="8" t="n"/>
      <c r="B881" s="9" t="n"/>
      <c r="C881" s="10" t="n"/>
      <c r="D881" s="10" t="n"/>
      <c r="E881" s="10" t="n"/>
      <c r="F881" s="10" t="n"/>
      <c r="G881" s="14" t="n"/>
      <c r="H881" s="9" t="n"/>
      <c r="I881" s="12" t="str">
        <f>IF(G881="","",IF(H881="לא",0,ROUND(G881*TaxRate/(1+TaxRate),2)))</f>
        <v/>
      </c>
      <c r="J881" s="12" t="str">
        <f>IF(G881="","",G881-I881)</f>
        <v/>
      </c>
      <c r="K881" s="13" t="str">
        <f>IF(A881="","",YEAR(A881))</f>
        <v/>
      </c>
    </row>
    <row r="882">
      <c r="A882" s="8" t="n"/>
      <c r="B882" s="9" t="n"/>
      <c r="C882" s="10" t="n"/>
      <c r="D882" s="10" t="n"/>
      <c r="E882" s="10" t="n"/>
      <c r="F882" s="10" t="n"/>
      <c r="G882" s="14" t="n"/>
      <c r="H882" s="9" t="n"/>
      <c r="I882" s="12" t="str">
        <f>IF(G882="","",IF(H882="לא",0,ROUND(G882*TaxRate/(1+TaxRate),2)))</f>
        <v/>
      </c>
      <c r="J882" s="12" t="str">
        <f>IF(G882="","",G882-I882)</f>
        <v/>
      </c>
      <c r="K882" s="13" t="str">
        <f>IF(A882="","",YEAR(A882))</f>
        <v/>
      </c>
    </row>
    <row r="883">
      <c r="A883" s="8" t="n"/>
      <c r="B883" s="9" t="n"/>
      <c r="C883" s="10" t="n"/>
      <c r="D883" s="10" t="n"/>
      <c r="E883" s="10" t="n"/>
      <c r="F883" s="10" t="n"/>
      <c r="G883" s="14" t="n"/>
      <c r="H883" s="9" t="n"/>
      <c r="I883" s="12" t="str">
        <f>IF(G883="","",IF(H883="לא",0,ROUND(G883*TaxRate/(1+TaxRate),2)))</f>
        <v/>
      </c>
      <c r="J883" s="12" t="str">
        <f>IF(G883="","",G883-I883)</f>
        <v/>
      </c>
      <c r="K883" s="13" t="str">
        <f>IF(A883="","",YEAR(A883))</f>
        <v/>
      </c>
    </row>
    <row r="884">
      <c r="A884" s="8" t="n"/>
      <c r="B884" s="9" t="n"/>
      <c r="C884" s="10" t="n"/>
      <c r="D884" s="10" t="n"/>
      <c r="E884" s="10" t="n"/>
      <c r="F884" s="10" t="n"/>
      <c r="G884" s="14" t="n"/>
      <c r="H884" s="9" t="n"/>
      <c r="I884" s="12" t="str">
        <f>IF(G884="","",IF(H884="לא",0,ROUND(G884*TaxRate/(1+TaxRate),2)))</f>
        <v/>
      </c>
      <c r="J884" s="12" t="str">
        <f>IF(G884="","",G884-I884)</f>
        <v/>
      </c>
      <c r="K884" s="13" t="str">
        <f>IF(A884="","",YEAR(A884))</f>
        <v/>
      </c>
    </row>
    <row r="885">
      <c r="A885" s="8" t="n"/>
      <c r="B885" s="9" t="n"/>
      <c r="C885" s="10" t="n"/>
      <c r="D885" s="10" t="n"/>
      <c r="E885" s="10" t="n"/>
      <c r="F885" s="10" t="n"/>
      <c r="G885" s="14" t="n"/>
      <c r="H885" s="9" t="n"/>
      <c r="I885" s="12" t="str">
        <f>IF(G885="","",IF(H885="לא",0,ROUND(G885*TaxRate/(1+TaxRate),2)))</f>
        <v/>
      </c>
      <c r="J885" s="12" t="str">
        <f>IF(G885="","",G885-I885)</f>
        <v/>
      </c>
      <c r="K885" s="13" t="str">
        <f>IF(A885="","",YEAR(A885))</f>
        <v/>
      </c>
    </row>
    <row r="886">
      <c r="A886" s="8" t="n"/>
      <c r="B886" s="9" t="n"/>
      <c r="C886" s="10" t="n"/>
      <c r="D886" s="10" t="n"/>
      <c r="E886" s="10" t="n"/>
      <c r="F886" s="10" t="n"/>
      <c r="G886" s="14" t="n"/>
      <c r="H886" s="9" t="n"/>
      <c r="I886" s="12" t="str">
        <f>IF(G886="","",IF(H886="לא",0,ROUND(G886*TaxRate/(1+TaxRate),2)))</f>
        <v/>
      </c>
      <c r="J886" s="12" t="str">
        <f>IF(G886="","",G886-I886)</f>
        <v/>
      </c>
      <c r="K886" s="13" t="str">
        <f>IF(A886="","",YEAR(A886))</f>
        <v/>
      </c>
    </row>
    <row r="887">
      <c r="A887" s="8" t="n"/>
      <c r="B887" s="9" t="n"/>
      <c r="C887" s="10" t="n"/>
      <c r="D887" s="10" t="n"/>
      <c r="E887" s="10" t="n"/>
      <c r="F887" s="10" t="n"/>
      <c r="G887" s="14" t="n"/>
      <c r="H887" s="9" t="n"/>
      <c r="I887" s="12" t="str">
        <f>IF(G887="","",IF(H887="לא",0,ROUND(G887*TaxRate/(1+TaxRate),2)))</f>
        <v/>
      </c>
      <c r="J887" s="12" t="str">
        <f>IF(G887="","",G887-I887)</f>
        <v/>
      </c>
      <c r="K887" s="13" t="str">
        <f>IF(A887="","",YEAR(A887))</f>
        <v/>
      </c>
    </row>
    <row r="888">
      <c r="A888" s="8" t="n"/>
      <c r="B888" s="9" t="n"/>
      <c r="C888" s="10" t="n"/>
      <c r="D888" s="10" t="n"/>
      <c r="E888" s="10" t="n"/>
      <c r="F888" s="10" t="n"/>
      <c r="G888" s="14" t="n"/>
      <c r="H888" s="9" t="n"/>
      <c r="I888" s="12" t="str">
        <f>IF(G888="","",IF(H888="לא",0,ROUND(G888*TaxRate/(1+TaxRate),2)))</f>
        <v/>
      </c>
      <c r="J888" s="12" t="str">
        <f>IF(G888="","",G888-I888)</f>
        <v/>
      </c>
      <c r="K888" s="13" t="str">
        <f>IF(A888="","",YEAR(A888))</f>
        <v/>
      </c>
    </row>
    <row r="889">
      <c r="A889" s="8" t="n"/>
      <c r="B889" s="9" t="n"/>
      <c r="C889" s="10" t="n"/>
      <c r="D889" s="10" t="n"/>
      <c r="E889" s="10" t="n"/>
      <c r="F889" s="10" t="n"/>
      <c r="G889" s="14" t="n"/>
      <c r="H889" s="9" t="n"/>
      <c r="I889" s="12" t="str">
        <f>IF(G889="","",IF(H889="לא",0,ROUND(G889*TaxRate/(1+TaxRate),2)))</f>
        <v/>
      </c>
      <c r="J889" s="12" t="str">
        <f>IF(G889="","",G889-I889)</f>
        <v/>
      </c>
      <c r="K889" s="13" t="str">
        <f>IF(A889="","",YEAR(A889))</f>
        <v/>
      </c>
    </row>
    <row r="890">
      <c r="A890" s="8" t="n"/>
      <c r="B890" s="9" t="n"/>
      <c r="C890" s="10" t="n"/>
      <c r="D890" s="10" t="n"/>
      <c r="E890" s="10" t="n"/>
      <c r="F890" s="10" t="n"/>
      <c r="G890" s="14" t="n"/>
      <c r="H890" s="9" t="n"/>
      <c r="I890" s="12" t="str">
        <f>IF(G890="","",IF(H890="לא",0,ROUND(G890*TaxRate/(1+TaxRate),2)))</f>
        <v/>
      </c>
      <c r="J890" s="12" t="str">
        <f>IF(G890="","",G890-I890)</f>
        <v/>
      </c>
      <c r="K890" s="13" t="str">
        <f>IF(A890="","",YEAR(A890))</f>
        <v/>
      </c>
    </row>
    <row r="891">
      <c r="A891" s="8" t="n"/>
      <c r="B891" s="9" t="n"/>
      <c r="C891" s="10" t="n"/>
      <c r="D891" s="10" t="n"/>
      <c r="E891" s="10" t="n"/>
      <c r="F891" s="10" t="n"/>
      <c r="G891" s="14" t="n"/>
      <c r="H891" s="9" t="n"/>
      <c r="I891" s="12" t="str">
        <f>IF(G891="","",IF(H891="לא",0,ROUND(G891*TaxRate/(1+TaxRate),2)))</f>
        <v/>
      </c>
      <c r="J891" s="12" t="str">
        <f>IF(G891="","",G891-I891)</f>
        <v/>
      </c>
      <c r="K891" s="13" t="str">
        <f>IF(A891="","",YEAR(A891))</f>
        <v/>
      </c>
    </row>
    <row r="892">
      <c r="A892" s="8" t="n"/>
      <c r="B892" s="9" t="n"/>
      <c r="C892" s="10" t="n"/>
      <c r="D892" s="10" t="n"/>
      <c r="E892" s="10" t="n"/>
      <c r="F892" s="10" t="n"/>
      <c r="G892" s="14" t="n"/>
      <c r="H892" s="9" t="n"/>
      <c r="I892" s="12" t="str">
        <f>IF(G892="","",IF(H892="לא",0,ROUND(G892*TaxRate/(1+TaxRate),2)))</f>
        <v/>
      </c>
      <c r="J892" s="12" t="str">
        <f>IF(G892="","",G892-I892)</f>
        <v/>
      </c>
      <c r="K892" s="13" t="str">
        <f>IF(A892="","",YEAR(A892))</f>
        <v/>
      </c>
    </row>
    <row r="893">
      <c r="A893" s="8" t="n"/>
      <c r="B893" s="9" t="n"/>
      <c r="C893" s="10" t="n"/>
      <c r="D893" s="10" t="n"/>
      <c r="E893" s="10" t="n"/>
      <c r="F893" s="10" t="n"/>
      <c r="G893" s="14" t="n"/>
      <c r="H893" s="9" t="n"/>
      <c r="I893" s="12" t="str">
        <f>IF(G893="","",IF(H893="לא",0,ROUND(G893*TaxRate/(1+TaxRate),2)))</f>
        <v/>
      </c>
      <c r="J893" s="12" t="str">
        <f>IF(G893="","",G893-I893)</f>
        <v/>
      </c>
      <c r="K893" s="13" t="str">
        <f>IF(A893="","",YEAR(A893))</f>
        <v/>
      </c>
    </row>
    <row r="894">
      <c r="A894" s="8" t="n"/>
      <c r="B894" s="9" t="n"/>
      <c r="C894" s="10" t="n"/>
      <c r="D894" s="10" t="n"/>
      <c r="E894" s="10" t="n"/>
      <c r="F894" s="10" t="n"/>
      <c r="G894" s="14" t="n"/>
      <c r="H894" s="9" t="n"/>
      <c r="I894" s="12" t="str">
        <f>IF(G894="","",IF(H894="לא",0,ROUND(G894*TaxRate/(1+TaxRate),2)))</f>
        <v/>
      </c>
      <c r="J894" s="12" t="str">
        <f>IF(G894="","",G894-I894)</f>
        <v/>
      </c>
      <c r="K894" s="13" t="str">
        <f>IF(A894="","",YEAR(A894))</f>
        <v/>
      </c>
    </row>
    <row r="895">
      <c r="A895" s="8" t="n"/>
      <c r="B895" s="9" t="n"/>
      <c r="C895" s="10" t="n"/>
      <c r="D895" s="10" t="n"/>
      <c r="E895" s="10" t="n"/>
      <c r="F895" s="10" t="n"/>
      <c r="G895" s="14" t="n"/>
      <c r="H895" s="9" t="n"/>
      <c r="I895" s="12" t="str">
        <f>IF(G895="","",IF(H895="לא",0,ROUND(G895*TaxRate/(1+TaxRate),2)))</f>
        <v/>
      </c>
      <c r="J895" s="12" t="str">
        <f>IF(G895="","",G895-I895)</f>
        <v/>
      </c>
      <c r="K895" s="13" t="str">
        <f>IF(A895="","",YEAR(A895))</f>
        <v/>
      </c>
    </row>
    <row r="896">
      <c r="A896" s="8" t="n"/>
      <c r="B896" s="9" t="n"/>
      <c r="C896" s="10" t="n"/>
      <c r="D896" s="10" t="n"/>
      <c r="E896" s="10" t="n"/>
      <c r="F896" s="10" t="n"/>
      <c r="G896" s="14" t="n"/>
      <c r="H896" s="9" t="n"/>
      <c r="I896" s="12" t="str">
        <f>IF(G896="","",IF(H896="לא",0,ROUND(G896*TaxRate/(1+TaxRate),2)))</f>
        <v/>
      </c>
      <c r="J896" s="12" t="str">
        <f>IF(G896="","",G896-I896)</f>
        <v/>
      </c>
      <c r="K896" s="13" t="str">
        <f>IF(A896="","",YEAR(A896))</f>
        <v/>
      </c>
    </row>
    <row r="897">
      <c r="A897" s="8" t="n"/>
      <c r="B897" s="9" t="n"/>
      <c r="C897" s="10" t="n"/>
      <c r="D897" s="10" t="n"/>
      <c r="E897" s="10" t="n"/>
      <c r="F897" s="10" t="n"/>
      <c r="G897" s="14" t="n"/>
      <c r="H897" s="9" t="n"/>
      <c r="I897" s="12" t="str">
        <f>IF(G897="","",IF(H897="לא",0,ROUND(G897*TaxRate/(1+TaxRate),2)))</f>
        <v/>
      </c>
      <c r="J897" s="12" t="str">
        <f>IF(G897="","",G897-I897)</f>
        <v/>
      </c>
      <c r="K897" s="13" t="str">
        <f>IF(A897="","",YEAR(A897))</f>
        <v/>
      </c>
    </row>
    <row r="898">
      <c r="A898" s="8" t="n"/>
      <c r="B898" s="9" t="n"/>
      <c r="C898" s="10" t="n"/>
      <c r="D898" s="10" t="n"/>
      <c r="E898" s="10" t="n"/>
      <c r="F898" s="10" t="n"/>
      <c r="G898" s="14" t="n"/>
      <c r="H898" s="9" t="n"/>
      <c r="I898" s="12" t="str">
        <f>IF(G898="","",IF(H898="לא",0,ROUND(G898*TaxRate/(1+TaxRate),2)))</f>
        <v/>
      </c>
      <c r="J898" s="12" t="str">
        <f>IF(G898="","",G898-I898)</f>
        <v/>
      </c>
      <c r="K898" s="13" t="str">
        <f>IF(A898="","",YEAR(A898))</f>
        <v/>
      </c>
    </row>
    <row r="899">
      <c r="A899" s="8" t="n"/>
      <c r="B899" s="9" t="n"/>
      <c r="C899" s="10" t="n"/>
      <c r="D899" s="10" t="n"/>
      <c r="E899" s="10" t="n"/>
      <c r="F899" s="10" t="n"/>
      <c r="G899" s="14" t="n"/>
      <c r="H899" s="9" t="n"/>
      <c r="I899" s="12" t="str">
        <f>IF(G899="","",IF(H899="לא",0,ROUND(G899*TaxRate/(1+TaxRate),2)))</f>
        <v/>
      </c>
      <c r="J899" s="12" t="str">
        <f>IF(G899="","",G899-I899)</f>
        <v/>
      </c>
      <c r="K899" s="13" t="str">
        <f>IF(A899="","",YEAR(A899))</f>
        <v/>
      </c>
    </row>
    <row r="900">
      <c r="A900" s="8" t="n"/>
      <c r="B900" s="9" t="n"/>
      <c r="C900" s="10" t="n"/>
      <c r="D900" s="10" t="n"/>
      <c r="E900" s="10" t="n"/>
      <c r="F900" s="10" t="n"/>
      <c r="G900" s="14" t="n"/>
      <c r="H900" s="9" t="n"/>
      <c r="I900" s="12" t="str">
        <f>IF(G900="","",IF(H900="לא",0,ROUND(G900*TaxRate/(1+TaxRate),2)))</f>
        <v/>
      </c>
      <c r="J900" s="12" t="str">
        <f>IF(G900="","",G900-I900)</f>
        <v/>
      </c>
      <c r="K900" s="13" t="str">
        <f>IF(A900="","",YEAR(A900))</f>
        <v/>
      </c>
    </row>
    <row r="901">
      <c r="A901" s="8" t="n"/>
      <c r="B901" s="9" t="n"/>
      <c r="C901" s="10" t="n"/>
      <c r="D901" s="10" t="n"/>
      <c r="E901" s="10" t="n"/>
      <c r="F901" s="10" t="n"/>
      <c r="G901" s="14" t="n"/>
      <c r="H901" s="9" t="n"/>
      <c r="I901" s="12" t="str">
        <f>IF(G901="","",IF(H901="לא",0,ROUND(G901*TaxRate/(1+TaxRate),2)))</f>
        <v/>
      </c>
      <c r="J901" s="12" t="str">
        <f>IF(G901="","",G901-I901)</f>
        <v/>
      </c>
      <c r="K901" s="13" t="str">
        <f>IF(A901="","",YEAR(A901))</f>
        <v/>
      </c>
    </row>
    <row r="902">
      <c r="A902" s="8" t="n"/>
      <c r="B902" s="9" t="n"/>
      <c r="C902" s="10" t="n"/>
      <c r="D902" s="10" t="n"/>
      <c r="E902" s="10" t="n"/>
      <c r="F902" s="10" t="n"/>
      <c r="G902" s="14" t="n"/>
      <c r="H902" s="9" t="n"/>
      <c r="I902" s="12" t="str">
        <f>IF(G902="","",IF(H902="לא",0,ROUND(G902*TaxRate/(1+TaxRate),2)))</f>
        <v/>
      </c>
      <c r="J902" s="12" t="str">
        <f>IF(G902="","",G902-I902)</f>
        <v/>
      </c>
      <c r="K902" s="13" t="str">
        <f>IF(A902="","",YEAR(A902))</f>
        <v/>
      </c>
    </row>
    <row r="903">
      <c r="A903" s="8" t="n"/>
      <c r="B903" s="9" t="n"/>
      <c r="C903" s="10" t="n"/>
      <c r="D903" s="10" t="n"/>
      <c r="E903" s="10" t="n"/>
      <c r="F903" s="10" t="n"/>
      <c r="G903" s="14" t="n"/>
      <c r="H903" s="9" t="n"/>
      <c r="I903" s="12" t="str">
        <f>IF(G903="","",IF(H903="לא",0,ROUND(G903*TaxRate/(1+TaxRate),2)))</f>
        <v/>
      </c>
      <c r="J903" s="12" t="str">
        <f>IF(G903="","",G903-I903)</f>
        <v/>
      </c>
      <c r="K903" s="13" t="str">
        <f>IF(A903="","",YEAR(A903))</f>
        <v/>
      </c>
    </row>
    <row r="904">
      <c r="A904" s="8" t="n"/>
      <c r="B904" s="9" t="n"/>
      <c r="C904" s="10" t="n"/>
      <c r="D904" s="10" t="n"/>
      <c r="E904" s="10" t="n"/>
      <c r="F904" s="10" t="n"/>
      <c r="G904" s="14" t="n"/>
      <c r="H904" s="9" t="n"/>
      <c r="I904" s="12" t="str">
        <f>IF(G904="","",IF(H904="לא",0,ROUND(G904*TaxRate/(1+TaxRate),2)))</f>
        <v/>
      </c>
      <c r="J904" s="12" t="str">
        <f>IF(G904="","",G904-I904)</f>
        <v/>
      </c>
      <c r="K904" s="13" t="str">
        <f>IF(A904="","",YEAR(A904))</f>
        <v/>
      </c>
    </row>
    <row r="905">
      <c r="A905" s="8" t="n"/>
      <c r="B905" s="9" t="n"/>
      <c r="C905" s="10" t="n"/>
      <c r="D905" s="10" t="n"/>
      <c r="E905" s="10" t="n"/>
      <c r="F905" s="10" t="n"/>
      <c r="G905" s="14" t="n"/>
      <c r="H905" s="9" t="n"/>
      <c r="I905" s="12" t="str">
        <f>IF(G905="","",IF(H905="לא",0,ROUND(G905*TaxRate/(1+TaxRate),2)))</f>
        <v/>
      </c>
      <c r="J905" s="12" t="str">
        <f>IF(G905="","",G905-I905)</f>
        <v/>
      </c>
      <c r="K905" s="13" t="str">
        <f>IF(A905="","",YEAR(A905))</f>
        <v/>
      </c>
    </row>
    <row r="906">
      <c r="A906" s="8" t="n"/>
      <c r="B906" s="9" t="n"/>
      <c r="C906" s="10" t="n"/>
      <c r="D906" s="10" t="n"/>
      <c r="E906" s="10" t="n"/>
      <c r="F906" s="10" t="n"/>
      <c r="G906" s="14" t="n"/>
      <c r="H906" s="9" t="n"/>
      <c r="I906" s="12" t="str">
        <f>IF(G906="","",IF(H906="לא",0,ROUND(G906*TaxRate/(1+TaxRate),2)))</f>
        <v/>
      </c>
      <c r="J906" s="12" t="str">
        <f>IF(G906="","",G906-I906)</f>
        <v/>
      </c>
      <c r="K906" s="13" t="str">
        <f>IF(A906="","",YEAR(A906))</f>
        <v/>
      </c>
    </row>
    <row r="907">
      <c r="A907" s="8" t="n"/>
      <c r="B907" s="9" t="n"/>
      <c r="C907" s="10" t="n"/>
      <c r="D907" s="10" t="n"/>
      <c r="E907" s="10" t="n"/>
      <c r="F907" s="10" t="n"/>
      <c r="G907" s="14" t="n"/>
      <c r="H907" s="9" t="n"/>
      <c r="I907" s="12" t="str">
        <f>IF(G907="","",IF(H907="לא",0,ROUND(G907*TaxRate/(1+TaxRate),2)))</f>
        <v/>
      </c>
      <c r="J907" s="12" t="str">
        <f>IF(G907="","",G907-I907)</f>
        <v/>
      </c>
      <c r="K907" s="13" t="str">
        <f>IF(A907="","",YEAR(A907))</f>
        <v/>
      </c>
    </row>
    <row r="908">
      <c r="A908" s="8" t="n"/>
      <c r="B908" s="9" t="n"/>
      <c r="C908" s="10" t="n"/>
      <c r="D908" s="10" t="n"/>
      <c r="E908" s="10" t="n"/>
      <c r="F908" s="10" t="n"/>
      <c r="G908" s="14" t="n"/>
      <c r="H908" s="9" t="n"/>
      <c r="I908" s="12" t="str">
        <f>IF(G908="","",IF(H908="לא",0,ROUND(G908*TaxRate/(1+TaxRate),2)))</f>
        <v/>
      </c>
      <c r="J908" s="12" t="str">
        <f>IF(G908="","",G908-I908)</f>
        <v/>
      </c>
      <c r="K908" s="13" t="str">
        <f>IF(A908="","",YEAR(A908))</f>
        <v/>
      </c>
    </row>
    <row r="909">
      <c r="A909" s="8" t="n"/>
      <c r="B909" s="9" t="n"/>
      <c r="C909" s="10" t="n"/>
      <c r="D909" s="10" t="n"/>
      <c r="E909" s="10" t="n"/>
      <c r="F909" s="10" t="n"/>
      <c r="G909" s="14" t="n"/>
      <c r="H909" s="9" t="n"/>
      <c r="I909" s="12" t="str">
        <f>IF(G909="","",IF(H909="לא",0,ROUND(G909*TaxRate/(1+TaxRate),2)))</f>
        <v/>
      </c>
      <c r="J909" s="12" t="str">
        <f>IF(G909="","",G909-I909)</f>
        <v/>
      </c>
      <c r="K909" s="13" t="str">
        <f>IF(A909="","",YEAR(A909))</f>
        <v/>
      </c>
    </row>
    <row r="910">
      <c r="A910" s="8" t="n"/>
      <c r="B910" s="9" t="n"/>
      <c r="C910" s="10" t="n"/>
      <c r="D910" s="10" t="n"/>
      <c r="E910" s="10" t="n"/>
      <c r="F910" s="10" t="n"/>
      <c r="G910" s="14" t="n"/>
      <c r="H910" s="9" t="n"/>
      <c r="I910" s="12" t="str">
        <f>IF(G910="","",IF(H910="לא",0,ROUND(G910*TaxRate/(1+TaxRate),2)))</f>
        <v/>
      </c>
      <c r="J910" s="12" t="str">
        <f>IF(G910="","",G910-I910)</f>
        <v/>
      </c>
      <c r="K910" s="13" t="str">
        <f>IF(A910="","",YEAR(A910))</f>
        <v/>
      </c>
    </row>
    <row r="911">
      <c r="A911" s="8" t="n"/>
      <c r="B911" s="9" t="n"/>
      <c r="C911" s="10" t="n"/>
      <c r="D911" s="10" t="n"/>
      <c r="E911" s="10" t="n"/>
      <c r="F911" s="10" t="n"/>
      <c r="G911" s="14" t="n"/>
      <c r="H911" s="9" t="n"/>
      <c r="I911" s="12" t="str">
        <f>IF(G911="","",IF(H911="לא",0,ROUND(G911*TaxRate/(1+TaxRate),2)))</f>
        <v/>
      </c>
      <c r="J911" s="12" t="str">
        <f>IF(G911="","",G911-I911)</f>
        <v/>
      </c>
      <c r="K911" s="13" t="str">
        <f>IF(A911="","",YEAR(A911))</f>
        <v/>
      </c>
    </row>
    <row r="912">
      <c r="A912" s="8" t="n"/>
      <c r="B912" s="9" t="n"/>
      <c r="C912" s="10" t="n"/>
      <c r="D912" s="10" t="n"/>
      <c r="E912" s="10" t="n"/>
      <c r="F912" s="10" t="n"/>
      <c r="G912" s="14" t="n"/>
      <c r="H912" s="9" t="n"/>
      <c r="I912" s="12" t="str">
        <f>IF(G912="","",IF(H912="לא",0,ROUND(G912*TaxRate/(1+TaxRate),2)))</f>
        <v/>
      </c>
      <c r="J912" s="12" t="str">
        <f>IF(G912="","",G912-I912)</f>
        <v/>
      </c>
      <c r="K912" s="13" t="str">
        <f>IF(A912="","",YEAR(A912))</f>
        <v/>
      </c>
    </row>
    <row r="913">
      <c r="A913" s="8" t="n"/>
      <c r="B913" s="9" t="n"/>
      <c r="C913" s="10" t="n"/>
      <c r="D913" s="10" t="n"/>
      <c r="E913" s="10" t="n"/>
      <c r="F913" s="10" t="n"/>
      <c r="G913" s="14" t="n"/>
      <c r="H913" s="9" t="n"/>
      <c r="I913" s="12" t="str">
        <f>IF(G913="","",IF(H913="לא",0,ROUND(G913*TaxRate/(1+TaxRate),2)))</f>
        <v/>
      </c>
      <c r="J913" s="12" t="str">
        <f>IF(G913="","",G913-I913)</f>
        <v/>
      </c>
      <c r="K913" s="13" t="str">
        <f>IF(A913="","",YEAR(A913))</f>
        <v/>
      </c>
    </row>
    <row r="914">
      <c r="A914" s="8" t="n"/>
      <c r="B914" s="9" t="n"/>
      <c r="C914" s="10" t="n"/>
      <c r="D914" s="10" t="n"/>
      <c r="E914" s="10" t="n"/>
      <c r="F914" s="10" t="n"/>
      <c r="G914" s="14" t="n"/>
      <c r="H914" s="9" t="n"/>
      <c r="I914" s="12" t="str">
        <f>IF(G914="","",IF(H914="לא",0,ROUND(G914*TaxRate/(1+TaxRate),2)))</f>
        <v/>
      </c>
      <c r="J914" s="12" t="str">
        <f>IF(G914="","",G914-I914)</f>
        <v/>
      </c>
      <c r="K914" s="13" t="str">
        <f>IF(A914="","",YEAR(A914))</f>
        <v/>
      </c>
    </row>
    <row r="915">
      <c r="A915" s="8" t="n"/>
      <c r="B915" s="9" t="n"/>
      <c r="C915" s="10" t="n"/>
      <c r="D915" s="10" t="n"/>
      <c r="E915" s="10" t="n"/>
      <c r="F915" s="10" t="n"/>
      <c r="G915" s="14" t="n"/>
      <c r="H915" s="9" t="n"/>
      <c r="I915" s="12" t="str">
        <f>IF(G915="","",IF(H915="לא",0,ROUND(G915*TaxRate/(1+TaxRate),2)))</f>
        <v/>
      </c>
      <c r="J915" s="12" t="str">
        <f>IF(G915="","",G915-I915)</f>
        <v/>
      </c>
      <c r="K915" s="13" t="str">
        <f>IF(A915="","",YEAR(A915))</f>
        <v/>
      </c>
    </row>
    <row r="916">
      <c r="A916" s="8" t="n"/>
      <c r="B916" s="9" t="n"/>
      <c r="C916" s="10" t="n"/>
      <c r="D916" s="10" t="n"/>
      <c r="E916" s="10" t="n"/>
      <c r="F916" s="10" t="n"/>
      <c r="G916" s="14" t="n"/>
      <c r="H916" s="9" t="n"/>
      <c r="I916" s="12" t="str">
        <f>IF(G916="","",IF(H916="לא",0,ROUND(G916*TaxRate/(1+TaxRate),2)))</f>
        <v/>
      </c>
      <c r="J916" s="12" t="str">
        <f>IF(G916="","",G916-I916)</f>
        <v/>
      </c>
      <c r="K916" s="13" t="str">
        <f>IF(A916="","",YEAR(A916))</f>
        <v/>
      </c>
    </row>
    <row r="917">
      <c r="A917" s="8" t="n"/>
      <c r="B917" s="9" t="n"/>
      <c r="C917" s="10" t="n"/>
      <c r="D917" s="10" t="n"/>
      <c r="E917" s="10" t="n"/>
      <c r="F917" s="10" t="n"/>
      <c r="G917" s="14" t="n"/>
      <c r="H917" s="9" t="n"/>
      <c r="I917" s="12" t="str">
        <f>IF(G917="","",IF(H917="לא",0,ROUND(G917*TaxRate/(1+TaxRate),2)))</f>
        <v/>
      </c>
      <c r="J917" s="12" t="str">
        <f>IF(G917="","",G917-I917)</f>
        <v/>
      </c>
      <c r="K917" s="13" t="str">
        <f>IF(A917="","",YEAR(A917))</f>
        <v/>
      </c>
    </row>
    <row r="918">
      <c r="A918" s="8" t="n"/>
      <c r="B918" s="9" t="n"/>
      <c r="C918" s="10" t="n"/>
      <c r="D918" s="10" t="n"/>
      <c r="E918" s="10" t="n"/>
      <c r="F918" s="10" t="n"/>
      <c r="G918" s="14" t="n"/>
      <c r="H918" s="9" t="n"/>
      <c r="I918" s="12" t="str">
        <f>IF(G918="","",IF(H918="לא",0,ROUND(G918*TaxRate/(1+TaxRate),2)))</f>
        <v/>
      </c>
      <c r="J918" s="12" t="str">
        <f>IF(G918="","",G918-I918)</f>
        <v/>
      </c>
      <c r="K918" s="13" t="str">
        <f>IF(A918="","",YEAR(A918))</f>
        <v/>
      </c>
    </row>
    <row r="919">
      <c r="A919" s="8" t="n"/>
      <c r="B919" s="9" t="n"/>
      <c r="C919" s="10" t="n"/>
      <c r="D919" s="10" t="n"/>
      <c r="E919" s="10" t="n"/>
      <c r="F919" s="10" t="n"/>
      <c r="G919" s="14" t="n"/>
      <c r="H919" s="9" t="n"/>
      <c r="I919" s="12" t="str">
        <f>IF(G919="","",IF(H919="לא",0,ROUND(G919*TaxRate/(1+TaxRate),2)))</f>
        <v/>
      </c>
      <c r="J919" s="12" t="str">
        <f>IF(G919="","",G919-I919)</f>
        <v/>
      </c>
      <c r="K919" s="13" t="str">
        <f>IF(A919="","",YEAR(A919))</f>
        <v/>
      </c>
    </row>
    <row r="920">
      <c r="A920" s="8" t="n"/>
      <c r="B920" s="9" t="n"/>
      <c r="C920" s="10" t="n"/>
      <c r="D920" s="10" t="n"/>
      <c r="E920" s="10" t="n"/>
      <c r="F920" s="10" t="n"/>
      <c r="G920" s="14" t="n"/>
      <c r="H920" s="9" t="n"/>
      <c r="I920" s="12" t="str">
        <f>IF(G920="","",IF(H920="לא",0,ROUND(G920*TaxRate/(1+TaxRate),2)))</f>
        <v/>
      </c>
      <c r="J920" s="12" t="str">
        <f>IF(G920="","",G920-I920)</f>
        <v/>
      </c>
      <c r="K920" s="13" t="str">
        <f>IF(A920="","",YEAR(A920))</f>
        <v/>
      </c>
    </row>
    <row r="921">
      <c r="A921" s="8" t="n"/>
      <c r="B921" s="9" t="n"/>
      <c r="C921" s="10" t="n"/>
      <c r="D921" s="10" t="n"/>
      <c r="E921" s="10" t="n"/>
      <c r="F921" s="10" t="n"/>
      <c r="G921" s="14" t="n"/>
      <c r="H921" s="9" t="n"/>
      <c r="I921" s="12" t="str">
        <f>IF(G921="","",IF(H921="לא",0,ROUND(G921*TaxRate/(1+TaxRate),2)))</f>
        <v/>
      </c>
      <c r="J921" s="12" t="str">
        <f>IF(G921="","",G921-I921)</f>
        <v/>
      </c>
      <c r="K921" s="13" t="str">
        <f>IF(A921="","",YEAR(A921))</f>
        <v/>
      </c>
    </row>
    <row r="922">
      <c r="A922" s="8" t="n"/>
      <c r="B922" s="9" t="n"/>
      <c r="C922" s="10" t="n"/>
      <c r="D922" s="10" t="n"/>
      <c r="E922" s="10" t="n"/>
      <c r="F922" s="10" t="n"/>
      <c r="G922" s="14" t="n"/>
      <c r="H922" s="9" t="n"/>
      <c r="I922" s="12" t="str">
        <f>IF(G922="","",IF(H922="לא",0,ROUND(G922*TaxRate/(1+TaxRate),2)))</f>
        <v/>
      </c>
      <c r="J922" s="12" t="str">
        <f>IF(G922="","",G922-I922)</f>
        <v/>
      </c>
      <c r="K922" s="13" t="str">
        <f>IF(A922="","",YEAR(A922))</f>
        <v/>
      </c>
    </row>
    <row r="923">
      <c r="A923" s="8" t="n"/>
      <c r="B923" s="9" t="n"/>
      <c r="C923" s="10" t="n"/>
      <c r="D923" s="10" t="n"/>
      <c r="E923" s="10" t="n"/>
      <c r="F923" s="10" t="n"/>
      <c r="G923" s="14" t="n"/>
      <c r="H923" s="9" t="n"/>
      <c r="I923" s="12" t="str">
        <f>IF(G923="","",IF(H923="לא",0,ROUND(G923*TaxRate/(1+TaxRate),2)))</f>
        <v/>
      </c>
      <c r="J923" s="12" t="str">
        <f>IF(G923="","",G923-I923)</f>
        <v/>
      </c>
      <c r="K923" s="13" t="str">
        <f>IF(A923="","",YEAR(A923))</f>
        <v/>
      </c>
    </row>
    <row r="924">
      <c r="A924" s="8" t="n"/>
      <c r="B924" s="9" t="n"/>
      <c r="C924" s="10" t="n"/>
      <c r="D924" s="10" t="n"/>
      <c r="E924" s="10" t="n"/>
      <c r="F924" s="10" t="n"/>
      <c r="G924" s="14" t="n"/>
      <c r="H924" s="9" t="n"/>
      <c r="I924" s="12" t="str">
        <f>IF(G924="","",IF(H924="לא",0,ROUND(G924*TaxRate/(1+TaxRate),2)))</f>
        <v/>
      </c>
      <c r="J924" s="12" t="str">
        <f>IF(G924="","",G924-I924)</f>
        <v/>
      </c>
      <c r="K924" s="13" t="str">
        <f>IF(A924="","",YEAR(A924))</f>
        <v/>
      </c>
    </row>
    <row r="925">
      <c r="A925" s="8" t="n"/>
      <c r="B925" s="9" t="n"/>
      <c r="C925" s="10" t="n"/>
      <c r="D925" s="10" t="n"/>
      <c r="E925" s="10" t="n"/>
      <c r="F925" s="10" t="n"/>
      <c r="G925" s="14" t="n"/>
      <c r="H925" s="9" t="n"/>
      <c r="I925" s="12" t="str">
        <f>IF(G925="","",IF(H925="לא",0,ROUND(G925*TaxRate/(1+TaxRate),2)))</f>
        <v/>
      </c>
      <c r="J925" s="12" t="str">
        <f>IF(G925="","",G925-I925)</f>
        <v/>
      </c>
      <c r="K925" s="13" t="str">
        <f>IF(A925="","",YEAR(A925))</f>
        <v/>
      </c>
    </row>
    <row r="926">
      <c r="A926" s="8" t="n"/>
      <c r="B926" s="9" t="n"/>
      <c r="C926" s="10" t="n"/>
      <c r="D926" s="10" t="n"/>
      <c r="E926" s="10" t="n"/>
      <c r="F926" s="10" t="n"/>
      <c r="G926" s="14" t="n"/>
      <c r="H926" s="9" t="n"/>
      <c r="I926" s="12" t="str">
        <f>IF(G926="","",IF(H926="לא",0,ROUND(G926*TaxRate/(1+TaxRate),2)))</f>
        <v/>
      </c>
      <c r="J926" s="12" t="str">
        <f>IF(G926="","",G926-I926)</f>
        <v/>
      </c>
      <c r="K926" s="13" t="str">
        <f>IF(A926="","",YEAR(A926))</f>
        <v/>
      </c>
    </row>
    <row r="927">
      <c r="A927" s="8" t="n"/>
      <c r="B927" s="9" t="n"/>
      <c r="C927" s="10" t="n"/>
      <c r="D927" s="10" t="n"/>
      <c r="E927" s="10" t="n"/>
      <c r="F927" s="10" t="n"/>
      <c r="G927" s="14" t="n"/>
      <c r="H927" s="9" t="n"/>
      <c r="I927" s="12" t="str">
        <f>IF(G927="","",IF(H927="לא",0,ROUND(G927*TaxRate/(1+TaxRate),2)))</f>
        <v/>
      </c>
      <c r="J927" s="12" t="str">
        <f>IF(G927="","",G927-I927)</f>
        <v/>
      </c>
      <c r="K927" s="13" t="str">
        <f>IF(A927="","",YEAR(A927))</f>
        <v/>
      </c>
    </row>
    <row r="928">
      <c r="A928" s="8" t="n"/>
      <c r="B928" s="9" t="n"/>
      <c r="C928" s="10" t="n"/>
      <c r="D928" s="10" t="n"/>
      <c r="E928" s="10" t="n"/>
      <c r="F928" s="10" t="n"/>
      <c r="G928" s="14" t="n"/>
      <c r="H928" s="9" t="n"/>
      <c r="I928" s="12" t="str">
        <f>IF(G928="","",IF(H928="לא",0,ROUND(G928*TaxRate/(1+TaxRate),2)))</f>
        <v/>
      </c>
      <c r="J928" s="12" t="str">
        <f>IF(G928="","",G928-I928)</f>
        <v/>
      </c>
      <c r="K928" s="13" t="str">
        <f>IF(A928="","",YEAR(A928))</f>
        <v/>
      </c>
    </row>
    <row r="929">
      <c r="A929" s="8" t="n"/>
      <c r="B929" s="9" t="n"/>
      <c r="C929" s="10" t="n"/>
      <c r="D929" s="10" t="n"/>
      <c r="E929" s="10" t="n"/>
      <c r="F929" s="10" t="n"/>
      <c r="G929" s="14" t="n"/>
      <c r="H929" s="9" t="n"/>
      <c r="I929" s="12" t="str">
        <f>IF(G929="","",IF(H929="לא",0,ROUND(G929*TaxRate/(1+TaxRate),2)))</f>
        <v/>
      </c>
      <c r="J929" s="12" t="str">
        <f>IF(G929="","",G929-I929)</f>
        <v/>
      </c>
      <c r="K929" s="13" t="str">
        <f>IF(A929="","",YEAR(A929))</f>
        <v/>
      </c>
    </row>
    <row r="930">
      <c r="A930" s="8" t="n"/>
      <c r="B930" s="9" t="n"/>
      <c r="C930" s="10" t="n"/>
      <c r="D930" s="10" t="n"/>
      <c r="E930" s="10" t="n"/>
      <c r="F930" s="10" t="n"/>
      <c r="G930" s="14" t="n"/>
      <c r="H930" s="9" t="n"/>
      <c r="I930" s="12" t="str">
        <f>IF(G930="","",IF(H930="לא",0,ROUND(G930*TaxRate/(1+TaxRate),2)))</f>
        <v/>
      </c>
      <c r="J930" s="12" t="str">
        <f>IF(G930="","",G930-I930)</f>
        <v/>
      </c>
      <c r="K930" s="13" t="str">
        <f>IF(A930="","",YEAR(A930))</f>
        <v/>
      </c>
    </row>
    <row r="931">
      <c r="A931" s="8" t="n"/>
      <c r="B931" s="9" t="n"/>
      <c r="C931" s="10" t="n"/>
      <c r="D931" s="10" t="n"/>
      <c r="E931" s="10" t="n"/>
      <c r="F931" s="10" t="n"/>
      <c r="G931" s="14" t="n"/>
      <c r="H931" s="9" t="n"/>
      <c r="I931" s="12" t="str">
        <f>IF(G931="","",IF(H931="לא",0,ROUND(G931*TaxRate/(1+TaxRate),2)))</f>
        <v/>
      </c>
      <c r="J931" s="12" t="str">
        <f>IF(G931="","",G931-I931)</f>
        <v/>
      </c>
      <c r="K931" s="13" t="str">
        <f>IF(A931="","",YEAR(A931))</f>
        <v/>
      </c>
    </row>
    <row r="932">
      <c r="A932" s="8" t="n"/>
      <c r="B932" s="9" t="n"/>
      <c r="C932" s="10" t="n"/>
      <c r="D932" s="10" t="n"/>
      <c r="E932" s="10" t="n"/>
      <c r="F932" s="10" t="n"/>
      <c r="G932" s="14" t="n"/>
      <c r="H932" s="9" t="n"/>
      <c r="I932" s="12" t="str">
        <f>IF(G932="","",IF(H932="לא",0,ROUND(G932*TaxRate/(1+TaxRate),2)))</f>
        <v/>
      </c>
      <c r="J932" s="12" t="str">
        <f>IF(G932="","",G932-I932)</f>
        <v/>
      </c>
      <c r="K932" s="13" t="str">
        <f>IF(A932="","",YEAR(A932))</f>
        <v/>
      </c>
    </row>
    <row r="933">
      <c r="A933" s="8" t="n"/>
      <c r="B933" s="9" t="n"/>
      <c r="C933" s="10" t="n"/>
      <c r="D933" s="10" t="n"/>
      <c r="E933" s="10" t="n"/>
      <c r="F933" s="10" t="n"/>
      <c r="G933" s="14" t="n"/>
      <c r="H933" s="9" t="n"/>
      <c r="I933" s="12" t="str">
        <f>IF(G933="","",IF(H933="לא",0,ROUND(G933*TaxRate/(1+TaxRate),2)))</f>
        <v/>
      </c>
      <c r="J933" s="12" t="str">
        <f>IF(G933="","",G933-I933)</f>
        <v/>
      </c>
      <c r="K933" s="13" t="str">
        <f>IF(A933="","",YEAR(A933))</f>
        <v/>
      </c>
    </row>
    <row r="934">
      <c r="A934" s="8" t="n"/>
      <c r="B934" s="9" t="n"/>
      <c r="C934" s="10" t="n"/>
      <c r="D934" s="10" t="n"/>
      <c r="E934" s="10" t="n"/>
      <c r="F934" s="10" t="n"/>
      <c r="G934" s="14" t="n"/>
      <c r="H934" s="9" t="n"/>
      <c r="I934" s="12" t="str">
        <f>IF(G934="","",IF(H934="לא",0,ROUND(G934*TaxRate/(1+TaxRate),2)))</f>
        <v/>
      </c>
      <c r="J934" s="12" t="str">
        <f>IF(G934="","",G934-I934)</f>
        <v/>
      </c>
      <c r="K934" s="13" t="str">
        <f>IF(A934="","",YEAR(A934))</f>
        <v/>
      </c>
    </row>
    <row r="935">
      <c r="A935" s="8" t="n"/>
      <c r="B935" s="9" t="n"/>
      <c r="C935" s="10" t="n"/>
      <c r="D935" s="10" t="n"/>
      <c r="E935" s="10" t="n"/>
      <c r="F935" s="10" t="n"/>
      <c r="G935" s="14" t="n"/>
      <c r="H935" s="9" t="n"/>
      <c r="I935" s="12" t="str">
        <f>IF(G935="","",IF(H935="לא",0,ROUND(G935*TaxRate/(1+TaxRate),2)))</f>
        <v/>
      </c>
      <c r="J935" s="12" t="str">
        <f>IF(G935="","",G935-I935)</f>
        <v/>
      </c>
      <c r="K935" s="13" t="str">
        <f>IF(A935="","",YEAR(A935))</f>
        <v/>
      </c>
    </row>
    <row r="936">
      <c r="A936" s="8" t="n"/>
      <c r="B936" s="9" t="n"/>
      <c r="C936" s="10" t="n"/>
      <c r="D936" s="10" t="n"/>
      <c r="E936" s="10" t="n"/>
      <c r="F936" s="10" t="n"/>
      <c r="G936" s="14" t="n"/>
      <c r="H936" s="9" t="n"/>
      <c r="I936" s="12" t="str">
        <f>IF(G936="","",IF(H936="לא",0,ROUND(G936*TaxRate/(1+TaxRate),2)))</f>
        <v/>
      </c>
      <c r="J936" s="12" t="str">
        <f>IF(G936="","",G936-I936)</f>
        <v/>
      </c>
      <c r="K936" s="13" t="str">
        <f>IF(A936="","",YEAR(A936))</f>
        <v/>
      </c>
    </row>
    <row r="937">
      <c r="A937" s="8" t="n"/>
      <c r="B937" s="9" t="n"/>
      <c r="C937" s="10" t="n"/>
      <c r="D937" s="10" t="n"/>
      <c r="E937" s="10" t="n"/>
      <c r="F937" s="10" t="n"/>
      <c r="G937" s="14" t="n"/>
      <c r="H937" s="9" t="n"/>
      <c r="I937" s="12" t="str">
        <f>IF(G937="","",IF(H937="לא",0,ROUND(G937*TaxRate/(1+TaxRate),2)))</f>
        <v/>
      </c>
      <c r="J937" s="12" t="str">
        <f>IF(G937="","",G937-I937)</f>
        <v/>
      </c>
      <c r="K937" s="13" t="str">
        <f>IF(A937="","",YEAR(A937))</f>
        <v/>
      </c>
    </row>
    <row r="938">
      <c r="A938" s="8" t="n"/>
      <c r="B938" s="9" t="n"/>
      <c r="C938" s="10" t="n"/>
      <c r="D938" s="10" t="n"/>
      <c r="E938" s="10" t="n"/>
      <c r="F938" s="10" t="n"/>
      <c r="G938" s="14" t="n"/>
      <c r="H938" s="9" t="n"/>
      <c r="I938" s="12" t="str">
        <f>IF(G938="","",IF(H938="לא",0,ROUND(G938*TaxRate/(1+TaxRate),2)))</f>
        <v/>
      </c>
      <c r="J938" s="12" t="str">
        <f>IF(G938="","",G938-I938)</f>
        <v/>
      </c>
      <c r="K938" s="13" t="str">
        <f>IF(A938="","",YEAR(A938))</f>
        <v/>
      </c>
    </row>
    <row r="939">
      <c r="A939" s="8" t="n"/>
      <c r="B939" s="9" t="n"/>
      <c r="C939" s="10" t="n"/>
      <c r="D939" s="10" t="n"/>
      <c r="E939" s="10" t="n"/>
      <c r="F939" s="10" t="n"/>
      <c r="G939" s="14" t="n"/>
      <c r="H939" s="9" t="n"/>
      <c r="I939" s="12" t="str">
        <f>IF(G939="","",IF(H939="לא",0,ROUND(G939*TaxRate/(1+TaxRate),2)))</f>
        <v/>
      </c>
      <c r="J939" s="12" t="str">
        <f>IF(G939="","",G939-I939)</f>
        <v/>
      </c>
      <c r="K939" s="13" t="str">
        <f>IF(A939="","",YEAR(A939))</f>
        <v/>
      </c>
    </row>
    <row r="940">
      <c r="A940" s="8" t="n"/>
      <c r="B940" s="9" t="n"/>
      <c r="C940" s="10" t="n"/>
      <c r="D940" s="10" t="n"/>
      <c r="E940" s="10" t="n"/>
      <c r="F940" s="10" t="n"/>
      <c r="G940" s="14" t="n"/>
      <c r="H940" s="9" t="n"/>
      <c r="I940" s="12" t="str">
        <f>IF(G940="","",IF(H940="לא",0,ROUND(G940*TaxRate/(1+TaxRate),2)))</f>
        <v/>
      </c>
      <c r="J940" s="12" t="str">
        <f>IF(G940="","",G940-I940)</f>
        <v/>
      </c>
      <c r="K940" s="13" t="str">
        <f>IF(A940="","",YEAR(A940))</f>
        <v/>
      </c>
    </row>
    <row r="941">
      <c r="A941" s="8" t="n"/>
      <c r="B941" s="9" t="n"/>
      <c r="C941" s="10" t="n"/>
      <c r="D941" s="10" t="n"/>
      <c r="E941" s="10" t="n"/>
      <c r="F941" s="10" t="n"/>
      <c r="G941" s="14" t="n"/>
      <c r="H941" s="9" t="n"/>
      <c r="I941" s="12" t="str">
        <f>IF(G941="","",IF(H941="לא",0,ROUND(G941*TaxRate/(1+TaxRate),2)))</f>
        <v/>
      </c>
      <c r="J941" s="12" t="str">
        <f>IF(G941="","",G941-I941)</f>
        <v/>
      </c>
      <c r="K941" s="13" t="str">
        <f>IF(A941="","",YEAR(A941))</f>
        <v/>
      </c>
    </row>
    <row r="942">
      <c r="A942" s="8" t="n"/>
      <c r="B942" s="9" t="n"/>
      <c r="C942" s="10" t="n"/>
      <c r="D942" s="10" t="n"/>
      <c r="E942" s="10" t="n"/>
      <c r="F942" s="10" t="n"/>
      <c r="G942" s="14" t="n"/>
      <c r="H942" s="9" t="n"/>
      <c r="I942" s="12" t="str">
        <f>IF(G942="","",IF(H942="לא",0,ROUND(G942*TaxRate/(1+TaxRate),2)))</f>
        <v/>
      </c>
      <c r="J942" s="12" t="str">
        <f>IF(G942="","",G942-I942)</f>
        <v/>
      </c>
      <c r="K942" s="13" t="str">
        <f>IF(A942="","",YEAR(A942))</f>
        <v/>
      </c>
    </row>
    <row r="943">
      <c r="A943" s="8" t="n"/>
      <c r="B943" s="9" t="n"/>
      <c r="C943" s="10" t="n"/>
      <c r="D943" s="10" t="n"/>
      <c r="E943" s="10" t="n"/>
      <c r="F943" s="10" t="n"/>
      <c r="G943" s="14" t="n"/>
      <c r="H943" s="9" t="n"/>
      <c r="I943" s="12" t="str">
        <f>IF(G943="","",IF(H943="לא",0,ROUND(G943*TaxRate/(1+TaxRate),2)))</f>
        <v/>
      </c>
      <c r="J943" s="12" t="str">
        <f>IF(G943="","",G943-I943)</f>
        <v/>
      </c>
      <c r="K943" s="13" t="str">
        <f>IF(A943="","",YEAR(A943))</f>
        <v/>
      </c>
    </row>
    <row r="944">
      <c r="A944" s="8" t="n"/>
      <c r="B944" s="9" t="n"/>
      <c r="C944" s="10" t="n"/>
      <c r="D944" s="10" t="n"/>
      <c r="E944" s="10" t="n"/>
      <c r="F944" s="10" t="n"/>
      <c r="G944" s="14" t="n"/>
      <c r="H944" s="9" t="n"/>
      <c r="I944" s="12" t="str">
        <f>IF(G944="","",IF(H944="לא",0,ROUND(G944*TaxRate/(1+TaxRate),2)))</f>
        <v/>
      </c>
      <c r="J944" s="12" t="str">
        <f>IF(G944="","",G944-I944)</f>
        <v/>
      </c>
      <c r="K944" s="13" t="str">
        <f>IF(A944="","",YEAR(A944))</f>
        <v/>
      </c>
    </row>
    <row r="945">
      <c r="A945" s="8" t="n"/>
      <c r="B945" s="9" t="n"/>
      <c r="C945" s="10" t="n"/>
      <c r="D945" s="10" t="n"/>
      <c r="E945" s="10" t="n"/>
      <c r="F945" s="10" t="n"/>
      <c r="G945" s="14" t="n"/>
      <c r="H945" s="9" t="n"/>
      <c r="I945" s="12" t="str">
        <f>IF(G945="","",IF(H945="לא",0,ROUND(G945*TaxRate/(1+TaxRate),2)))</f>
        <v/>
      </c>
      <c r="J945" s="12" t="str">
        <f>IF(G945="","",G945-I945)</f>
        <v/>
      </c>
      <c r="K945" s="13" t="str">
        <f>IF(A945="","",YEAR(A945))</f>
        <v/>
      </c>
    </row>
    <row r="946">
      <c r="A946" s="8" t="n"/>
      <c r="B946" s="9" t="n"/>
      <c r="C946" s="10" t="n"/>
      <c r="D946" s="10" t="n"/>
      <c r="E946" s="10" t="n"/>
      <c r="F946" s="10" t="n"/>
      <c r="G946" s="14" t="n"/>
      <c r="H946" s="9" t="n"/>
      <c r="I946" s="12" t="str">
        <f>IF(G946="","",IF(H946="לא",0,ROUND(G946*TaxRate/(1+TaxRate),2)))</f>
        <v/>
      </c>
      <c r="J946" s="12" t="str">
        <f>IF(G946="","",G946-I946)</f>
        <v/>
      </c>
      <c r="K946" s="13" t="str">
        <f>IF(A946="","",YEAR(A946))</f>
        <v/>
      </c>
    </row>
    <row r="947">
      <c r="A947" s="8" t="n"/>
      <c r="B947" s="9" t="n"/>
      <c r="C947" s="10" t="n"/>
      <c r="D947" s="10" t="n"/>
      <c r="E947" s="10" t="n"/>
      <c r="F947" s="10" t="n"/>
      <c r="G947" s="14" t="n"/>
      <c r="H947" s="9" t="n"/>
      <c r="I947" s="12" t="str">
        <f>IF(G947="","",IF(H947="לא",0,ROUND(G947*TaxRate/(1+TaxRate),2)))</f>
        <v/>
      </c>
      <c r="J947" s="12" t="str">
        <f>IF(G947="","",G947-I947)</f>
        <v/>
      </c>
      <c r="K947" s="13" t="str">
        <f>IF(A947="","",YEAR(A947))</f>
        <v/>
      </c>
    </row>
    <row r="948">
      <c r="A948" s="8" t="n"/>
      <c r="B948" s="9" t="n"/>
      <c r="C948" s="10" t="n"/>
      <c r="D948" s="10" t="n"/>
      <c r="E948" s="10" t="n"/>
      <c r="F948" s="10" t="n"/>
      <c r="G948" s="14" t="n"/>
      <c r="H948" s="9" t="n"/>
      <c r="I948" s="12" t="str">
        <f>IF(G948="","",IF(H948="לא",0,ROUND(G948*TaxRate/(1+TaxRate),2)))</f>
        <v/>
      </c>
      <c r="J948" s="12" t="str">
        <f>IF(G948="","",G948-I948)</f>
        <v/>
      </c>
      <c r="K948" s="13" t="str">
        <f>IF(A948="","",YEAR(A948))</f>
        <v/>
      </c>
    </row>
    <row r="949">
      <c r="A949" s="8" t="n"/>
      <c r="B949" s="9" t="n"/>
      <c r="C949" s="10" t="n"/>
      <c r="D949" s="10" t="n"/>
      <c r="E949" s="10" t="n"/>
      <c r="F949" s="10" t="n"/>
      <c r="G949" s="14" t="n"/>
      <c r="H949" s="9" t="n"/>
      <c r="I949" s="12" t="str">
        <f>IF(G949="","",IF(H949="לא",0,ROUND(G949*TaxRate/(1+TaxRate),2)))</f>
        <v/>
      </c>
      <c r="J949" s="12" t="str">
        <f>IF(G949="","",G949-I949)</f>
        <v/>
      </c>
      <c r="K949" s="13" t="str">
        <f>IF(A949="","",YEAR(A949))</f>
        <v/>
      </c>
    </row>
    <row r="950">
      <c r="A950" s="8" t="n"/>
      <c r="B950" s="9" t="n"/>
      <c r="C950" s="10" t="n"/>
      <c r="D950" s="10" t="n"/>
      <c r="E950" s="10" t="n"/>
      <c r="F950" s="10" t="n"/>
      <c r="G950" s="14" t="n"/>
      <c r="H950" s="9" t="n"/>
      <c r="I950" s="12" t="str">
        <f>IF(G950="","",IF(H950="לא",0,ROUND(G950*TaxRate/(1+TaxRate),2)))</f>
        <v/>
      </c>
      <c r="J950" s="12" t="str">
        <f>IF(G950="","",G950-I950)</f>
        <v/>
      </c>
      <c r="K950" s="13" t="str">
        <f>IF(A950="","",YEAR(A950))</f>
        <v/>
      </c>
    </row>
    <row r="951">
      <c r="A951" s="8" t="n"/>
      <c r="B951" s="9" t="n"/>
      <c r="C951" s="10" t="n"/>
      <c r="D951" s="10" t="n"/>
      <c r="E951" s="10" t="n"/>
      <c r="F951" s="10" t="n"/>
      <c r="G951" s="14" t="n"/>
      <c r="H951" s="9" t="n"/>
      <c r="I951" s="12" t="str">
        <f>IF(G951="","",IF(H951="לא",0,ROUND(G951*TaxRate/(1+TaxRate),2)))</f>
        <v/>
      </c>
      <c r="J951" s="12" t="str">
        <f>IF(G951="","",G951-I951)</f>
        <v/>
      </c>
      <c r="K951" s="13" t="str">
        <f>IF(A951="","",YEAR(A951))</f>
        <v/>
      </c>
    </row>
    <row r="952">
      <c r="A952" s="8" t="n"/>
      <c r="B952" s="9" t="n"/>
      <c r="C952" s="10" t="n"/>
      <c r="D952" s="10" t="n"/>
      <c r="E952" s="10" t="n"/>
      <c r="F952" s="10" t="n"/>
      <c r="G952" s="14" t="n"/>
      <c r="H952" s="9" t="n"/>
      <c r="I952" s="12" t="str">
        <f>IF(G952="","",IF(H952="לא",0,ROUND(G952*TaxRate/(1+TaxRate),2)))</f>
        <v/>
      </c>
      <c r="J952" s="12" t="str">
        <f>IF(G952="","",G952-I952)</f>
        <v/>
      </c>
      <c r="K952" s="13" t="str">
        <f>IF(A952="","",YEAR(A952))</f>
        <v/>
      </c>
    </row>
    <row r="953">
      <c r="A953" s="8" t="n"/>
      <c r="B953" s="9" t="n"/>
      <c r="C953" s="10" t="n"/>
      <c r="D953" s="10" t="n"/>
      <c r="E953" s="10" t="n"/>
      <c r="F953" s="10" t="n"/>
      <c r="G953" s="14" t="n"/>
      <c r="H953" s="9" t="n"/>
      <c r="I953" s="12" t="str">
        <f>IF(G953="","",IF(H953="לא",0,ROUND(G953*TaxRate/(1+TaxRate),2)))</f>
        <v/>
      </c>
      <c r="J953" s="12" t="str">
        <f>IF(G953="","",G953-I953)</f>
        <v/>
      </c>
      <c r="K953" s="13" t="str">
        <f>IF(A953="","",YEAR(A953))</f>
        <v/>
      </c>
    </row>
    <row r="954">
      <c r="A954" s="8" t="n"/>
      <c r="B954" s="9" t="n"/>
      <c r="C954" s="10" t="n"/>
      <c r="D954" s="10" t="n"/>
      <c r="E954" s="10" t="n"/>
      <c r="F954" s="10" t="n"/>
      <c r="G954" s="14" t="n"/>
      <c r="H954" s="9" t="n"/>
      <c r="I954" s="12" t="str">
        <f>IF(G954="","",IF(H954="לא",0,ROUND(G954*TaxRate/(1+TaxRate),2)))</f>
        <v/>
      </c>
      <c r="J954" s="12" t="str">
        <f>IF(G954="","",G954-I954)</f>
        <v/>
      </c>
      <c r="K954" s="13" t="str">
        <f>IF(A954="","",YEAR(A954))</f>
        <v/>
      </c>
    </row>
    <row r="955">
      <c r="A955" s="8" t="n"/>
      <c r="B955" s="9" t="n"/>
      <c r="C955" s="10" t="n"/>
      <c r="D955" s="10" t="n"/>
      <c r="E955" s="10" t="n"/>
      <c r="F955" s="10" t="n"/>
      <c r="G955" s="14" t="n"/>
      <c r="H955" s="9" t="n"/>
      <c r="I955" s="12" t="str">
        <f>IF(G955="","",IF(H955="לא",0,ROUND(G955*TaxRate/(1+TaxRate),2)))</f>
        <v/>
      </c>
      <c r="J955" s="12" t="str">
        <f>IF(G955="","",G955-I955)</f>
        <v/>
      </c>
      <c r="K955" s="13" t="str">
        <f>IF(A955="","",YEAR(A955))</f>
        <v/>
      </c>
    </row>
    <row r="956">
      <c r="A956" s="8" t="n"/>
      <c r="B956" s="9" t="n"/>
      <c r="C956" s="10" t="n"/>
      <c r="D956" s="10" t="n"/>
      <c r="E956" s="10" t="n"/>
      <c r="F956" s="10" t="n"/>
      <c r="G956" s="14" t="n"/>
      <c r="H956" s="9" t="n"/>
      <c r="I956" s="12" t="str">
        <f>IF(G956="","",IF(H956="לא",0,ROUND(G956*TaxRate/(1+TaxRate),2)))</f>
        <v/>
      </c>
      <c r="J956" s="12" t="str">
        <f>IF(G956="","",G956-I956)</f>
        <v/>
      </c>
      <c r="K956" s="13" t="str">
        <f>IF(A956="","",YEAR(A956))</f>
        <v/>
      </c>
    </row>
    <row r="957">
      <c r="A957" s="8" t="n"/>
      <c r="B957" s="9" t="n"/>
      <c r="C957" s="10" t="n"/>
      <c r="D957" s="10" t="n"/>
      <c r="E957" s="10" t="n"/>
      <c r="F957" s="10" t="n"/>
      <c r="G957" s="14" t="n"/>
      <c r="H957" s="9" t="n"/>
      <c r="I957" s="12" t="str">
        <f>IF(G957="","",IF(H957="לא",0,ROUND(G957*TaxRate/(1+TaxRate),2)))</f>
        <v/>
      </c>
      <c r="J957" s="12" t="str">
        <f>IF(G957="","",G957-I957)</f>
        <v/>
      </c>
      <c r="K957" s="13" t="str">
        <f>IF(A957="","",YEAR(A957))</f>
        <v/>
      </c>
    </row>
    <row r="958">
      <c r="A958" s="8" t="n"/>
      <c r="B958" s="9" t="n"/>
      <c r="C958" s="10" t="n"/>
      <c r="D958" s="10" t="n"/>
      <c r="E958" s="10" t="n"/>
      <c r="F958" s="10" t="n"/>
      <c r="G958" s="14" t="n"/>
      <c r="H958" s="9" t="n"/>
      <c r="I958" s="12" t="str">
        <f>IF(G958="","",IF(H958="לא",0,ROUND(G958*TaxRate/(1+TaxRate),2)))</f>
        <v/>
      </c>
      <c r="J958" s="12" t="str">
        <f>IF(G958="","",G958-I958)</f>
        <v/>
      </c>
      <c r="K958" s="13" t="str">
        <f>IF(A958="","",YEAR(A958))</f>
        <v/>
      </c>
    </row>
    <row r="959">
      <c r="A959" s="8" t="n"/>
      <c r="B959" s="9" t="n"/>
      <c r="C959" s="10" t="n"/>
      <c r="D959" s="10" t="n"/>
      <c r="E959" s="10" t="n"/>
      <c r="F959" s="10" t="n"/>
      <c r="G959" s="14" t="n"/>
      <c r="H959" s="9" t="n"/>
      <c r="I959" s="12" t="str">
        <f>IF(G959="","",IF(H959="לא",0,ROUND(G959*TaxRate/(1+TaxRate),2)))</f>
        <v/>
      </c>
      <c r="J959" s="12" t="str">
        <f>IF(G959="","",G959-I959)</f>
        <v/>
      </c>
      <c r="K959" s="13" t="str">
        <f>IF(A959="","",YEAR(A959))</f>
        <v/>
      </c>
    </row>
    <row r="960">
      <c r="A960" s="8" t="n"/>
      <c r="B960" s="9" t="n"/>
      <c r="C960" s="10" t="n"/>
      <c r="D960" s="10" t="n"/>
      <c r="E960" s="10" t="n"/>
      <c r="F960" s="10" t="n"/>
      <c r="G960" s="14" t="n"/>
      <c r="H960" s="9" t="n"/>
      <c r="I960" s="12" t="str">
        <f>IF(G960="","",IF(H960="לא",0,ROUND(G960*TaxRate/(1+TaxRate),2)))</f>
        <v/>
      </c>
      <c r="J960" s="12" t="str">
        <f>IF(G960="","",G960-I960)</f>
        <v/>
      </c>
      <c r="K960" s="13" t="str">
        <f>IF(A960="","",YEAR(A960))</f>
        <v/>
      </c>
    </row>
    <row r="961">
      <c r="A961" s="8" t="n"/>
      <c r="B961" s="9" t="n"/>
      <c r="C961" s="10" t="n"/>
      <c r="D961" s="10" t="n"/>
      <c r="E961" s="10" t="n"/>
      <c r="F961" s="10" t="n"/>
      <c r="G961" s="14" t="n"/>
      <c r="H961" s="9" t="n"/>
      <c r="I961" s="12" t="str">
        <f>IF(G961="","",IF(H961="לא",0,ROUND(G961*TaxRate/(1+TaxRate),2)))</f>
        <v/>
      </c>
      <c r="J961" s="12" t="str">
        <f>IF(G961="","",G961-I961)</f>
        <v/>
      </c>
      <c r="K961" s="13" t="str">
        <f>IF(A961="","",YEAR(A961))</f>
        <v/>
      </c>
    </row>
    <row r="962">
      <c r="A962" s="8" t="n"/>
      <c r="B962" s="9" t="n"/>
      <c r="C962" s="10" t="n"/>
      <c r="D962" s="10" t="n"/>
      <c r="E962" s="10" t="n"/>
      <c r="F962" s="10" t="n"/>
      <c r="G962" s="14" t="n"/>
      <c r="H962" s="9" t="n"/>
      <c r="I962" s="12" t="str">
        <f>IF(G962="","",IF(H962="לא",0,ROUND(G962*TaxRate/(1+TaxRate),2)))</f>
        <v/>
      </c>
      <c r="J962" s="12" t="str">
        <f>IF(G962="","",G962-I962)</f>
        <v/>
      </c>
      <c r="K962" s="13" t="str">
        <f>IF(A962="","",YEAR(A962))</f>
        <v/>
      </c>
    </row>
    <row r="963">
      <c r="A963" s="8" t="n"/>
      <c r="B963" s="9" t="n"/>
      <c r="C963" s="10" t="n"/>
      <c r="D963" s="10" t="n"/>
      <c r="E963" s="10" t="n"/>
      <c r="F963" s="10" t="n"/>
      <c r="G963" s="14" t="n"/>
      <c r="H963" s="9" t="n"/>
      <c r="I963" s="12" t="str">
        <f>IF(G963="","",IF(H963="לא",0,ROUND(G963*TaxRate/(1+TaxRate),2)))</f>
        <v/>
      </c>
      <c r="J963" s="12" t="str">
        <f>IF(G963="","",G963-I963)</f>
        <v/>
      </c>
      <c r="K963" s="13" t="str">
        <f>IF(A963="","",YEAR(A963))</f>
        <v/>
      </c>
    </row>
    <row r="964">
      <c r="A964" s="8" t="n"/>
      <c r="B964" s="9" t="n"/>
      <c r="C964" s="10" t="n"/>
      <c r="D964" s="10" t="n"/>
      <c r="E964" s="10" t="n"/>
      <c r="F964" s="10" t="n"/>
      <c r="G964" s="14" t="n"/>
      <c r="H964" s="9" t="n"/>
      <c r="I964" s="12" t="str">
        <f>IF(G964="","",IF(H964="לא",0,ROUND(G964*TaxRate/(1+TaxRate),2)))</f>
        <v/>
      </c>
      <c r="J964" s="12" t="str">
        <f>IF(G964="","",G964-I964)</f>
        <v/>
      </c>
      <c r="K964" s="13" t="str">
        <f>IF(A964="","",YEAR(A964))</f>
        <v/>
      </c>
    </row>
    <row r="965">
      <c r="A965" s="8" t="n"/>
      <c r="B965" s="9" t="n"/>
      <c r="C965" s="10" t="n"/>
      <c r="D965" s="10" t="n"/>
      <c r="E965" s="10" t="n"/>
      <c r="F965" s="10" t="n"/>
      <c r="G965" s="14" t="n"/>
      <c r="H965" s="9" t="n"/>
      <c r="I965" s="12" t="str">
        <f>IF(G965="","",IF(H965="לא",0,ROUND(G965*TaxRate/(1+TaxRate),2)))</f>
        <v/>
      </c>
      <c r="J965" s="12" t="str">
        <f>IF(G965="","",G965-I965)</f>
        <v/>
      </c>
      <c r="K965" s="13" t="str">
        <f>IF(A965="","",YEAR(A965))</f>
        <v/>
      </c>
    </row>
    <row r="966">
      <c r="A966" s="8" t="n"/>
      <c r="B966" s="9" t="n"/>
      <c r="C966" s="10" t="n"/>
      <c r="D966" s="10" t="n"/>
      <c r="E966" s="10" t="n"/>
      <c r="F966" s="10" t="n"/>
      <c r="G966" s="14" t="n"/>
      <c r="H966" s="9" t="n"/>
      <c r="I966" s="12" t="str">
        <f>IF(G966="","",IF(H966="לא",0,ROUND(G966*TaxRate/(1+TaxRate),2)))</f>
        <v/>
      </c>
      <c r="J966" s="12" t="str">
        <f>IF(G966="","",G966-I966)</f>
        <v/>
      </c>
      <c r="K966" s="13" t="str">
        <f>IF(A966="","",YEAR(A966))</f>
        <v/>
      </c>
    </row>
    <row r="967">
      <c r="A967" s="8" t="n"/>
      <c r="B967" s="9" t="n"/>
      <c r="C967" s="10" t="n"/>
      <c r="D967" s="10" t="n"/>
      <c r="E967" s="10" t="n"/>
      <c r="F967" s="10" t="n"/>
      <c r="G967" s="14" t="n"/>
      <c r="H967" s="9" t="n"/>
      <c r="I967" s="12" t="str">
        <f>IF(G967="","",IF(H967="לא",0,ROUND(G967*TaxRate/(1+TaxRate),2)))</f>
        <v/>
      </c>
      <c r="J967" s="12" t="str">
        <f>IF(G967="","",G967-I967)</f>
        <v/>
      </c>
      <c r="K967" s="13" t="str">
        <f>IF(A967="","",YEAR(A967))</f>
        <v/>
      </c>
    </row>
    <row r="968">
      <c r="A968" s="8" t="n"/>
      <c r="B968" s="9" t="n"/>
      <c r="C968" s="10" t="n"/>
      <c r="D968" s="10" t="n"/>
      <c r="E968" s="10" t="n"/>
      <c r="F968" s="10" t="n"/>
      <c r="G968" s="14" t="n"/>
      <c r="H968" s="9" t="n"/>
      <c r="I968" s="12" t="str">
        <f>IF(G968="","",IF(H968="לא",0,ROUND(G968*TaxRate/(1+TaxRate),2)))</f>
        <v/>
      </c>
      <c r="J968" s="12" t="str">
        <f>IF(G968="","",G968-I968)</f>
        <v/>
      </c>
      <c r="K968" s="13" t="str">
        <f>IF(A968="","",YEAR(A968))</f>
        <v/>
      </c>
    </row>
    <row r="969">
      <c r="A969" s="8" t="n"/>
      <c r="B969" s="9" t="n"/>
      <c r="C969" s="10" t="n"/>
      <c r="D969" s="10" t="n"/>
      <c r="E969" s="10" t="n"/>
      <c r="F969" s="10" t="n"/>
      <c r="G969" s="14" t="n"/>
      <c r="H969" s="9" t="n"/>
      <c r="I969" s="12" t="str">
        <f>IF(G969="","",IF(H969="לא",0,ROUND(G969*TaxRate/(1+TaxRate),2)))</f>
        <v/>
      </c>
      <c r="J969" s="12" t="str">
        <f>IF(G969="","",G969-I969)</f>
        <v/>
      </c>
      <c r="K969" s="13" t="str">
        <f>IF(A969="","",YEAR(A969))</f>
        <v/>
      </c>
    </row>
    <row r="970">
      <c r="A970" s="8" t="n"/>
      <c r="B970" s="9" t="n"/>
      <c r="C970" s="10" t="n"/>
      <c r="D970" s="10" t="n"/>
      <c r="E970" s="10" t="n"/>
      <c r="F970" s="10" t="n"/>
      <c r="G970" s="14" t="n"/>
      <c r="H970" s="9" t="n"/>
      <c r="I970" s="12" t="str">
        <f>IF(G970="","",IF(H970="לא",0,ROUND(G970*TaxRate/(1+TaxRate),2)))</f>
        <v/>
      </c>
      <c r="J970" s="12" t="str">
        <f>IF(G970="","",G970-I970)</f>
        <v/>
      </c>
      <c r="K970" s="13" t="str">
        <f>IF(A970="","",YEAR(A970))</f>
        <v/>
      </c>
    </row>
    <row r="971">
      <c r="A971" s="8" t="n"/>
      <c r="B971" s="9" t="n"/>
      <c r="C971" s="10" t="n"/>
      <c r="D971" s="10" t="n"/>
      <c r="E971" s="10" t="n"/>
      <c r="F971" s="10" t="n"/>
      <c r="G971" s="14" t="n"/>
      <c r="H971" s="9" t="n"/>
      <c r="I971" s="12" t="str">
        <f>IF(G971="","",IF(H971="לא",0,ROUND(G971*TaxRate/(1+TaxRate),2)))</f>
        <v/>
      </c>
      <c r="J971" s="12" t="str">
        <f>IF(G971="","",G971-I971)</f>
        <v/>
      </c>
      <c r="K971" s="13" t="str">
        <f>IF(A971="","",YEAR(A971))</f>
        <v/>
      </c>
    </row>
    <row r="972">
      <c r="A972" s="8" t="n"/>
      <c r="B972" s="9" t="n"/>
      <c r="C972" s="10" t="n"/>
      <c r="D972" s="10" t="n"/>
      <c r="E972" s="10" t="n"/>
      <c r="F972" s="10" t="n"/>
      <c r="G972" s="14" t="n"/>
      <c r="H972" s="9" t="n"/>
      <c r="I972" s="12" t="str">
        <f>IF(G972="","",IF(H972="לא",0,ROUND(G972*TaxRate/(1+TaxRate),2)))</f>
        <v/>
      </c>
      <c r="J972" s="12" t="str">
        <f>IF(G972="","",G972-I972)</f>
        <v/>
      </c>
      <c r="K972" s="13" t="str">
        <f>IF(A972="","",YEAR(A972))</f>
        <v/>
      </c>
    </row>
    <row r="973">
      <c r="A973" s="8" t="n"/>
      <c r="B973" s="9" t="n"/>
      <c r="C973" s="10" t="n"/>
      <c r="D973" s="10" t="n"/>
      <c r="E973" s="10" t="n"/>
      <c r="F973" s="10" t="n"/>
      <c r="G973" s="14" t="n"/>
      <c r="H973" s="9" t="n"/>
      <c r="I973" s="12" t="str">
        <f>IF(G973="","",IF(H973="לא",0,ROUND(G973*TaxRate/(1+TaxRate),2)))</f>
        <v/>
      </c>
      <c r="J973" s="12" t="str">
        <f>IF(G973="","",G973-I973)</f>
        <v/>
      </c>
      <c r="K973" s="13" t="str">
        <f>IF(A973="","",YEAR(A973))</f>
        <v/>
      </c>
    </row>
    <row r="974">
      <c r="A974" s="8" t="n"/>
      <c r="B974" s="9" t="n"/>
      <c r="C974" s="10" t="n"/>
      <c r="D974" s="10" t="n"/>
      <c r="E974" s="10" t="n"/>
      <c r="F974" s="10" t="n"/>
      <c r="G974" s="14" t="n"/>
      <c r="H974" s="9" t="n"/>
      <c r="I974" s="12" t="str">
        <f>IF(G974="","",IF(H974="לא",0,ROUND(G974*TaxRate/(1+TaxRate),2)))</f>
        <v/>
      </c>
      <c r="J974" s="12" t="str">
        <f>IF(G974="","",G974-I974)</f>
        <v/>
      </c>
      <c r="K974" s="13" t="str">
        <f>IF(A974="","",YEAR(A974))</f>
        <v/>
      </c>
    </row>
    <row r="975">
      <c r="A975" s="8" t="n"/>
      <c r="B975" s="9" t="n"/>
      <c r="C975" s="10" t="n"/>
      <c r="D975" s="10" t="n"/>
      <c r="E975" s="10" t="n"/>
      <c r="F975" s="10" t="n"/>
      <c r="G975" s="14" t="n"/>
      <c r="H975" s="9" t="n"/>
      <c r="I975" s="12" t="str">
        <f>IF(G975="","",IF(H975="לא",0,ROUND(G975*TaxRate/(1+TaxRate),2)))</f>
        <v/>
      </c>
      <c r="J975" s="12" t="str">
        <f>IF(G975="","",G975-I975)</f>
        <v/>
      </c>
      <c r="K975" s="13" t="str">
        <f>IF(A975="","",YEAR(A975))</f>
        <v/>
      </c>
    </row>
    <row r="976">
      <c r="A976" s="8" t="n"/>
      <c r="B976" s="9" t="n"/>
      <c r="C976" s="10" t="n"/>
      <c r="D976" s="10" t="n"/>
      <c r="E976" s="10" t="n"/>
      <c r="F976" s="10" t="n"/>
      <c r="G976" s="14" t="n"/>
      <c r="H976" s="9" t="n"/>
      <c r="I976" s="12" t="str">
        <f>IF(G976="","",IF(H976="לא",0,ROUND(G976*TaxRate/(1+TaxRate),2)))</f>
        <v/>
      </c>
      <c r="J976" s="12" t="str">
        <f>IF(G976="","",G976-I976)</f>
        <v/>
      </c>
      <c r="K976" s="13" t="str">
        <f>IF(A976="","",YEAR(A976))</f>
        <v/>
      </c>
    </row>
    <row r="977">
      <c r="A977" s="8" t="n"/>
      <c r="B977" s="9" t="n"/>
      <c r="C977" s="10" t="n"/>
      <c r="D977" s="10" t="n"/>
      <c r="E977" s="10" t="n"/>
      <c r="F977" s="10" t="n"/>
      <c r="G977" s="14" t="n"/>
      <c r="H977" s="9" t="n"/>
      <c r="I977" s="12" t="str">
        <f>IF(G977="","",IF(H977="לא",0,ROUND(G977*TaxRate/(1+TaxRate),2)))</f>
        <v/>
      </c>
      <c r="J977" s="12" t="str">
        <f>IF(G977="","",G977-I977)</f>
        <v/>
      </c>
      <c r="K977" s="13" t="str">
        <f>IF(A977="","",YEAR(A977))</f>
        <v/>
      </c>
    </row>
    <row r="978">
      <c r="A978" s="8" t="n"/>
      <c r="B978" s="9" t="n"/>
      <c r="C978" s="10" t="n"/>
      <c r="D978" s="10" t="n"/>
      <c r="E978" s="10" t="n"/>
      <c r="F978" s="10" t="n"/>
      <c r="G978" s="14" t="n"/>
      <c r="H978" s="9" t="n"/>
      <c r="I978" s="12" t="str">
        <f>IF(G978="","",IF(H978="לא",0,ROUND(G978*TaxRate/(1+TaxRate),2)))</f>
        <v/>
      </c>
      <c r="J978" s="12" t="str">
        <f>IF(G978="","",G978-I978)</f>
        <v/>
      </c>
      <c r="K978" s="13" t="str">
        <f>IF(A978="","",YEAR(A978))</f>
        <v/>
      </c>
    </row>
    <row r="979">
      <c r="A979" s="8" t="n"/>
      <c r="B979" s="9" t="n"/>
      <c r="C979" s="10" t="n"/>
      <c r="D979" s="10" t="n"/>
      <c r="E979" s="10" t="n"/>
      <c r="F979" s="10" t="n"/>
      <c r="G979" s="14" t="n"/>
      <c r="H979" s="9" t="n"/>
      <c r="I979" s="12" t="str">
        <f>IF(G979="","",IF(H979="לא",0,ROUND(G979*TaxRate/(1+TaxRate),2)))</f>
        <v/>
      </c>
      <c r="J979" s="12" t="str">
        <f>IF(G979="","",G979-I979)</f>
        <v/>
      </c>
      <c r="K979" s="13" t="str">
        <f>IF(A979="","",YEAR(A979))</f>
        <v/>
      </c>
    </row>
    <row r="980">
      <c r="A980" s="8" t="n"/>
      <c r="B980" s="9" t="n"/>
      <c r="C980" s="10" t="n"/>
      <c r="D980" s="10" t="n"/>
      <c r="E980" s="10" t="n"/>
      <c r="F980" s="10" t="n"/>
      <c r="G980" s="14" t="n"/>
      <c r="H980" s="9" t="n"/>
      <c r="I980" s="12" t="str">
        <f>IF(G980="","",IF(H980="לא",0,ROUND(G980*TaxRate/(1+TaxRate),2)))</f>
        <v/>
      </c>
      <c r="J980" s="12" t="str">
        <f>IF(G980="","",G980-I980)</f>
        <v/>
      </c>
      <c r="K980" s="13" t="str">
        <f>IF(A980="","",YEAR(A980))</f>
        <v/>
      </c>
    </row>
    <row r="981">
      <c r="A981" s="8" t="n"/>
      <c r="B981" s="9" t="n"/>
      <c r="C981" s="10" t="n"/>
      <c r="D981" s="10" t="n"/>
      <c r="E981" s="10" t="n"/>
      <c r="F981" s="10" t="n"/>
      <c r="G981" s="14" t="n"/>
      <c r="H981" s="9" t="n"/>
      <c r="I981" s="12" t="str">
        <f>IF(G981="","",IF(H981="לא",0,ROUND(G981*TaxRate/(1+TaxRate),2)))</f>
        <v/>
      </c>
      <c r="J981" s="12" t="str">
        <f>IF(G981="","",G981-I981)</f>
        <v/>
      </c>
      <c r="K981" s="13" t="str">
        <f>IF(A981="","",YEAR(A981))</f>
        <v/>
      </c>
    </row>
    <row r="982">
      <c r="A982" s="8" t="n"/>
      <c r="B982" s="9" t="n"/>
      <c r="C982" s="10" t="n"/>
      <c r="D982" s="10" t="n"/>
      <c r="E982" s="10" t="n"/>
      <c r="F982" s="10" t="n"/>
      <c r="G982" s="14" t="n"/>
      <c r="H982" s="9" t="n"/>
      <c r="I982" s="12" t="str">
        <f>IF(G982="","",IF(H982="לא",0,ROUND(G982*TaxRate/(1+TaxRate),2)))</f>
        <v/>
      </c>
      <c r="J982" s="12" t="str">
        <f>IF(G982="","",G982-I982)</f>
        <v/>
      </c>
      <c r="K982" s="13" t="str">
        <f>IF(A982="","",YEAR(A982))</f>
        <v/>
      </c>
    </row>
    <row r="983">
      <c r="A983" s="8" t="n"/>
      <c r="B983" s="9" t="n"/>
      <c r="C983" s="10" t="n"/>
      <c r="D983" s="10" t="n"/>
      <c r="E983" s="10" t="n"/>
      <c r="F983" s="10" t="n"/>
      <c r="G983" s="14" t="n"/>
      <c r="H983" s="9" t="n"/>
      <c r="I983" s="12" t="str">
        <f>IF(G983="","",IF(H983="לא",0,ROUND(G983*TaxRate/(1+TaxRate),2)))</f>
        <v/>
      </c>
      <c r="J983" s="12" t="str">
        <f>IF(G983="","",G983-I983)</f>
        <v/>
      </c>
      <c r="K983" s="13" t="str">
        <f>IF(A983="","",YEAR(A983))</f>
        <v/>
      </c>
    </row>
    <row r="984">
      <c r="A984" s="8" t="n"/>
      <c r="B984" s="9" t="n"/>
      <c r="C984" s="10" t="n"/>
      <c r="D984" s="10" t="n"/>
      <c r="E984" s="10" t="n"/>
      <c r="F984" s="10" t="n"/>
      <c r="G984" s="14" t="n"/>
      <c r="H984" s="9" t="n"/>
      <c r="I984" s="12" t="str">
        <f>IF(G984="","",IF(H984="לא",0,ROUND(G984*TaxRate/(1+TaxRate),2)))</f>
        <v/>
      </c>
      <c r="J984" s="12" t="str">
        <f>IF(G984="","",G984-I984)</f>
        <v/>
      </c>
      <c r="K984" s="13" t="str">
        <f>IF(A984="","",YEAR(A984))</f>
        <v/>
      </c>
    </row>
    <row r="985">
      <c r="A985" s="8" t="n"/>
      <c r="B985" s="9" t="n"/>
      <c r="C985" s="10" t="n"/>
      <c r="D985" s="10" t="n"/>
      <c r="E985" s="10" t="n"/>
      <c r="F985" s="10" t="n"/>
      <c r="G985" s="14" t="n"/>
      <c r="H985" s="9" t="n"/>
      <c r="I985" s="12" t="str">
        <f>IF(G985="","",IF(H985="לא",0,ROUND(G985*TaxRate/(1+TaxRate),2)))</f>
        <v/>
      </c>
      <c r="J985" s="12" t="str">
        <f>IF(G985="","",G985-I985)</f>
        <v/>
      </c>
      <c r="K985" s="13" t="str">
        <f>IF(A985="","",YEAR(A985))</f>
        <v/>
      </c>
    </row>
    <row r="986">
      <c r="A986" s="8" t="n"/>
      <c r="B986" s="9" t="n"/>
      <c r="C986" s="10" t="n"/>
      <c r="D986" s="10" t="n"/>
      <c r="E986" s="10" t="n"/>
      <c r="F986" s="10" t="n"/>
      <c r="G986" s="14" t="n"/>
      <c r="H986" s="9" t="n"/>
      <c r="I986" s="12" t="str">
        <f>IF(G986="","",IF(H986="לא",0,ROUND(G986*TaxRate/(1+TaxRate),2)))</f>
        <v/>
      </c>
      <c r="J986" s="12" t="str">
        <f>IF(G986="","",G986-I986)</f>
        <v/>
      </c>
      <c r="K986" s="13" t="str">
        <f>IF(A986="","",YEAR(A986))</f>
        <v/>
      </c>
    </row>
    <row r="987">
      <c r="A987" s="8" t="n"/>
      <c r="B987" s="9" t="n"/>
      <c r="C987" s="10" t="n"/>
      <c r="D987" s="10" t="n"/>
      <c r="E987" s="10" t="n"/>
      <c r="F987" s="10" t="n"/>
      <c r="G987" s="14" t="n"/>
      <c r="H987" s="9" t="n"/>
      <c r="I987" s="12" t="str">
        <f>IF(G987="","",IF(H987="לא",0,ROUND(G987*TaxRate/(1+TaxRate),2)))</f>
        <v/>
      </c>
      <c r="J987" s="12" t="str">
        <f>IF(G987="","",G987-I987)</f>
        <v/>
      </c>
      <c r="K987" s="13" t="str">
        <f>IF(A987="","",YEAR(A987))</f>
        <v/>
      </c>
    </row>
    <row r="988">
      <c r="A988" s="8" t="n"/>
      <c r="B988" s="9" t="n"/>
      <c r="C988" s="10" t="n"/>
      <c r="D988" s="10" t="n"/>
      <c r="E988" s="10" t="n"/>
      <c r="F988" s="10" t="n"/>
      <c r="G988" s="14" t="n"/>
      <c r="H988" s="9" t="n"/>
      <c r="I988" s="12" t="str">
        <f>IF(G988="","",IF(H988="לא",0,ROUND(G988*TaxRate/(1+TaxRate),2)))</f>
        <v/>
      </c>
      <c r="J988" s="12" t="str">
        <f>IF(G988="","",G988-I988)</f>
        <v/>
      </c>
      <c r="K988" s="13" t="str">
        <f>IF(A988="","",YEAR(A988))</f>
        <v/>
      </c>
    </row>
    <row r="989">
      <c r="A989" s="8" t="n"/>
      <c r="B989" s="9" t="n"/>
      <c r="C989" s="10" t="n"/>
      <c r="D989" s="10" t="n"/>
      <c r="E989" s="10" t="n"/>
      <c r="F989" s="10" t="n"/>
      <c r="G989" s="14" t="n"/>
      <c r="H989" s="9" t="n"/>
      <c r="I989" s="12" t="str">
        <f>IF(G989="","",IF(H989="לא",0,ROUND(G989*TaxRate/(1+TaxRate),2)))</f>
        <v/>
      </c>
      <c r="J989" s="12" t="str">
        <f>IF(G989="","",G989-I989)</f>
        <v/>
      </c>
      <c r="K989" s="13" t="str">
        <f>IF(A989="","",YEAR(A989))</f>
        <v/>
      </c>
    </row>
    <row r="990">
      <c r="A990" s="8" t="n"/>
      <c r="B990" s="9" t="n"/>
      <c r="C990" s="10" t="n"/>
      <c r="D990" s="10" t="n"/>
      <c r="E990" s="10" t="n"/>
      <c r="F990" s="10" t="n"/>
      <c r="G990" s="14" t="n"/>
      <c r="H990" s="9" t="n"/>
      <c r="I990" s="12" t="str">
        <f>IF(G990="","",IF(H990="לא",0,ROUND(G990*TaxRate/(1+TaxRate),2)))</f>
        <v/>
      </c>
      <c r="J990" s="12" t="str">
        <f>IF(G990="","",G990-I990)</f>
        <v/>
      </c>
      <c r="K990" s="13" t="str">
        <f>IF(A990="","",YEAR(A990))</f>
        <v/>
      </c>
    </row>
    <row r="991">
      <c r="A991" s="8" t="n"/>
      <c r="B991" s="9" t="n"/>
      <c r="C991" s="10" t="n"/>
      <c r="D991" s="10" t="n"/>
      <c r="E991" s="10" t="n"/>
      <c r="F991" s="10" t="n"/>
      <c r="G991" s="14" t="n"/>
      <c r="H991" s="9" t="n"/>
      <c r="I991" s="12" t="str">
        <f>IF(G991="","",IF(H991="לא",0,ROUND(G991*TaxRate/(1+TaxRate),2)))</f>
        <v/>
      </c>
      <c r="J991" s="12" t="str">
        <f>IF(G991="","",G991-I991)</f>
        <v/>
      </c>
      <c r="K991" s="13" t="str">
        <f>IF(A991="","",YEAR(A991))</f>
        <v/>
      </c>
    </row>
    <row r="992">
      <c r="A992" s="8" t="n"/>
      <c r="B992" s="9" t="n"/>
      <c r="C992" s="10" t="n"/>
      <c r="D992" s="10" t="n"/>
      <c r="E992" s="10" t="n"/>
      <c r="F992" s="10" t="n"/>
      <c r="G992" s="14" t="n"/>
      <c r="H992" s="9" t="n"/>
      <c r="I992" s="12" t="str">
        <f>IF(G992="","",IF(H992="לא",0,ROUND(G992*TaxRate/(1+TaxRate),2)))</f>
        <v/>
      </c>
      <c r="J992" s="12" t="str">
        <f>IF(G992="","",G992-I992)</f>
        <v/>
      </c>
      <c r="K992" s="13" t="str">
        <f>IF(A992="","",YEAR(A992))</f>
        <v/>
      </c>
    </row>
    <row r="993">
      <c r="A993" s="8" t="n"/>
      <c r="B993" s="9" t="n"/>
      <c r="C993" s="10" t="n"/>
      <c r="D993" s="10" t="n"/>
      <c r="E993" s="10" t="n"/>
      <c r="F993" s="10" t="n"/>
      <c r="G993" s="14" t="n"/>
      <c r="H993" s="9" t="n"/>
      <c r="I993" s="12" t="str">
        <f>IF(G993="","",IF(H993="לא",0,ROUND(G993*TaxRate/(1+TaxRate),2)))</f>
        <v/>
      </c>
      <c r="J993" s="12" t="str">
        <f>IF(G993="","",G993-I993)</f>
        <v/>
      </c>
      <c r="K993" s="13" t="str">
        <f>IF(A993="","",YEAR(A993))</f>
        <v/>
      </c>
    </row>
    <row r="994">
      <c r="A994" s="8" t="n"/>
      <c r="B994" s="9" t="n"/>
      <c r="C994" s="10" t="n"/>
      <c r="D994" s="10" t="n"/>
      <c r="E994" s="10" t="n"/>
      <c r="F994" s="10" t="n"/>
      <c r="G994" s="14" t="n"/>
      <c r="H994" s="9" t="n"/>
      <c r="I994" s="12" t="str">
        <f>IF(G994="","",IF(H994="לא",0,ROUND(G994*TaxRate/(1+TaxRate),2)))</f>
        <v/>
      </c>
      <c r="J994" s="12" t="str">
        <f>IF(G994="","",G994-I994)</f>
        <v/>
      </c>
      <c r="K994" s="13" t="str">
        <f>IF(A994="","",YEAR(A994))</f>
        <v/>
      </c>
    </row>
    <row r="995">
      <c r="A995" s="8" t="n"/>
      <c r="B995" s="9" t="n"/>
      <c r="C995" s="10" t="n"/>
      <c r="D995" s="10" t="n"/>
      <c r="E995" s="10" t="n"/>
      <c r="F995" s="10" t="n"/>
      <c r="G995" s="14" t="n"/>
      <c r="H995" s="9" t="n"/>
      <c r="I995" s="12" t="str">
        <f>IF(G995="","",IF(H995="לא",0,ROUND(G995*TaxRate/(1+TaxRate),2)))</f>
        <v/>
      </c>
      <c r="J995" s="12" t="str">
        <f>IF(G995="","",G995-I995)</f>
        <v/>
      </c>
      <c r="K995" s="13" t="str">
        <f>IF(A995="","",YEAR(A995))</f>
        <v/>
      </c>
    </row>
    <row r="996">
      <c r="A996" s="8" t="n"/>
      <c r="B996" s="9" t="n"/>
      <c r="C996" s="10" t="n"/>
      <c r="D996" s="10" t="n"/>
      <c r="E996" s="10" t="n"/>
      <c r="F996" s="10" t="n"/>
      <c r="G996" s="14" t="n"/>
      <c r="H996" s="9" t="n"/>
      <c r="I996" s="12" t="str">
        <f>IF(G996="","",IF(H996="לא",0,ROUND(G996*TaxRate/(1+TaxRate),2)))</f>
        <v/>
      </c>
      <c r="J996" s="12" t="str">
        <f>IF(G996="","",G996-I996)</f>
        <v/>
      </c>
      <c r="K996" s="13" t="str">
        <f>IF(A996="","",YEAR(A996))</f>
        <v/>
      </c>
    </row>
    <row r="997">
      <c r="A997" s="8" t="n"/>
      <c r="B997" s="9" t="n"/>
      <c r="C997" s="10" t="n"/>
      <c r="D997" s="10" t="n"/>
      <c r="E997" s="10" t="n"/>
      <c r="F997" s="10" t="n"/>
      <c r="G997" s="14" t="n"/>
      <c r="H997" s="9" t="n"/>
      <c r="I997" s="12" t="str">
        <f>IF(G997="","",IF(H997="לא",0,ROUND(G997*TaxRate/(1+TaxRate),2)))</f>
        <v/>
      </c>
      <c r="J997" s="12" t="str">
        <f>IF(G997="","",G997-I997)</f>
        <v/>
      </c>
      <c r="K997" s="13" t="str">
        <f>IF(A997="","",YEAR(A997))</f>
        <v/>
      </c>
    </row>
    <row r="998">
      <c r="A998" s="8" t="n"/>
      <c r="B998" s="9" t="n"/>
      <c r="C998" s="10" t="n"/>
      <c r="D998" s="10" t="n"/>
      <c r="E998" s="10" t="n"/>
      <c r="F998" s="10" t="n"/>
      <c r="G998" s="14" t="n"/>
      <c r="H998" s="9" t="n"/>
      <c r="I998" s="12" t="str">
        <f>IF(G998="","",IF(H998="לא",0,ROUND(G998*TaxRate/(1+TaxRate),2)))</f>
        <v/>
      </c>
      <c r="J998" s="12" t="str">
        <f>IF(G998="","",G998-I998)</f>
        <v/>
      </c>
      <c r="K998" s="13" t="str">
        <f>IF(A998="","",YEAR(A998))</f>
        <v/>
      </c>
    </row>
    <row r="999">
      <c r="A999" s="8" t="n"/>
      <c r="B999" s="9" t="n"/>
      <c r="C999" s="10" t="n"/>
      <c r="D999" s="10" t="n"/>
      <c r="E999" s="10" t="n"/>
      <c r="F999" s="10" t="n"/>
      <c r="G999" s="14" t="n"/>
      <c r="H999" s="9" t="n"/>
      <c r="I999" s="12" t="str">
        <f>IF(G999="","",IF(H999="לא",0,ROUND(G999*TaxRate/(1+TaxRate),2)))</f>
        <v/>
      </c>
      <c r="J999" s="12" t="str">
        <f>IF(G999="","",G999-I999)</f>
        <v/>
      </c>
      <c r="K999" s="13" t="str">
        <f>IF(A999="","",YEAR(A999))</f>
        <v/>
      </c>
    </row>
    <row r="1000">
      <c r="A1000" s="8" t="n"/>
      <c r="B1000" s="9" t="n"/>
      <c r="C1000" s="10" t="n"/>
      <c r="D1000" s="10" t="n"/>
      <c r="E1000" s="10" t="n"/>
      <c r="F1000" s="10" t="n"/>
      <c r="G1000" s="14" t="n"/>
      <c r="H1000" s="9" t="n"/>
      <c r="I1000" s="12" t="str">
        <f>IF(G1000="","",IF(H1000="לא",0,ROUND(G1000*TaxRate/(1+TaxRate),2)))</f>
        <v/>
      </c>
      <c r="J1000" s="12" t="str">
        <f>IF(G1000="","",G1000-I1000)</f>
        <v/>
      </c>
      <c r="K1000" s="13" t="str">
        <f>IF(A1000="","",YEAR(A1000))</f>
        <v/>
      </c>
    </row>
    <row r="1001">
      <c r="A1001" s="8" t="n"/>
      <c r="B1001" s="9" t="n"/>
      <c r="C1001" s="10" t="n"/>
      <c r="D1001" s="10" t="n"/>
      <c r="E1001" s="10" t="n"/>
      <c r="F1001" s="10" t="n"/>
      <c r="G1001" s="14" t="n"/>
      <c r="H1001" s="9" t="n"/>
      <c r="I1001" s="12" t="str">
        <f>IF(G1001="","",IF(H1001="לא",0,ROUND(G1001*TaxRate/(1+TaxRate),2)))</f>
        <v/>
      </c>
      <c r="J1001" s="12" t="str">
        <f>IF(G1001="","",G1001-I1001)</f>
        <v/>
      </c>
      <c r="K1001" s="13" t="str">
        <f>IF(A1001="","",YEAR(A1001))</f>
        <v/>
      </c>
    </row>
    <row r="1002">
      <c r="A1002" s="8" t="n"/>
      <c r="B1002" s="9" t="n"/>
      <c r="C1002" s="10" t="n"/>
      <c r="D1002" s="10" t="n"/>
      <c r="E1002" s="10" t="n"/>
      <c r="F1002" s="10" t="n"/>
      <c r="G1002" s="14" t="n"/>
      <c r="H1002" s="9" t="n"/>
      <c r="I1002" s="12" t="str">
        <f>IF(G1002="","",IF(H1002="לא",0,ROUND(G1002*TaxRate/(1+TaxRate),2)))</f>
        <v/>
      </c>
      <c r="J1002" s="12" t="str">
        <f>IF(G1002="","",G1002-I1002)</f>
        <v/>
      </c>
      <c r="K1002" s="13" t="str">
        <f>IF(A1002="","",YEAR(A1002))</f>
        <v/>
      </c>
    </row>
    <row r="1003">
      <c r="A1003" s="8" t="n"/>
      <c r="B1003" s="9" t="n"/>
      <c r="C1003" s="10" t="n"/>
      <c r="D1003" s="10" t="n"/>
      <c r="E1003" s="10" t="n"/>
      <c r="F1003" s="10" t="n"/>
      <c r="G1003" s="14" t="n"/>
      <c r="H1003" s="9" t="n"/>
      <c r="I1003" s="12" t="str">
        <f>IF(G1003="","",IF(H1003="לא",0,ROUND(G1003*TaxRate/(1+TaxRate),2)))</f>
        <v/>
      </c>
      <c r="J1003" s="12" t="str">
        <f>IF(G1003="","",G1003-I1003)</f>
        <v/>
      </c>
      <c r="K1003" s="13" t="str">
        <f>IF(A1003="","",YEAR(A1003))</f>
        <v/>
      </c>
    </row>
    <row r="1004">
      <c r="A1004" s="8" t="n"/>
      <c r="B1004" s="9" t="n"/>
      <c r="C1004" s="10" t="n"/>
      <c r="D1004" s="10" t="n"/>
      <c r="E1004" s="10" t="n"/>
      <c r="F1004" s="10" t="n"/>
      <c r="G1004" s="14" t="n"/>
      <c r="H1004" s="9" t="n"/>
      <c r="I1004" s="12" t="str">
        <f>IF(G1004="","",IF(H1004="לא",0,ROUND(G1004*TaxRate/(1+TaxRate),2)))</f>
        <v/>
      </c>
      <c r="J1004" s="12" t="str">
        <f>IF(G1004="","",G1004-I1004)</f>
        <v/>
      </c>
      <c r="K1004" s="13" t="str">
        <f>IF(A1004="","",YEAR(A1004))</f>
        <v/>
      </c>
    </row>
    <row r="1005">
      <c r="A1005" s="8" t="n"/>
      <c r="B1005" s="9" t="n"/>
      <c r="C1005" s="10" t="n"/>
      <c r="D1005" s="10" t="n"/>
      <c r="E1005" s="10" t="n"/>
      <c r="F1005" s="10" t="n"/>
      <c r="G1005" s="14" t="n"/>
      <c r="H1005" s="9" t="n"/>
      <c r="I1005" s="12" t="str">
        <f>IF(G1005="","",IF(H1005="לא",0,ROUND(G1005*TaxRate/(1+TaxRate),2)))</f>
        <v/>
      </c>
      <c r="J1005" s="12" t="str">
        <f>IF(G1005="","",G1005-I1005)</f>
        <v/>
      </c>
      <c r="K1005" s="13" t="str">
        <f>IF(A1005="","",YEAR(A1005))</f>
        <v/>
      </c>
    </row>
    <row r="1006">
      <c r="A1006" s="8" t="n"/>
      <c r="B1006" s="9" t="n"/>
      <c r="C1006" s="10" t="n"/>
      <c r="D1006" s="10" t="n"/>
      <c r="E1006" s="10" t="n"/>
      <c r="F1006" s="10" t="n"/>
      <c r="G1006" s="14" t="n"/>
      <c r="H1006" s="9" t="n"/>
      <c r="I1006" s="12" t="str">
        <f>IF(G1006="","",IF(H1006="לא",0,ROUND(G1006*TaxRate/(1+TaxRate),2)))</f>
        <v/>
      </c>
      <c r="J1006" s="12" t="str">
        <f>IF(G1006="","",G1006-I1006)</f>
        <v/>
      </c>
      <c r="K1006" s="13" t="str">
        <f>IF(A1006="","",YEAR(A1006))</f>
        <v/>
      </c>
    </row>
    <row r="1007">
      <c r="A1007" s="8" t="n"/>
      <c r="B1007" s="9" t="n"/>
      <c r="C1007" s="10" t="n"/>
      <c r="D1007" s="10" t="n"/>
      <c r="E1007" s="10" t="n"/>
      <c r="F1007" s="10" t="n"/>
      <c r="G1007" s="14" t="n"/>
      <c r="H1007" s="9" t="n"/>
      <c r="I1007" s="12" t="str">
        <f>IF(G1007="","",IF(H1007="לא",0,ROUND(G1007*TaxRate/(1+TaxRate),2)))</f>
        <v/>
      </c>
      <c r="J1007" s="12" t="str">
        <f>IF(G1007="","",G1007-I1007)</f>
        <v/>
      </c>
      <c r="K1007" s="13" t="str">
        <f>IF(A1007="","",YEAR(A1007))</f>
        <v/>
      </c>
    </row>
  </sheetData>
  <autoFilter ref="A7:K1007"/>
  <mergeCells count="4">
    <mergeCell ref="A4:B4"/>
    <mergeCell ref="A1:J1"/>
    <mergeCell ref="F4"/>
    <mergeCell ref="A2:J2"/>
  </mergeCells>
  <conditionalFormatting sqref="G4">
    <cfRule type="cellIs" priority="1" operator="lessThan" dxfId="0">
      <formula>0</formula>
    </cfRule>
  </conditionalFormatting>
  <conditionalFormatting sqref="B8:B1007">
    <cfRule type="expression" priority="2" dxfId="1">
      <formula>B8="הכנסה"</formula>
    </cfRule>
    <cfRule type="expression" priority="3" dxfId="0">
      <formula>B8="הוצאה"</formula>
    </cfRule>
  </conditionalFormatting>
  <dataValidations count="4">
    <dataValidation sqref="B8:B1007" showDropDown="0" showInputMessage="0" showErrorMessage="0" allowBlank="1" errorTitle="ערך לא ברשימה" error="יש לבחור מהרשימה (אפשר לערוך אותה בגיליון הרשימות)" type="list" errorStyle="warning">
      <formula1>"הכנסה,הוצאה"</formula1>
    </dataValidation>
    <dataValidation sqref="C8:C1007" showDropDown="0" showInputMessage="0" showErrorMessage="0" allowBlank="1" errorTitle="ערך לא ברשימה" error="יש לבחור מהרשימה (אפשר לערוך אותה בגיליון הרשימות)" type="list" errorStyle="warning">
      <formula1>=IF($B8="הוצאה",ExpCats,IncCats)</formula1>
    </dataValidation>
    <dataValidation sqref="H8:H1007" showDropDown="0" showInputMessage="0" showErrorMessage="0" allowBlank="1" errorTitle="ערך לא ברשימה" error="יש לבחור מהרשימה (אפשר לערוך אותה בגיליון הרשימות)" type="list" errorStyle="warning">
      <formula1>"כן,לא"</formula1>
    </dataValidation>
    <dataValidation sqref="G8:G1007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rightToLeft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1" t="inlineStr">
        <is>
          <t>סיכום חודשי — הכנסות, הוצאות, רווח ומע״מ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הכול מחושב מהיומן לפי השנה שבהגדרות. מע״מ לתשלום = מע״מ על ההכנסות פחות מע״מ על ההוצאות.</t>
        </is>
      </c>
    </row>
    <row r="4" ht="32" customHeight="1">
      <c r="A4" s="7" t="inlineStr">
        <is>
          <t>חודש</t>
        </is>
      </c>
      <c r="B4" s="7" t="inlineStr">
        <is>
          <t>הכנסות (₪)</t>
        </is>
      </c>
      <c r="C4" s="7" t="inlineStr">
        <is>
          <t>הוצאות (₪)</t>
        </is>
      </c>
      <c r="D4" s="7" t="inlineStr">
        <is>
          <t>רווח (₪)</t>
        </is>
      </c>
      <c r="E4" s="7" t="inlineStr">
        <is>
          <t>% רווח</t>
        </is>
      </c>
      <c r="F4" s="7" t="inlineStr">
        <is>
          <t>מע״מ עסקאות (₪)</t>
        </is>
      </c>
      <c r="G4" s="7" t="inlineStr">
        <is>
          <t>מע״מ תשומות (₪)</t>
        </is>
      </c>
      <c r="H4" s="7" t="inlineStr">
        <is>
          <t>מע״מ לתשלום (₪)</t>
        </is>
      </c>
    </row>
    <row r="5">
      <c r="A5" s="15" t="inlineStr">
        <is>
          <t>ינואר</t>
        </is>
      </c>
      <c r="B5" s="16">
        <f>SUMIFS('יומן'!$J$8:$J$1007,'יומן'!$B$8:$B$1007,"הכנסה",'יומן'!$A$8:$A$1007,"&gt;="&amp;DATE(Year,1,1),'יומן'!$A$8:$A$1007,"&lt;"&amp;DATE(Year,2,1))</f>
        <v>11000</v>
      </c>
      <c r="C5" s="16">
        <f>SUMIFS('יומן'!$J$8:$J$1007,'יומן'!$B$8:$B$1007,"הוצאה",'יומן'!$A$8:$A$1007,"&gt;="&amp;DATE(Year,1,1),'יומן'!$A$8:$A$1007,"&lt;"&amp;DATE(Year,2,1))</f>
        <v>3559</v>
      </c>
      <c r="D5" s="17">
        <f>B5-C5</f>
        <v>7441</v>
      </c>
      <c r="E5" s="18">
        <f>IF(B5=0,"",D5/B5)</f>
        <v>0.676454545454545</v>
      </c>
      <c r="F5" s="16">
        <f>SUMIFS('יומן'!$I$8:$I$1007,'יומן'!$B$8:$B$1007,"הכנסה",'יומן'!$A$8:$A$1007,"&gt;="&amp;DATE(Year,1,1),'יומן'!$A$8:$A$1007,"&lt;"&amp;DATE(Year,2,1))</f>
        <v>1980</v>
      </c>
      <c r="G5" s="16">
        <f>SUMIFS('יומן'!$I$8:$I$1007,'יומן'!$B$8:$B$1007,"הוצאה",'יומן'!$A$8:$A$1007,"&gt;="&amp;DATE(Year,1,1),'יומן'!$A$8:$A$1007,"&lt;"&amp;DATE(Year,2,1))</f>
        <v>90</v>
      </c>
      <c r="H5" s="17">
        <f>F5-G5</f>
        <v>1890</v>
      </c>
    </row>
    <row r="6">
      <c r="A6" s="15" t="inlineStr">
        <is>
          <t>פברואר</t>
        </is>
      </c>
      <c r="B6" s="16">
        <f>SUMIFS('יומן'!$J$8:$J$1007,'יומן'!$B$8:$B$1007,"הכנסה",'יומן'!$A$8:$A$1007,"&gt;="&amp;DATE(Year,2,1),'יומן'!$A$8:$A$1007,"&lt;"&amp;DATE(Year,3,1))</f>
        <v>6000</v>
      </c>
      <c r="C6" s="16">
        <f>SUMIFS('יומן'!$J$8:$J$1007,'יומן'!$B$8:$B$1007,"הוצאה",'יומן'!$A$8:$A$1007,"&gt;="&amp;DATE(Year,2,1),'יומן'!$A$8:$A$1007,"&lt;"&amp;DATE(Year,3,1))</f>
        <v>3600</v>
      </c>
      <c r="D6" s="17">
        <f>B6-C6</f>
        <v>2400</v>
      </c>
      <c r="E6" s="18">
        <f>IF(B6=0,"",D6/B6)</f>
        <v>0.4</v>
      </c>
      <c r="F6" s="16">
        <f>SUMIFS('יומן'!$I$8:$I$1007,'יומן'!$B$8:$B$1007,"הכנסה",'יומן'!$A$8:$A$1007,"&gt;="&amp;DATE(Year,2,1),'יומן'!$A$8:$A$1007,"&lt;"&amp;DATE(Year,3,1))</f>
        <v>1080</v>
      </c>
      <c r="G6" s="16">
        <f>SUMIFS('יומן'!$I$8:$I$1007,'יומן'!$B$8:$B$1007,"הוצאה",'יומן'!$A$8:$A$1007,"&gt;="&amp;DATE(Year,2,1),'יומן'!$A$8:$A$1007,"&lt;"&amp;DATE(Year,3,1))</f>
        <v>108</v>
      </c>
      <c r="H6" s="17">
        <f>F6-G6</f>
        <v>972</v>
      </c>
    </row>
    <row r="7">
      <c r="A7" s="15" t="inlineStr">
        <is>
          <t>מרץ</t>
        </is>
      </c>
      <c r="B7" s="16">
        <f>SUMIFS('יומן'!$J$8:$J$1007,'יומן'!$B$8:$B$1007,"הכנסה",'יומן'!$A$8:$A$1007,"&gt;="&amp;DATE(Year,3,1),'יומן'!$A$8:$A$1007,"&lt;"&amp;DATE(Year,4,1))</f>
        <v>0</v>
      </c>
      <c r="C7" s="16">
        <f>SUMIFS('יומן'!$J$8:$J$1007,'יומן'!$B$8:$B$1007,"הוצאה",'יומן'!$A$8:$A$1007,"&gt;="&amp;DATE(Year,3,1),'יומן'!$A$8:$A$1007,"&lt;"&amp;DATE(Year,4,1))</f>
        <v>0</v>
      </c>
      <c r="D7" s="17">
        <f>B7-C7</f>
        <v>0</v>
      </c>
      <c r="E7" s="18" t="str">
        <f>IF(B7=0,"",D7/B7)</f>
        <v/>
      </c>
      <c r="F7" s="16">
        <f>SUMIFS('יומן'!$I$8:$I$1007,'יומן'!$B$8:$B$1007,"הכנסה",'יומן'!$A$8:$A$1007,"&gt;="&amp;DATE(Year,3,1),'יומן'!$A$8:$A$1007,"&lt;"&amp;DATE(Year,4,1))</f>
        <v>0</v>
      </c>
      <c r="G7" s="16">
        <f>SUMIFS('יומן'!$I$8:$I$1007,'יומן'!$B$8:$B$1007,"הוצאה",'יומן'!$A$8:$A$1007,"&gt;="&amp;DATE(Year,3,1),'יומן'!$A$8:$A$1007,"&lt;"&amp;DATE(Year,4,1))</f>
        <v>0</v>
      </c>
      <c r="H7" s="17">
        <f>F7-G7</f>
        <v>0</v>
      </c>
    </row>
    <row r="8">
      <c r="A8" s="15" t="inlineStr">
        <is>
          <t>אפריל</t>
        </is>
      </c>
      <c r="B8" s="16">
        <f>SUMIFS('יומן'!$J$8:$J$1007,'יומן'!$B$8:$B$1007,"הכנסה",'יומן'!$A$8:$A$1007,"&gt;="&amp;DATE(Year,4,1),'יומן'!$A$8:$A$1007,"&lt;"&amp;DATE(Year,5,1))</f>
        <v>0</v>
      </c>
      <c r="C8" s="16">
        <f>SUMIFS('יומן'!$J$8:$J$1007,'יומן'!$B$8:$B$1007,"הוצאה",'יומן'!$A$8:$A$1007,"&gt;="&amp;DATE(Year,4,1),'יומן'!$A$8:$A$1007,"&lt;"&amp;DATE(Year,5,1))</f>
        <v>0</v>
      </c>
      <c r="D8" s="17">
        <f>B8-C8</f>
        <v>0</v>
      </c>
      <c r="E8" s="18" t="str">
        <f>IF(B8=0,"",D8/B8)</f>
        <v/>
      </c>
      <c r="F8" s="16">
        <f>SUMIFS('יומן'!$I$8:$I$1007,'יומן'!$B$8:$B$1007,"הכנסה",'יומן'!$A$8:$A$1007,"&gt;="&amp;DATE(Year,4,1),'יומן'!$A$8:$A$1007,"&lt;"&amp;DATE(Year,5,1))</f>
        <v>0</v>
      </c>
      <c r="G8" s="16">
        <f>SUMIFS('יומן'!$I$8:$I$1007,'יומן'!$B$8:$B$1007,"הוצאה",'יומן'!$A$8:$A$1007,"&gt;="&amp;DATE(Year,4,1),'יומן'!$A$8:$A$1007,"&lt;"&amp;DATE(Year,5,1))</f>
        <v>0</v>
      </c>
      <c r="H8" s="17">
        <f>F8-G8</f>
        <v>0</v>
      </c>
    </row>
    <row r="9">
      <c r="A9" s="15" t="inlineStr">
        <is>
          <t>מאי</t>
        </is>
      </c>
      <c r="B9" s="16">
        <f>SUMIFS('יומן'!$J$8:$J$1007,'יומן'!$B$8:$B$1007,"הכנסה",'יומן'!$A$8:$A$1007,"&gt;="&amp;DATE(Year,5,1),'יומן'!$A$8:$A$1007,"&lt;"&amp;DATE(Year,6,1))</f>
        <v>0</v>
      </c>
      <c r="C9" s="16">
        <f>SUMIFS('יומן'!$J$8:$J$1007,'יומן'!$B$8:$B$1007,"הוצאה",'יומן'!$A$8:$A$1007,"&gt;="&amp;DATE(Year,5,1),'יומן'!$A$8:$A$1007,"&lt;"&amp;DATE(Year,6,1))</f>
        <v>0</v>
      </c>
      <c r="D9" s="17">
        <f>B9-C9</f>
        <v>0</v>
      </c>
      <c r="E9" s="18" t="str">
        <f>IF(B9=0,"",D9/B9)</f>
        <v/>
      </c>
      <c r="F9" s="16">
        <f>SUMIFS('יומן'!$I$8:$I$1007,'יומן'!$B$8:$B$1007,"הכנסה",'יומן'!$A$8:$A$1007,"&gt;="&amp;DATE(Year,5,1),'יומן'!$A$8:$A$1007,"&lt;"&amp;DATE(Year,6,1))</f>
        <v>0</v>
      </c>
      <c r="G9" s="16">
        <f>SUMIFS('יומן'!$I$8:$I$1007,'יומן'!$B$8:$B$1007,"הוצאה",'יומן'!$A$8:$A$1007,"&gt;="&amp;DATE(Year,5,1),'יומן'!$A$8:$A$1007,"&lt;"&amp;DATE(Year,6,1))</f>
        <v>0</v>
      </c>
      <c r="H9" s="17">
        <f>F9-G9</f>
        <v>0</v>
      </c>
    </row>
    <row r="10">
      <c r="A10" s="15" t="inlineStr">
        <is>
          <t>יוני</t>
        </is>
      </c>
      <c r="B10" s="16">
        <f>SUMIFS('יומן'!$J$8:$J$1007,'יומן'!$B$8:$B$1007,"הכנסה",'יומן'!$A$8:$A$1007,"&gt;="&amp;DATE(Year,6,1),'יומן'!$A$8:$A$1007,"&lt;"&amp;DATE(Year,7,1))</f>
        <v>0</v>
      </c>
      <c r="C10" s="16">
        <f>SUMIFS('יומן'!$J$8:$J$1007,'יומן'!$B$8:$B$1007,"הוצאה",'יומן'!$A$8:$A$1007,"&gt;="&amp;DATE(Year,6,1),'יומן'!$A$8:$A$1007,"&lt;"&amp;DATE(Year,7,1))</f>
        <v>0</v>
      </c>
      <c r="D10" s="17">
        <f>B10-C10</f>
        <v>0</v>
      </c>
      <c r="E10" s="18" t="str">
        <f>IF(B10=0,"",D10/B10)</f>
        <v/>
      </c>
      <c r="F10" s="16">
        <f>SUMIFS('יומן'!$I$8:$I$1007,'יומן'!$B$8:$B$1007,"הכנסה",'יומן'!$A$8:$A$1007,"&gt;="&amp;DATE(Year,6,1),'יומן'!$A$8:$A$1007,"&lt;"&amp;DATE(Year,7,1))</f>
        <v>0</v>
      </c>
      <c r="G10" s="16">
        <f>SUMIFS('יומן'!$I$8:$I$1007,'יומן'!$B$8:$B$1007,"הוצאה",'יומן'!$A$8:$A$1007,"&gt;="&amp;DATE(Year,6,1),'יומן'!$A$8:$A$1007,"&lt;"&amp;DATE(Year,7,1))</f>
        <v>0</v>
      </c>
      <c r="H10" s="17">
        <f>F10-G10</f>
        <v>0</v>
      </c>
    </row>
    <row r="11">
      <c r="A11" s="15" t="inlineStr">
        <is>
          <t>יולי</t>
        </is>
      </c>
      <c r="B11" s="16">
        <f>SUMIFS('יומן'!$J$8:$J$1007,'יומן'!$B$8:$B$1007,"הכנסה",'יומן'!$A$8:$A$1007,"&gt;="&amp;DATE(Year,7,1),'יומן'!$A$8:$A$1007,"&lt;"&amp;DATE(Year,8,1))</f>
        <v>0</v>
      </c>
      <c r="C11" s="16">
        <f>SUMIFS('יומן'!$J$8:$J$1007,'יומן'!$B$8:$B$1007,"הוצאה",'יומן'!$A$8:$A$1007,"&gt;="&amp;DATE(Year,7,1),'יומן'!$A$8:$A$1007,"&lt;"&amp;DATE(Year,8,1))</f>
        <v>0</v>
      </c>
      <c r="D11" s="17">
        <f>B11-C11</f>
        <v>0</v>
      </c>
      <c r="E11" s="18" t="str">
        <f>IF(B11=0,"",D11/B11)</f>
        <v/>
      </c>
      <c r="F11" s="16">
        <f>SUMIFS('יומן'!$I$8:$I$1007,'יומן'!$B$8:$B$1007,"הכנסה",'יומן'!$A$8:$A$1007,"&gt;="&amp;DATE(Year,7,1),'יומן'!$A$8:$A$1007,"&lt;"&amp;DATE(Year,8,1))</f>
        <v>0</v>
      </c>
      <c r="G11" s="16">
        <f>SUMIFS('יומן'!$I$8:$I$1007,'יומן'!$B$8:$B$1007,"הוצאה",'יומן'!$A$8:$A$1007,"&gt;="&amp;DATE(Year,7,1),'יומן'!$A$8:$A$1007,"&lt;"&amp;DATE(Year,8,1))</f>
        <v>0</v>
      </c>
      <c r="H11" s="17">
        <f>F11-G11</f>
        <v>0</v>
      </c>
    </row>
    <row r="12">
      <c r="A12" s="15" t="inlineStr">
        <is>
          <t>אוגוסט</t>
        </is>
      </c>
      <c r="B12" s="16">
        <f>SUMIFS('יומן'!$J$8:$J$1007,'יומן'!$B$8:$B$1007,"הכנסה",'יומן'!$A$8:$A$1007,"&gt;="&amp;DATE(Year,8,1),'יומן'!$A$8:$A$1007,"&lt;"&amp;DATE(Year,9,1))</f>
        <v>0</v>
      </c>
      <c r="C12" s="16">
        <f>SUMIFS('יומן'!$J$8:$J$1007,'יומן'!$B$8:$B$1007,"הוצאה",'יומן'!$A$8:$A$1007,"&gt;="&amp;DATE(Year,8,1),'יומן'!$A$8:$A$1007,"&lt;"&amp;DATE(Year,9,1))</f>
        <v>0</v>
      </c>
      <c r="D12" s="17">
        <f>B12-C12</f>
        <v>0</v>
      </c>
      <c r="E12" s="18" t="str">
        <f>IF(B12=0,"",D12/B12)</f>
        <v/>
      </c>
      <c r="F12" s="16">
        <f>SUMIFS('יומן'!$I$8:$I$1007,'יומן'!$B$8:$B$1007,"הכנסה",'יומן'!$A$8:$A$1007,"&gt;="&amp;DATE(Year,8,1),'יומן'!$A$8:$A$1007,"&lt;"&amp;DATE(Year,9,1))</f>
        <v>0</v>
      </c>
      <c r="G12" s="16">
        <f>SUMIFS('יומן'!$I$8:$I$1007,'יומן'!$B$8:$B$1007,"הוצאה",'יומן'!$A$8:$A$1007,"&gt;="&amp;DATE(Year,8,1),'יומן'!$A$8:$A$1007,"&lt;"&amp;DATE(Year,9,1))</f>
        <v>0</v>
      </c>
      <c r="H12" s="17">
        <f>F12-G12</f>
        <v>0</v>
      </c>
    </row>
    <row r="13">
      <c r="A13" s="15" t="inlineStr">
        <is>
          <t>ספטמבר</t>
        </is>
      </c>
      <c r="B13" s="16">
        <f>SUMIFS('יומן'!$J$8:$J$1007,'יומן'!$B$8:$B$1007,"הכנסה",'יומן'!$A$8:$A$1007,"&gt;="&amp;DATE(Year,9,1),'יומן'!$A$8:$A$1007,"&lt;"&amp;DATE(Year,10,1))</f>
        <v>0</v>
      </c>
      <c r="C13" s="16">
        <f>SUMIFS('יומן'!$J$8:$J$1007,'יומן'!$B$8:$B$1007,"הוצאה",'יומן'!$A$8:$A$1007,"&gt;="&amp;DATE(Year,9,1),'יומן'!$A$8:$A$1007,"&lt;"&amp;DATE(Year,10,1))</f>
        <v>0</v>
      </c>
      <c r="D13" s="17">
        <f>B13-C13</f>
        <v>0</v>
      </c>
      <c r="E13" s="18" t="str">
        <f>IF(B13=0,"",D13/B13)</f>
        <v/>
      </c>
      <c r="F13" s="16">
        <f>SUMIFS('יומן'!$I$8:$I$1007,'יומן'!$B$8:$B$1007,"הכנסה",'יומן'!$A$8:$A$1007,"&gt;="&amp;DATE(Year,9,1),'יומן'!$A$8:$A$1007,"&lt;"&amp;DATE(Year,10,1))</f>
        <v>0</v>
      </c>
      <c r="G13" s="16">
        <f>SUMIFS('יומן'!$I$8:$I$1007,'יומן'!$B$8:$B$1007,"הוצאה",'יומן'!$A$8:$A$1007,"&gt;="&amp;DATE(Year,9,1),'יומן'!$A$8:$A$1007,"&lt;"&amp;DATE(Year,10,1))</f>
        <v>0</v>
      </c>
      <c r="H13" s="17">
        <f>F13-G13</f>
        <v>0</v>
      </c>
    </row>
    <row r="14">
      <c r="A14" s="15" t="inlineStr">
        <is>
          <t>אוקטובר</t>
        </is>
      </c>
      <c r="B14" s="16">
        <f>SUMIFS('יומן'!$J$8:$J$1007,'יומן'!$B$8:$B$1007,"הכנסה",'יומן'!$A$8:$A$1007,"&gt;="&amp;DATE(Year,10,1),'יומן'!$A$8:$A$1007,"&lt;"&amp;DATE(Year,11,1))</f>
        <v>0</v>
      </c>
      <c r="C14" s="16">
        <f>SUMIFS('יומן'!$J$8:$J$1007,'יומן'!$B$8:$B$1007,"הוצאה",'יומן'!$A$8:$A$1007,"&gt;="&amp;DATE(Year,10,1),'יומן'!$A$8:$A$1007,"&lt;"&amp;DATE(Year,11,1))</f>
        <v>0</v>
      </c>
      <c r="D14" s="17">
        <f>B14-C14</f>
        <v>0</v>
      </c>
      <c r="E14" s="18" t="str">
        <f>IF(B14=0,"",D14/B14)</f>
        <v/>
      </c>
      <c r="F14" s="16">
        <f>SUMIFS('יומן'!$I$8:$I$1007,'יומן'!$B$8:$B$1007,"הכנסה",'יומן'!$A$8:$A$1007,"&gt;="&amp;DATE(Year,10,1),'יומן'!$A$8:$A$1007,"&lt;"&amp;DATE(Year,11,1))</f>
        <v>0</v>
      </c>
      <c r="G14" s="16">
        <f>SUMIFS('יומן'!$I$8:$I$1007,'יומן'!$B$8:$B$1007,"הוצאה",'יומן'!$A$8:$A$1007,"&gt;="&amp;DATE(Year,10,1),'יומן'!$A$8:$A$1007,"&lt;"&amp;DATE(Year,11,1))</f>
        <v>0</v>
      </c>
      <c r="H14" s="17">
        <f>F14-G14</f>
        <v>0</v>
      </c>
    </row>
    <row r="15">
      <c r="A15" s="15" t="inlineStr">
        <is>
          <t>נובמבר</t>
        </is>
      </c>
      <c r="B15" s="16">
        <f>SUMIFS('יומן'!$J$8:$J$1007,'יומן'!$B$8:$B$1007,"הכנסה",'יומן'!$A$8:$A$1007,"&gt;="&amp;DATE(Year,11,1),'יומן'!$A$8:$A$1007,"&lt;"&amp;DATE(Year,12,1))</f>
        <v>0</v>
      </c>
      <c r="C15" s="16">
        <f>SUMIFS('יומן'!$J$8:$J$1007,'יומן'!$B$8:$B$1007,"הוצאה",'יומן'!$A$8:$A$1007,"&gt;="&amp;DATE(Year,11,1),'יומן'!$A$8:$A$1007,"&lt;"&amp;DATE(Year,12,1))</f>
        <v>0</v>
      </c>
      <c r="D15" s="17">
        <f>B15-C15</f>
        <v>0</v>
      </c>
      <c r="E15" s="18" t="str">
        <f>IF(B15=0,"",D15/B15)</f>
        <v/>
      </c>
      <c r="F15" s="16">
        <f>SUMIFS('יומן'!$I$8:$I$1007,'יומן'!$B$8:$B$1007,"הכנסה",'יומן'!$A$8:$A$1007,"&gt;="&amp;DATE(Year,11,1),'יומן'!$A$8:$A$1007,"&lt;"&amp;DATE(Year,12,1))</f>
        <v>0</v>
      </c>
      <c r="G15" s="16">
        <f>SUMIFS('יומן'!$I$8:$I$1007,'יומן'!$B$8:$B$1007,"הוצאה",'יומן'!$A$8:$A$1007,"&gt;="&amp;DATE(Year,11,1),'יומן'!$A$8:$A$1007,"&lt;"&amp;DATE(Year,12,1))</f>
        <v>0</v>
      </c>
      <c r="H15" s="17">
        <f>F15-G15</f>
        <v>0</v>
      </c>
    </row>
    <row r="16">
      <c r="A16" s="15" t="inlineStr">
        <is>
          <t>דצמבר</t>
        </is>
      </c>
      <c r="B16" s="16">
        <f>SUMIFS('יומן'!$J$8:$J$1007,'יומן'!$B$8:$B$1007,"הכנסה",'יומן'!$A$8:$A$1007,"&gt;="&amp;DATE(Year,12,1),'יומן'!$A$8:$A$1007,"&lt;"&amp;DATE(Year,13,1))</f>
        <v>0</v>
      </c>
      <c r="C16" s="16">
        <f>SUMIFS('יומן'!$J$8:$J$1007,'יומן'!$B$8:$B$1007,"הוצאה",'יומן'!$A$8:$A$1007,"&gt;="&amp;DATE(Year,12,1),'יומן'!$A$8:$A$1007,"&lt;"&amp;DATE(Year,13,1))</f>
        <v>0</v>
      </c>
      <c r="D16" s="17">
        <f>B16-C16</f>
        <v>0</v>
      </c>
      <c r="E16" s="18" t="str">
        <f>IF(B16=0,"",D16/B16)</f>
        <v/>
      </c>
      <c r="F16" s="16">
        <f>SUMIFS('יומן'!$I$8:$I$1007,'יומן'!$B$8:$B$1007,"הכנסה",'יומן'!$A$8:$A$1007,"&gt;="&amp;DATE(Year,12,1),'יומן'!$A$8:$A$1007,"&lt;"&amp;DATE(Year,13,1))</f>
        <v>0</v>
      </c>
      <c r="G16" s="16">
        <f>SUMIFS('יומן'!$I$8:$I$1007,'יומן'!$B$8:$B$1007,"הוצאה",'יומן'!$A$8:$A$1007,"&gt;="&amp;DATE(Year,12,1),'יומן'!$A$8:$A$1007,"&lt;"&amp;DATE(Year,13,1))</f>
        <v>0</v>
      </c>
      <c r="H16" s="17">
        <f>F16-G16</f>
        <v>0</v>
      </c>
    </row>
    <row r="17">
      <c r="A17" s="4" t="inlineStr">
        <is>
          <t>סה״כ שנה</t>
        </is>
      </c>
      <c r="B17" s="19">
        <f>SUM(B5:B16)</f>
        <v>17000</v>
      </c>
      <c r="C17" s="19">
        <f>SUM(C5:C16)</f>
        <v>7159</v>
      </c>
      <c r="D17" s="19">
        <f>SUM(D5:D16)</f>
        <v>9841</v>
      </c>
      <c r="E17" s="20">
        <f>IF(B17=0,"",D17/B17)</f>
        <v>0.578882352941177</v>
      </c>
      <c r="F17" s="19">
        <f>SUM(F5:F16)</f>
        <v>3060</v>
      </c>
      <c r="G17" s="19">
        <f>SUM(G5:G16)</f>
        <v>198</v>
      </c>
      <c r="H17" s="19">
        <f>SUM(H5:H16)</f>
        <v>2862</v>
      </c>
    </row>
    <row r="19">
      <c r="A19" s="15" t="inlineStr">
        <is>
          <t>חודש הכי רווחי</t>
        </is>
      </c>
      <c r="B19" s="21" t="str">
        <f>IF(MAX(D5:D16)=0,"—",INDEX(A5:A16,MATCH(MAX(D5:D16),D5:D16,0)))</f>
        <v>ינואר</v>
      </c>
    </row>
    <row r="20">
      <c r="A20" s="15" t="inlineStr">
        <is>
          <t>ממוצע הכנסות לחודש</t>
        </is>
      </c>
      <c r="B20" s="16">
        <f>IFERROR(AVERAGEIF(B5:B16,"&gt;0"),0)</f>
        <v>8500</v>
      </c>
    </row>
  </sheetData>
  <mergeCells count="2">
    <mergeCell ref="A2:H2"/>
    <mergeCell ref="A1:H1"/>
  </mergeCells>
  <conditionalFormatting sqref="D5:D17">
    <cfRule type="cellIs" priority="1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showGridLines="0" rightToLeft="1" zoomScale="10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 ht="34" customHeight="1">
      <c r="A1" s="1" t="inlineStr">
        <is>
          <t>לאן הולך הכסף — לפי קטגוריה</t>
        </is>
      </c>
      <c r="B1" s="2" t="n"/>
      <c r="C1" s="2" t="n"/>
    </row>
    <row r="2" ht="30" customHeight="1">
      <c r="A2" s="3" t="inlineStr">
        <is>
          <t>סיכום השנה (לפי ההגדרות) לכל קטגוריה, לפני מע״מ.</t>
        </is>
      </c>
    </row>
    <row r="4" ht="32" customHeight="1">
      <c r="A4" s="7" t="inlineStr">
        <is>
          <t>קטגוריית הוצאה</t>
        </is>
      </c>
      <c r="B4" s="7" t="inlineStr">
        <is>
          <t>סה״כ (₪)</t>
        </is>
      </c>
      <c r="C4" s="7" t="inlineStr">
        <is>
          <t>% מההוצאות</t>
        </is>
      </c>
    </row>
    <row r="5">
      <c r="A5" s="21" t="str">
        <f>IF('רשימות'!B5="","",'רשימות'!B5)</f>
        <v>שכירות</v>
      </c>
      <c r="B5" s="16">
        <f>IF(A5="","",SUMIFS('יומן'!$J$8:$J$1007,'יומן'!$B$8:$B$1007,"הוצאה",'יומן'!$C$8:$C$1007,A5,'יומן'!$K$8:$K$1007,Year))</f>
        <v>6000</v>
      </c>
      <c r="C5" s="18">
        <f>IF(OR(A5="",SUM($B$5:$B$34)=0),"",B5/SUM($B$5:$B$34))</f>
        <v>0.838105880709596</v>
      </c>
    </row>
    <row r="6">
      <c r="A6" s="21" t="str">
        <f>IF('רשימות'!B6="","",'רשימות'!B6)</f>
        <v>ספקים וחומרים</v>
      </c>
      <c r="B6" s="16">
        <f>IF(A6="","",SUMIFS('יומן'!$J$8:$J$1007,'יומן'!$B$8:$B$1007,"הוצאה",'יומן'!$C$8:$C$1007,A6,'יומן'!$K$8:$K$1007,Year))</f>
        <v>0</v>
      </c>
      <c r="C6" s="18">
        <f>IF(OR(A6="",SUM($B$5:$B$34)=0),"",B6/SUM($B$5:$B$34))</f>
        <v>0</v>
      </c>
    </row>
    <row r="7">
      <c r="A7" s="21" t="str">
        <f>IF('רשימות'!B7="","",'רשימות'!B7)</f>
        <v>שיווק ופרסום</v>
      </c>
      <c r="B7" s="16">
        <f>IF(A7="","",SUMIFS('יומן'!$J$8:$J$1007,'יומן'!$B$8:$B$1007,"הוצאה",'יומן'!$C$8:$C$1007,A7,'יומן'!$K$8:$K$1007,Year))</f>
        <v>500</v>
      </c>
      <c r="C7" s="18">
        <f>IF(OR(A7="",SUM($B$5:$B$34)=0),"",B7/SUM($B$5:$B$34))</f>
        <v>0.0698421567257997</v>
      </c>
    </row>
    <row r="8">
      <c r="A8" s="21" t="str">
        <f>IF('רשימות'!B8="","",'רשימות'!B8)</f>
        <v>תוכנות ומנויים</v>
      </c>
      <c r="B8" s="16">
        <f>IF(A8="","",SUMIFS('יומן'!$J$8:$J$1007,'יומן'!$B$8:$B$1007,"הוצאה",'יומן'!$C$8:$C$1007,A8,'יומן'!$K$8:$K$1007,Year))</f>
        <v>59</v>
      </c>
      <c r="C8" s="18">
        <f>IF(OR(A8="",SUM($B$5:$B$34)=0),"",B8/SUM($B$5:$B$34))</f>
        <v>0.00824137449364436</v>
      </c>
    </row>
    <row r="9">
      <c r="A9" s="21" t="str">
        <f>IF('רשימות'!B9="","",'רשימות'!B9)</f>
        <v>רכב ונסיעות</v>
      </c>
      <c r="B9" s="16">
        <f>IF(A9="","",SUMIFS('יומן'!$J$8:$J$1007,'יומן'!$B$8:$B$1007,"הוצאה",'יומן'!$C$8:$C$1007,A9,'יומן'!$K$8:$K$1007,Year))</f>
        <v>0</v>
      </c>
      <c r="C9" s="18">
        <f>IF(OR(A9="",SUM($B$5:$B$34)=0),"",B9/SUM($B$5:$B$34))</f>
        <v>0</v>
      </c>
    </row>
    <row r="10">
      <c r="A10" s="21" t="str">
        <f>IF('רשימות'!B10="","",'רשימות'!B10)</f>
        <v>שכר ועובדים</v>
      </c>
      <c r="B10" s="16">
        <f>IF(A10="","",SUMIFS('יומן'!$J$8:$J$1007,'יומן'!$B$8:$B$1007,"הוצאה",'יומן'!$C$8:$C$1007,A10,'יומן'!$K$8:$K$1007,Year))</f>
        <v>0</v>
      </c>
      <c r="C10" s="18">
        <f>IF(OR(A10="",SUM($B$5:$B$34)=0),"",B10/SUM($B$5:$B$34))</f>
        <v>0</v>
      </c>
    </row>
    <row r="11">
      <c r="A11" s="21" t="str">
        <f>IF('רשימות'!B11="","",'רשימות'!B11)</f>
        <v>ייעוץ מקצועי</v>
      </c>
      <c r="B11" s="16">
        <f>IF(A11="","",SUMIFS('יומן'!$J$8:$J$1007,'יומן'!$B$8:$B$1007,"הוצאה",'יומן'!$C$8:$C$1007,A11,'יומן'!$K$8:$K$1007,Year))</f>
        <v>600</v>
      </c>
      <c r="C11" s="18">
        <f>IF(OR(A11="",SUM($B$5:$B$34)=0),"",B11/SUM($B$5:$B$34))</f>
        <v>0.0838105880709596</v>
      </c>
    </row>
    <row r="12">
      <c r="A12" s="21" t="str">
        <f>IF('רשימות'!B12="","",'רשימות'!B12)</f>
        <v>ציוד</v>
      </c>
      <c r="B12" s="16">
        <f>IF(A12="","",SUMIFS('יומן'!$J$8:$J$1007,'יומן'!$B$8:$B$1007,"הוצאה",'יומן'!$C$8:$C$1007,A12,'יומן'!$K$8:$K$1007,Year))</f>
        <v>0</v>
      </c>
      <c r="C12" s="18">
        <f>IF(OR(A12="",SUM($B$5:$B$34)=0),"",B12/SUM($B$5:$B$34))</f>
        <v>0</v>
      </c>
    </row>
    <row r="13">
      <c r="A13" s="21" t="str">
        <f>IF('רשימות'!B13="","",'רשימות'!B13)</f>
        <v>תקשורת</v>
      </c>
      <c r="B13" s="16">
        <f>IF(A13="","",SUMIFS('יומן'!$J$8:$J$1007,'יומן'!$B$8:$B$1007,"הוצאה",'יומן'!$C$8:$C$1007,A13,'יומן'!$K$8:$K$1007,Year))</f>
        <v>0</v>
      </c>
      <c r="C13" s="18">
        <f>IF(OR(A13="",SUM($B$5:$B$34)=0),"",B13/SUM($B$5:$B$34))</f>
        <v>0</v>
      </c>
    </row>
    <row r="14">
      <c r="A14" s="21" t="str">
        <f>IF('רשימות'!B14="","",'רשימות'!B14)</f>
        <v>ביטוחים</v>
      </c>
      <c r="B14" s="16">
        <f>IF(A14="","",SUMIFS('יומן'!$J$8:$J$1007,'יומן'!$B$8:$B$1007,"הוצאה",'יומן'!$C$8:$C$1007,A14,'יומן'!$K$8:$K$1007,Year))</f>
        <v>0</v>
      </c>
      <c r="C14" s="18">
        <f>IF(OR(A14="",SUM($B$5:$B$34)=0),"",B14/SUM($B$5:$B$34))</f>
        <v>0</v>
      </c>
    </row>
    <row r="15">
      <c r="A15" s="21" t="str">
        <f>IF('רשימות'!B15="","",'רשימות'!B15)</f>
        <v>אחר</v>
      </c>
      <c r="B15" s="16">
        <f>IF(A15="","",SUMIFS('יומן'!$J$8:$J$1007,'יומן'!$B$8:$B$1007,"הוצאה",'יומן'!$C$8:$C$1007,A15,'יומן'!$K$8:$K$1007,Year))</f>
        <v>0</v>
      </c>
      <c r="C15" s="18">
        <f>IF(OR(A15="",SUM($B$5:$B$34)=0),"",B15/SUM($B$5:$B$34))</f>
        <v>0</v>
      </c>
    </row>
    <row r="16">
      <c r="A16" s="21" t="str">
        <f>IF('רשימות'!B16="","",'רשימות'!B16)</f>
        <v/>
      </c>
      <c r="B16" s="16" t="str">
        <f>IF(A16="","",SUMIFS('יומן'!$J$8:$J$1007,'יומן'!$B$8:$B$1007,"הוצאה",'יומן'!$C$8:$C$1007,A16,'יומן'!$K$8:$K$1007,Year))</f>
        <v/>
      </c>
      <c r="C16" s="18" t="str">
        <f>IF(OR(A16="",SUM($B$5:$B$34)=0),"",B16/SUM($B$5:$B$34))</f>
        <v/>
      </c>
    </row>
    <row r="17">
      <c r="A17" s="21" t="str">
        <f>IF('רשימות'!B17="","",'רשימות'!B17)</f>
        <v/>
      </c>
      <c r="B17" s="16" t="str">
        <f>IF(A17="","",SUMIFS('יומן'!$J$8:$J$1007,'יומן'!$B$8:$B$1007,"הוצאה",'יומן'!$C$8:$C$1007,A17,'יומן'!$K$8:$K$1007,Year))</f>
        <v/>
      </c>
      <c r="C17" s="18" t="str">
        <f>IF(OR(A17="",SUM($B$5:$B$34)=0),"",B17/SUM($B$5:$B$34))</f>
        <v/>
      </c>
    </row>
    <row r="18">
      <c r="A18" s="21" t="str">
        <f>IF('רשימות'!B18="","",'רשימות'!B18)</f>
        <v/>
      </c>
      <c r="B18" s="16" t="str">
        <f>IF(A18="","",SUMIFS('יומן'!$J$8:$J$1007,'יומן'!$B$8:$B$1007,"הוצאה",'יומן'!$C$8:$C$1007,A18,'יומן'!$K$8:$K$1007,Year))</f>
        <v/>
      </c>
      <c r="C18" s="18" t="str">
        <f>IF(OR(A18="",SUM($B$5:$B$34)=0),"",B18/SUM($B$5:$B$34))</f>
        <v/>
      </c>
    </row>
    <row r="19">
      <c r="A19" s="21" t="str">
        <f>IF('רשימות'!B19="","",'רשימות'!B19)</f>
        <v/>
      </c>
      <c r="B19" s="16" t="str">
        <f>IF(A19="","",SUMIFS('יומן'!$J$8:$J$1007,'יומן'!$B$8:$B$1007,"הוצאה",'יומן'!$C$8:$C$1007,A19,'יומן'!$K$8:$K$1007,Year))</f>
        <v/>
      </c>
      <c r="C19" s="18" t="str">
        <f>IF(OR(A19="",SUM($B$5:$B$34)=0),"",B19/SUM($B$5:$B$34))</f>
        <v/>
      </c>
    </row>
    <row r="20">
      <c r="A20" s="21" t="str">
        <f>IF('רשימות'!B20="","",'רשימות'!B20)</f>
        <v/>
      </c>
      <c r="B20" s="16" t="str">
        <f>IF(A20="","",SUMIFS('יומן'!$J$8:$J$1007,'יומן'!$B$8:$B$1007,"הוצאה",'יומן'!$C$8:$C$1007,A20,'יומן'!$K$8:$K$1007,Year))</f>
        <v/>
      </c>
      <c r="C20" s="18" t="str">
        <f>IF(OR(A20="",SUM($B$5:$B$34)=0),"",B20/SUM($B$5:$B$34))</f>
        <v/>
      </c>
    </row>
    <row r="21">
      <c r="A21" s="21" t="str">
        <f>IF('רשימות'!B21="","",'רשימות'!B21)</f>
        <v/>
      </c>
      <c r="B21" s="16" t="str">
        <f>IF(A21="","",SUMIFS('יומן'!$J$8:$J$1007,'יומן'!$B$8:$B$1007,"הוצאה",'יומן'!$C$8:$C$1007,A21,'יומן'!$K$8:$K$1007,Year))</f>
        <v/>
      </c>
      <c r="C21" s="18" t="str">
        <f>IF(OR(A21="",SUM($B$5:$B$34)=0),"",B21/SUM($B$5:$B$34))</f>
        <v/>
      </c>
    </row>
    <row r="22">
      <c r="A22" s="21" t="str">
        <f>IF('רשימות'!B22="","",'רשימות'!B22)</f>
        <v/>
      </c>
      <c r="B22" s="16" t="str">
        <f>IF(A22="","",SUMIFS('יומן'!$J$8:$J$1007,'יומן'!$B$8:$B$1007,"הוצאה",'יומן'!$C$8:$C$1007,A22,'יומן'!$K$8:$K$1007,Year))</f>
        <v/>
      </c>
      <c r="C22" s="18" t="str">
        <f>IF(OR(A22="",SUM($B$5:$B$34)=0),"",B22/SUM($B$5:$B$34))</f>
        <v/>
      </c>
    </row>
    <row r="23">
      <c r="A23" s="21" t="str">
        <f>IF('רשימות'!B23="","",'רשימות'!B23)</f>
        <v/>
      </c>
      <c r="B23" s="16" t="str">
        <f>IF(A23="","",SUMIFS('יומן'!$J$8:$J$1007,'יומן'!$B$8:$B$1007,"הוצאה",'יומן'!$C$8:$C$1007,A23,'יומן'!$K$8:$K$1007,Year))</f>
        <v/>
      </c>
      <c r="C23" s="18" t="str">
        <f>IF(OR(A23="",SUM($B$5:$B$34)=0),"",B23/SUM($B$5:$B$34))</f>
        <v/>
      </c>
    </row>
    <row r="24">
      <c r="A24" s="21" t="str">
        <f>IF('רשימות'!B24="","",'רשימות'!B24)</f>
        <v/>
      </c>
      <c r="B24" s="16" t="str">
        <f>IF(A24="","",SUMIFS('יומן'!$J$8:$J$1007,'יומן'!$B$8:$B$1007,"הוצאה",'יומן'!$C$8:$C$1007,A24,'יומן'!$K$8:$K$1007,Year))</f>
        <v/>
      </c>
      <c r="C24" s="18" t="str">
        <f>IF(OR(A24="",SUM($B$5:$B$34)=0),"",B24/SUM($B$5:$B$34))</f>
        <v/>
      </c>
    </row>
    <row r="25">
      <c r="A25" s="21" t="str">
        <f>IF('רשימות'!B25="","",'רשימות'!B25)</f>
        <v/>
      </c>
      <c r="B25" s="16" t="str">
        <f>IF(A25="","",SUMIFS('יומן'!$J$8:$J$1007,'יומן'!$B$8:$B$1007,"הוצאה",'יומן'!$C$8:$C$1007,A25,'יומן'!$K$8:$K$1007,Year))</f>
        <v/>
      </c>
      <c r="C25" s="18" t="str">
        <f>IF(OR(A25="",SUM($B$5:$B$34)=0),"",B25/SUM($B$5:$B$34))</f>
        <v/>
      </c>
    </row>
    <row r="26">
      <c r="A26" s="21" t="str">
        <f>IF('רשימות'!B26="","",'רשימות'!B26)</f>
        <v/>
      </c>
      <c r="B26" s="16" t="str">
        <f>IF(A26="","",SUMIFS('יומן'!$J$8:$J$1007,'יומן'!$B$8:$B$1007,"הוצאה",'יומן'!$C$8:$C$1007,A26,'יומן'!$K$8:$K$1007,Year))</f>
        <v/>
      </c>
      <c r="C26" s="18" t="str">
        <f>IF(OR(A26="",SUM($B$5:$B$34)=0),"",B26/SUM($B$5:$B$34))</f>
        <v/>
      </c>
    </row>
    <row r="27">
      <c r="A27" s="21" t="str">
        <f>IF('רשימות'!B27="","",'רשימות'!B27)</f>
        <v/>
      </c>
      <c r="B27" s="16" t="str">
        <f>IF(A27="","",SUMIFS('יומן'!$J$8:$J$1007,'יומן'!$B$8:$B$1007,"הוצאה",'יומן'!$C$8:$C$1007,A27,'יומן'!$K$8:$K$1007,Year))</f>
        <v/>
      </c>
      <c r="C27" s="18" t="str">
        <f>IF(OR(A27="",SUM($B$5:$B$34)=0),"",B27/SUM($B$5:$B$34))</f>
        <v/>
      </c>
    </row>
    <row r="28">
      <c r="A28" s="21" t="str">
        <f>IF('רשימות'!B28="","",'רשימות'!B28)</f>
        <v/>
      </c>
      <c r="B28" s="16" t="str">
        <f>IF(A28="","",SUMIFS('יומן'!$J$8:$J$1007,'יומן'!$B$8:$B$1007,"הוצאה",'יומן'!$C$8:$C$1007,A28,'יומן'!$K$8:$K$1007,Year))</f>
        <v/>
      </c>
      <c r="C28" s="18" t="str">
        <f>IF(OR(A28="",SUM($B$5:$B$34)=0),"",B28/SUM($B$5:$B$34))</f>
        <v/>
      </c>
    </row>
    <row r="29">
      <c r="A29" s="21" t="str">
        <f>IF('רשימות'!B29="","",'רשימות'!B29)</f>
        <v/>
      </c>
      <c r="B29" s="16" t="str">
        <f>IF(A29="","",SUMIFS('יומן'!$J$8:$J$1007,'יומן'!$B$8:$B$1007,"הוצאה",'יומן'!$C$8:$C$1007,A29,'יומן'!$K$8:$K$1007,Year))</f>
        <v/>
      </c>
      <c r="C29" s="18" t="str">
        <f>IF(OR(A29="",SUM($B$5:$B$34)=0),"",B29/SUM($B$5:$B$34))</f>
        <v/>
      </c>
    </row>
    <row r="30">
      <c r="A30" s="21" t="str">
        <f>IF('רשימות'!B30="","",'רשימות'!B30)</f>
        <v/>
      </c>
      <c r="B30" s="16" t="str">
        <f>IF(A30="","",SUMIFS('יומן'!$J$8:$J$1007,'יומן'!$B$8:$B$1007,"הוצאה",'יומן'!$C$8:$C$1007,A30,'יומן'!$K$8:$K$1007,Year))</f>
        <v/>
      </c>
      <c r="C30" s="18" t="str">
        <f>IF(OR(A30="",SUM($B$5:$B$34)=0),"",B30/SUM($B$5:$B$34))</f>
        <v/>
      </c>
    </row>
    <row r="31">
      <c r="A31" s="21" t="str">
        <f>IF('רשימות'!B31="","",'רשימות'!B31)</f>
        <v/>
      </c>
      <c r="B31" s="16" t="str">
        <f>IF(A31="","",SUMIFS('יומן'!$J$8:$J$1007,'יומן'!$B$8:$B$1007,"הוצאה",'יומן'!$C$8:$C$1007,A31,'יומן'!$K$8:$K$1007,Year))</f>
        <v/>
      </c>
      <c r="C31" s="18" t="str">
        <f>IF(OR(A31="",SUM($B$5:$B$34)=0),"",B31/SUM($B$5:$B$34))</f>
        <v/>
      </c>
    </row>
    <row r="32">
      <c r="A32" s="21" t="str">
        <f>IF('רשימות'!B32="","",'רשימות'!B32)</f>
        <v/>
      </c>
      <c r="B32" s="16" t="str">
        <f>IF(A32="","",SUMIFS('יומן'!$J$8:$J$1007,'יומן'!$B$8:$B$1007,"הוצאה",'יומן'!$C$8:$C$1007,A32,'יומן'!$K$8:$K$1007,Year))</f>
        <v/>
      </c>
      <c r="C32" s="18" t="str">
        <f>IF(OR(A32="",SUM($B$5:$B$34)=0),"",B32/SUM($B$5:$B$34))</f>
        <v/>
      </c>
    </row>
    <row r="33">
      <c r="A33" s="21" t="str">
        <f>IF('רשימות'!B33="","",'רשימות'!B33)</f>
        <v/>
      </c>
      <c r="B33" s="16" t="str">
        <f>IF(A33="","",SUMIFS('יומן'!$J$8:$J$1007,'יומן'!$B$8:$B$1007,"הוצאה",'יומן'!$C$8:$C$1007,A33,'יומן'!$K$8:$K$1007,Year))</f>
        <v/>
      </c>
      <c r="C33" s="18" t="str">
        <f>IF(OR(A33="",SUM($B$5:$B$34)=0),"",B33/SUM($B$5:$B$34))</f>
        <v/>
      </c>
    </row>
    <row r="34">
      <c r="A34" s="21" t="str">
        <f>IF('רשימות'!B34="","",'רשימות'!B34)</f>
        <v/>
      </c>
      <c r="B34" s="16" t="str">
        <f>IF(A34="","",SUMIFS('יומן'!$J$8:$J$1007,'יומן'!$B$8:$B$1007,"הוצאה",'יומן'!$C$8:$C$1007,A34,'יומן'!$K$8:$K$1007,Year))</f>
        <v/>
      </c>
      <c r="C34" s="18" t="str">
        <f>IF(OR(A34="",SUM($B$5:$B$34)=0),"",B34/SUM($B$5:$B$34))</f>
        <v/>
      </c>
    </row>
    <row r="37" ht="32" customHeight="1">
      <c r="A37" s="7" t="inlineStr">
        <is>
          <t>קטגוריית הכנסה</t>
        </is>
      </c>
      <c r="B37" s="7" t="inlineStr">
        <is>
          <t>סה״כ (₪)</t>
        </is>
      </c>
      <c r="C37" s="7" t="inlineStr">
        <is>
          <t>% מההכנסות</t>
        </is>
      </c>
    </row>
    <row r="38">
      <c r="A38" s="21" t="str">
        <f>IF('רשימות'!A5="","",'רשימות'!A5)</f>
        <v>מכירות</v>
      </c>
      <c r="B38" s="16">
        <f>IF(A38="","",SUMIFS('יומן'!$J$8:$J$1007,'יומן'!$B$8:$B$1007,"הכנסה",'יומן'!$C$8:$C$1007,A38,'יומן'!$K$8:$K$1007,Year))</f>
        <v>3000</v>
      </c>
      <c r="C38" s="18">
        <f>IF(OR(A38="",SUM($B$38:$B$57)=0),"",B38/SUM($B$38:$B$57))</f>
        <v>0.176470588235294</v>
      </c>
    </row>
    <row r="39">
      <c r="A39" s="21" t="str">
        <f>IF('רשימות'!A6="","",'רשימות'!A6)</f>
        <v>שירותים</v>
      </c>
      <c r="B39" s="16">
        <f>IF(A39="","",SUMIFS('יומן'!$J$8:$J$1007,'יומן'!$B$8:$B$1007,"הכנסה",'יומן'!$C$8:$C$1007,A39,'יומן'!$K$8:$K$1007,Year))</f>
        <v>14000</v>
      </c>
      <c r="C39" s="18">
        <f>IF(OR(A39="",SUM($B$38:$B$57)=0),"",B39/SUM($B$38:$B$57))</f>
        <v>0.823529411764706</v>
      </c>
    </row>
    <row r="40">
      <c r="A40" s="21" t="str">
        <f>IF('רשימות'!A7="","",'רשימות'!A7)</f>
        <v>ריטיינר / מנוי</v>
      </c>
      <c r="B40" s="16">
        <f>IF(A40="","",SUMIFS('יומן'!$J$8:$J$1007,'יומן'!$B$8:$B$1007,"הכנסה",'יומן'!$C$8:$C$1007,A40,'יומן'!$K$8:$K$1007,Year))</f>
        <v>0</v>
      </c>
      <c r="C40" s="18">
        <f>IF(OR(A40="",SUM($B$38:$B$57)=0),"",B40/SUM($B$38:$B$57))</f>
        <v>0</v>
      </c>
    </row>
    <row r="41">
      <c r="A41" s="21" t="str">
        <f>IF('רשימות'!A8="","",'רשימות'!A8)</f>
        <v>הכנסה אחרת</v>
      </c>
      <c r="B41" s="16">
        <f>IF(A41="","",SUMIFS('יומן'!$J$8:$J$1007,'יומן'!$B$8:$B$1007,"הכנסה",'יומן'!$C$8:$C$1007,A41,'יומן'!$K$8:$K$1007,Year))</f>
        <v>0</v>
      </c>
      <c r="C41" s="18">
        <f>IF(OR(A41="",SUM($B$38:$B$57)=0),"",B41/SUM($B$38:$B$57))</f>
        <v>0</v>
      </c>
    </row>
    <row r="42">
      <c r="A42" s="21" t="str">
        <f>IF('רשימות'!A9="","",'רשימות'!A9)</f>
        <v/>
      </c>
      <c r="B42" s="16" t="str">
        <f>IF(A42="","",SUMIFS('יומן'!$J$8:$J$1007,'יומן'!$B$8:$B$1007,"הכנסה",'יומן'!$C$8:$C$1007,A42,'יומן'!$K$8:$K$1007,Year))</f>
        <v/>
      </c>
      <c r="C42" s="18" t="str">
        <f>IF(OR(A42="",SUM($B$38:$B$57)=0),"",B42/SUM($B$38:$B$57))</f>
        <v/>
      </c>
    </row>
    <row r="43">
      <c r="A43" s="21" t="str">
        <f>IF('רשימות'!A10="","",'רשימות'!A10)</f>
        <v/>
      </c>
      <c r="B43" s="16" t="str">
        <f>IF(A43="","",SUMIFS('יומן'!$J$8:$J$1007,'יומן'!$B$8:$B$1007,"הכנסה",'יומן'!$C$8:$C$1007,A43,'יומן'!$K$8:$K$1007,Year))</f>
        <v/>
      </c>
      <c r="C43" s="18" t="str">
        <f>IF(OR(A43="",SUM($B$38:$B$57)=0),"",B43/SUM($B$38:$B$57))</f>
        <v/>
      </c>
    </row>
    <row r="44">
      <c r="A44" s="21" t="str">
        <f>IF('רשימות'!A11="","",'רשימות'!A11)</f>
        <v/>
      </c>
      <c r="B44" s="16" t="str">
        <f>IF(A44="","",SUMIFS('יומן'!$J$8:$J$1007,'יומן'!$B$8:$B$1007,"הכנסה",'יומן'!$C$8:$C$1007,A44,'יומן'!$K$8:$K$1007,Year))</f>
        <v/>
      </c>
      <c r="C44" s="18" t="str">
        <f>IF(OR(A44="",SUM($B$38:$B$57)=0),"",B44/SUM($B$38:$B$57))</f>
        <v/>
      </c>
    </row>
    <row r="45">
      <c r="A45" s="21" t="str">
        <f>IF('רשימות'!A12="","",'רשימות'!A12)</f>
        <v/>
      </c>
      <c r="B45" s="16" t="str">
        <f>IF(A45="","",SUMIFS('יומן'!$J$8:$J$1007,'יומן'!$B$8:$B$1007,"הכנסה",'יומן'!$C$8:$C$1007,A45,'יומן'!$K$8:$K$1007,Year))</f>
        <v/>
      </c>
      <c r="C45" s="18" t="str">
        <f>IF(OR(A45="",SUM($B$38:$B$57)=0),"",B45/SUM($B$38:$B$57))</f>
        <v/>
      </c>
    </row>
    <row r="46">
      <c r="A46" s="21" t="str">
        <f>IF('רשימות'!A13="","",'רשימות'!A13)</f>
        <v/>
      </c>
      <c r="B46" s="16" t="str">
        <f>IF(A46="","",SUMIFS('יומן'!$J$8:$J$1007,'יומן'!$B$8:$B$1007,"הכנסה",'יומן'!$C$8:$C$1007,A46,'יומן'!$K$8:$K$1007,Year))</f>
        <v/>
      </c>
      <c r="C46" s="18" t="str">
        <f>IF(OR(A46="",SUM($B$38:$B$57)=0),"",B46/SUM($B$38:$B$57))</f>
        <v/>
      </c>
    </row>
    <row r="47">
      <c r="A47" s="21" t="str">
        <f>IF('רשימות'!A14="","",'רשימות'!A14)</f>
        <v/>
      </c>
      <c r="B47" s="16" t="str">
        <f>IF(A47="","",SUMIFS('יומן'!$J$8:$J$1007,'יומן'!$B$8:$B$1007,"הכנסה",'יומן'!$C$8:$C$1007,A47,'יומן'!$K$8:$K$1007,Year))</f>
        <v/>
      </c>
      <c r="C47" s="18" t="str">
        <f>IF(OR(A47="",SUM($B$38:$B$57)=0),"",B47/SUM($B$38:$B$57))</f>
        <v/>
      </c>
    </row>
    <row r="48">
      <c r="A48" s="21" t="str">
        <f>IF('רשימות'!A15="","",'רשימות'!A15)</f>
        <v/>
      </c>
      <c r="B48" s="16" t="str">
        <f>IF(A48="","",SUMIFS('יומן'!$J$8:$J$1007,'יומן'!$B$8:$B$1007,"הכנסה",'יומן'!$C$8:$C$1007,A48,'יומן'!$K$8:$K$1007,Year))</f>
        <v/>
      </c>
      <c r="C48" s="18" t="str">
        <f>IF(OR(A48="",SUM($B$38:$B$57)=0),"",B48/SUM($B$38:$B$57))</f>
        <v/>
      </c>
    </row>
    <row r="49">
      <c r="A49" s="21" t="str">
        <f>IF('רשימות'!A16="","",'רשימות'!A16)</f>
        <v/>
      </c>
      <c r="B49" s="16" t="str">
        <f>IF(A49="","",SUMIFS('יומן'!$J$8:$J$1007,'יומן'!$B$8:$B$1007,"הכנסה",'יומן'!$C$8:$C$1007,A49,'יומן'!$K$8:$K$1007,Year))</f>
        <v/>
      </c>
      <c r="C49" s="18" t="str">
        <f>IF(OR(A49="",SUM($B$38:$B$57)=0),"",B49/SUM($B$38:$B$57))</f>
        <v/>
      </c>
    </row>
    <row r="50">
      <c r="A50" s="21" t="str">
        <f>IF('רשימות'!A17="","",'רשימות'!A17)</f>
        <v/>
      </c>
      <c r="B50" s="16" t="str">
        <f>IF(A50="","",SUMIFS('יומן'!$J$8:$J$1007,'יומן'!$B$8:$B$1007,"הכנסה",'יומן'!$C$8:$C$1007,A50,'יומן'!$K$8:$K$1007,Year))</f>
        <v/>
      </c>
      <c r="C50" s="18" t="str">
        <f>IF(OR(A50="",SUM($B$38:$B$57)=0),"",B50/SUM($B$38:$B$57))</f>
        <v/>
      </c>
    </row>
    <row r="51">
      <c r="A51" s="21" t="str">
        <f>IF('רשימות'!A18="","",'רשימות'!A18)</f>
        <v/>
      </c>
      <c r="B51" s="16" t="str">
        <f>IF(A51="","",SUMIFS('יומן'!$J$8:$J$1007,'יומן'!$B$8:$B$1007,"הכנסה",'יומן'!$C$8:$C$1007,A51,'יומן'!$K$8:$K$1007,Year))</f>
        <v/>
      </c>
      <c r="C51" s="18" t="str">
        <f>IF(OR(A51="",SUM($B$38:$B$57)=0),"",B51/SUM($B$38:$B$57))</f>
        <v/>
      </c>
    </row>
    <row r="52">
      <c r="A52" s="21" t="str">
        <f>IF('רשימות'!A19="","",'רשימות'!A19)</f>
        <v/>
      </c>
      <c r="B52" s="16" t="str">
        <f>IF(A52="","",SUMIFS('יומן'!$J$8:$J$1007,'יומן'!$B$8:$B$1007,"הכנסה",'יומן'!$C$8:$C$1007,A52,'יומן'!$K$8:$K$1007,Year))</f>
        <v/>
      </c>
      <c r="C52" s="18" t="str">
        <f>IF(OR(A52="",SUM($B$38:$B$57)=0),"",B52/SUM($B$38:$B$57))</f>
        <v/>
      </c>
    </row>
    <row r="53">
      <c r="A53" s="21" t="str">
        <f>IF('רשימות'!A20="","",'רשימות'!A20)</f>
        <v/>
      </c>
      <c r="B53" s="16" t="str">
        <f>IF(A53="","",SUMIFS('יומן'!$J$8:$J$1007,'יומן'!$B$8:$B$1007,"הכנסה",'יומן'!$C$8:$C$1007,A53,'יומן'!$K$8:$K$1007,Year))</f>
        <v/>
      </c>
      <c r="C53" s="18" t="str">
        <f>IF(OR(A53="",SUM($B$38:$B$57)=0),"",B53/SUM($B$38:$B$57))</f>
        <v/>
      </c>
    </row>
    <row r="54">
      <c r="A54" s="21" t="str">
        <f>IF('רשימות'!A21="","",'רשימות'!A21)</f>
        <v/>
      </c>
      <c r="B54" s="16" t="str">
        <f>IF(A54="","",SUMIFS('יומן'!$J$8:$J$1007,'יומן'!$B$8:$B$1007,"הכנסה",'יומן'!$C$8:$C$1007,A54,'יומן'!$K$8:$K$1007,Year))</f>
        <v/>
      </c>
      <c r="C54" s="18" t="str">
        <f>IF(OR(A54="",SUM($B$38:$B$57)=0),"",B54/SUM($B$38:$B$57))</f>
        <v/>
      </c>
    </row>
    <row r="55">
      <c r="A55" s="21" t="str">
        <f>IF('רשימות'!A22="","",'רשימות'!A22)</f>
        <v/>
      </c>
      <c r="B55" s="16" t="str">
        <f>IF(A55="","",SUMIFS('יומן'!$J$8:$J$1007,'יומן'!$B$8:$B$1007,"הכנסה",'יומן'!$C$8:$C$1007,A55,'יומן'!$K$8:$K$1007,Year))</f>
        <v/>
      </c>
      <c r="C55" s="18" t="str">
        <f>IF(OR(A55="",SUM($B$38:$B$57)=0),"",B55/SUM($B$38:$B$57))</f>
        <v/>
      </c>
    </row>
    <row r="56">
      <c r="A56" s="21" t="str">
        <f>IF('רשימות'!A23="","",'רשימות'!A23)</f>
        <v/>
      </c>
      <c r="B56" s="16" t="str">
        <f>IF(A56="","",SUMIFS('יומן'!$J$8:$J$1007,'יומן'!$B$8:$B$1007,"הכנסה",'יומן'!$C$8:$C$1007,A56,'יומן'!$K$8:$K$1007,Year))</f>
        <v/>
      </c>
      <c r="C56" s="18" t="str">
        <f>IF(OR(A56="",SUM($B$38:$B$57)=0),"",B56/SUM($B$38:$B$57))</f>
        <v/>
      </c>
    </row>
    <row r="57">
      <c r="A57" s="21" t="str">
        <f>IF('רשימות'!A24="","",'רשימות'!A24)</f>
        <v/>
      </c>
      <c r="B57" s="16" t="str">
        <f>IF(A57="","",SUMIFS('יומן'!$J$8:$J$1007,'יומן'!$B$8:$B$1007,"הכנסה",'יומן'!$C$8:$C$1007,A57,'יומן'!$K$8:$K$1007,Year))</f>
        <v/>
      </c>
      <c r="C57" s="18" t="str">
        <f>IF(OR(A57="",SUM($B$38:$B$57)=0),"",B57/SUM($B$38:$B$57))</f>
        <v/>
      </c>
    </row>
  </sheetData>
  <mergeCells count="2">
    <mergeCell ref="A1:C1"/>
    <mergeCell ref="A2:C2"/>
  </mergeCells>
  <conditionalFormatting sqref="C5:C34">
    <cfRule type="dataBar" priority="1">
      <dataBar>
        <cfvo type="num" val="0"/>
        <cfvo type="num" val="1"/>
        <color rgb="005B9B87"/>
      </dataBar>
    </cfRule>
  </conditionalFormatting>
  <conditionalFormatting sqref="C38:C57">
    <cfRule type="dataBar" priority="2">
      <dataBar>
        <cfvo type="num" val="0"/>
        <cfvo type="num" val="1"/>
        <color rgb="005B9B87"/>
      </dataBar>
    </cfRule>
  </conditionalFormatting>
  <printOptions horizontalCentered="1"/>
  <pageMargins left="0.4" right="0.4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rightToLeft="1" zoomScale="10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</cols>
  <sheetData>
    <row r="1" ht="34" customHeight="1">
      <c r="A1" s="1" t="inlineStr">
        <is>
          <t>הכנסות והוצאות לעסק — הגדרות</t>
        </is>
      </c>
      <c r="B1" s="2" t="n"/>
      <c r="C1" s="2" t="n"/>
    </row>
    <row r="2" ht="30" customHeight="1">
      <c r="A2" s="3" t="inlineStr">
        <is>
          <t>ממלאים פעם אחת. בעוסק פטור אין מע״מ — בוחרים ״עוסק פטור״ והמע״מ יתאפס בכל הגיליונות.</t>
        </is>
      </c>
    </row>
    <row r="4">
      <c r="A4" s="15" t="inlineStr">
        <is>
          <t>שם העסק</t>
        </is>
      </c>
      <c r="B4" s="10" t="inlineStr">
        <is>
          <t>שם העסק שלכם</t>
        </is>
      </c>
    </row>
    <row r="5">
      <c r="A5" s="15" t="inlineStr">
        <is>
          <t>שנה</t>
        </is>
      </c>
      <c r="B5" s="22" t="n">
        <v>2027</v>
      </c>
    </row>
    <row r="6">
      <c r="A6" s="15" t="inlineStr">
        <is>
          <t>סוג העסק</t>
        </is>
      </c>
      <c r="B6" s="10" t="inlineStr">
        <is>
          <t>עוסק מורשה</t>
        </is>
      </c>
    </row>
    <row r="7">
      <c r="A7" s="15" t="inlineStr">
        <is>
          <t>שיעור מע״מ</t>
        </is>
      </c>
      <c r="B7" s="23" t="n">
        <v>0.18</v>
      </c>
    </row>
    <row r="8">
      <c r="A8" s="15" t="inlineStr">
        <is>
          <t>מע״מ בפועל (מחושב)</t>
        </is>
      </c>
      <c r="B8" s="20">
        <f>IF(B6="עוסק פטור",0,B7)</f>
        <v>0.18</v>
      </c>
    </row>
    <row r="10" ht="54" customHeight="1">
      <c r="A10" s="24" t="inlineStr">
        <is>
          <t>הסכומים ביומן נרשמים כפי ששולמו (כולל מע״מ). הגיליון מפריד את המע״מ לבד, ומסכם מע״מ עסקאות, מע״מ תשומות והפרש לתשלום. זה כלי מעקב — לא תחליף לרואה חשבון או לדיווח רשמי.</t>
        </is>
      </c>
    </row>
  </sheetData>
  <mergeCells count="3">
    <mergeCell ref="A1:C1"/>
    <mergeCell ref="A2:C2"/>
    <mergeCell ref="A10:C10"/>
  </mergeCells>
  <dataValidations count="1">
    <dataValidation sqref="B6" showDropDown="0" showInputMessage="0" showErrorMessage="0" allowBlank="1" errorTitle="ערך לא ברשימה" error="יש לבחור מהרשימה (אפשר לערוך אותה בגיליון הרשימות)" type="list" errorStyle="warning">
      <formula1>"עוסק מורשה,עוסק פטור,חברה בע״מ"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7" t="inlineStr">
        <is>
          <t>קטגוריות הכנסה</t>
        </is>
      </c>
      <c r="B4" s="7" t="inlineStr">
        <is>
          <t>קטגוריות הוצאה</t>
        </is>
      </c>
    </row>
    <row r="5">
      <c r="A5" s="10" t="inlineStr">
        <is>
          <t>מכירות</t>
        </is>
      </c>
      <c r="B5" s="10" t="inlineStr">
        <is>
          <t>שכירות</t>
        </is>
      </c>
    </row>
    <row r="6">
      <c r="A6" s="10" t="inlineStr">
        <is>
          <t>שירותים</t>
        </is>
      </c>
      <c r="B6" s="10" t="inlineStr">
        <is>
          <t>ספקים וחומרים</t>
        </is>
      </c>
    </row>
    <row r="7">
      <c r="A7" s="10" t="inlineStr">
        <is>
          <t>ריטיינר / מנוי</t>
        </is>
      </c>
      <c r="B7" s="10" t="inlineStr">
        <is>
          <t>שיווק ופרסום</t>
        </is>
      </c>
    </row>
    <row r="8">
      <c r="A8" s="10" t="inlineStr">
        <is>
          <t>הכנסה אחרת</t>
        </is>
      </c>
      <c r="B8" s="10" t="inlineStr">
        <is>
          <t>תוכנות ומנויים</t>
        </is>
      </c>
    </row>
    <row r="9">
      <c r="A9" s="10" t="n"/>
      <c r="B9" s="10" t="inlineStr">
        <is>
          <t>רכב ונסיעות</t>
        </is>
      </c>
    </row>
    <row r="10">
      <c r="A10" s="10" t="n"/>
      <c r="B10" s="10" t="inlineStr">
        <is>
          <t>שכר ועובדים</t>
        </is>
      </c>
    </row>
    <row r="11">
      <c r="A11" s="10" t="n"/>
      <c r="B11" s="10" t="inlineStr">
        <is>
          <t>ייעוץ מקצועי</t>
        </is>
      </c>
    </row>
    <row r="12">
      <c r="A12" s="10" t="n"/>
      <c r="B12" s="10" t="inlineStr">
        <is>
          <t>ציוד</t>
        </is>
      </c>
    </row>
    <row r="13">
      <c r="A13" s="10" t="n"/>
      <c r="B13" s="10" t="inlineStr">
        <is>
          <t>תקשורת</t>
        </is>
      </c>
    </row>
    <row r="14">
      <c r="A14" s="10" t="n"/>
      <c r="B14" s="10" t="inlineStr">
        <is>
          <t>ביטוחים</t>
        </is>
      </c>
    </row>
    <row r="15">
      <c r="A15" s="10" t="n"/>
      <c r="B15" s="10" t="inlineStr">
        <is>
          <t>אחר</t>
        </is>
      </c>
    </row>
    <row r="16">
      <c r="A16" s="10" t="n"/>
      <c r="B16" s="10" t="n"/>
    </row>
    <row r="17">
      <c r="A17" s="10" t="n"/>
      <c r="B17" s="10" t="n"/>
    </row>
    <row r="18">
      <c r="A18" s="10" t="n"/>
      <c r="B18" s="10" t="n"/>
    </row>
    <row r="19">
      <c r="A19" s="10" t="n"/>
      <c r="B19" s="10" t="n"/>
    </row>
    <row r="20">
      <c r="A20" s="10" t="n"/>
      <c r="B20" s="10" t="n"/>
    </row>
    <row r="21">
      <c r="A21" s="10" t="n"/>
      <c r="B21" s="10" t="n"/>
    </row>
    <row r="22">
      <c r="A22" s="10" t="n"/>
      <c r="B22" s="10" t="n"/>
    </row>
    <row r="23">
      <c r="A23" s="10" t="n"/>
      <c r="B23" s="10" t="n"/>
    </row>
    <row r="24">
      <c r="A24" s="10" t="n"/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2026-10-13T06:01:44Z</dcterms:created>
  <dcterms:modified xmlns:dcterms="http://purl.org/dc/terms/" xmlns:xsi="http://www.w3.org/2001/XMLSchema-instance" xsi:type="dcterms:W3CDTF">2026-10-13T06:01:45Z</dcterms:modified>
</cp:coreProperties>
</file>