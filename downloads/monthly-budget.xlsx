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תקציב חודש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₪&quot;;[Red]-#,##0 &quot;₪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color rgb="000000CC"/>
      <sz val="11"/>
    </font>
    <font>
      <name val="Arial"/>
      <b val="1"/>
      <color rgb="00222222"/>
      <sz val="11"/>
    </font>
    <font>
      <name val="Arial"/>
      <b val="1"/>
      <color rgb="00222222"/>
      <sz val="12"/>
    </font>
    <font>
      <name val="Arial"/>
      <b val="1"/>
      <color rgb="00FFFFFF"/>
      <sz val="11"/>
    </font>
    <font>
      <name val="Arial"/>
      <color rgb="00222222"/>
      <sz val="11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9C4"/>
      </patternFill>
    </fill>
    <fill>
      <patternFill patternType="solid">
        <fgColor rgb="00E8F1EE"/>
      </patternFill>
    </fill>
  </fills>
  <borders count="2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right" vertical="center" readingOrder="2"/>
    </xf>
    <xf numFmtId="0" fontId="0" fillId="2" borderId="0" pivotButton="0" quotePrefix="0" xfId="0"/>
    <xf numFmtId="0" fontId="2" fillId="0" borderId="0" applyAlignment="1" pivotButton="0" quotePrefix="0" xfId="0">
      <alignment horizontal="right" vertical="center" wrapText="1" readingOrder="2"/>
    </xf>
    <xf numFmtId="0" fontId="4" fillId="0" borderId="1" applyAlignment="1" pivotButton="0" quotePrefix="0" xfId="0">
      <alignment horizontal="right" vertical="center" readingOrder="2"/>
    </xf>
    <xf numFmtId="0" fontId="3" fillId="3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right" vertical="center" readingOrder="2"/>
    </xf>
    <xf numFmtId="164" fontId="5" fillId="4" borderId="1" applyAlignment="1" pivotButton="0" quotePrefix="0" xfId="0">
      <alignment vertical="center" readingOrder="2"/>
    </xf>
    <xf numFmtId="3" fontId="5" fillId="4" borderId="1" applyAlignment="1" pivotButton="0" quotePrefix="0" xfId="0">
      <alignment vertical="center" readingOrder="2"/>
    </xf>
    <xf numFmtId="0" fontId="6" fillId="2" borderId="1" applyAlignment="1" pivotButton="0" quotePrefix="0" xfId="0">
      <alignment horizontal="center" vertical="center" wrapText="1" readingOrder="2"/>
    </xf>
    <xf numFmtId="0" fontId="3" fillId="3" borderId="1" applyAlignment="1" pivotButton="0" quotePrefix="0" xfId="0">
      <alignment horizontal="center" vertical="center" readingOrder="2"/>
    </xf>
    <xf numFmtId="164" fontId="3" fillId="3" borderId="1" applyAlignment="1" pivotButton="0" quotePrefix="0" xfId="0">
      <alignment vertical="center" readingOrder="2"/>
    </xf>
    <xf numFmtId="164" fontId="7" fillId="0" borderId="1" applyAlignment="1" pivotButton="0" quotePrefix="0" xfId="0">
      <alignment vertical="center" readingOrder="2"/>
    </xf>
    <xf numFmtId="9" fontId="7" fillId="0" borderId="1" applyAlignment="1" pivotButton="0" quotePrefix="0" xfId="0">
      <alignment vertical="center" readingOrder="2"/>
    </xf>
    <xf numFmtId="0" fontId="7" fillId="0" borderId="1" applyAlignment="1" pivotButton="0" quotePrefix="0" xfId="0">
      <alignment horizontal="center" vertical="center" readingOrder="2"/>
    </xf>
    <xf numFmtId="164" fontId="3" fillId="3" borderId="1" applyAlignment="1" pivotButton="0" quotePrefix="0" xfId="0">
      <alignment horizontal="right" vertical="center" readingOrder="2"/>
    </xf>
  </cellXfs>
  <cellStyles count="1">
    <cellStyle name="Normal" xfId="0" builtinId="0" hidden="0"/>
  </cellStyles>
  <dxfs count="3">
    <dxf>
      <font>
        <b val="1"/>
        <color rgb="00B42318"/>
      </font>
      <fill>
        <patternFill patternType="solid">
          <fgColor rgb="00FDE2E1"/>
          <bgColor rgb="00FDE2E1"/>
        </patternFill>
      </fill>
    </dxf>
    <dxf>
      <font>
        <b val="1"/>
        <color rgb="008A5A00"/>
      </font>
      <fill>
        <patternFill patternType="solid">
          <fgColor rgb="00FFF1D6"/>
          <bgColor rgb="00FFF1D6"/>
        </patternFill>
      </fill>
    </dxf>
    <dxf>
      <font>
        <b val="1"/>
        <color rgb="001E6B3A"/>
      </font>
      <fill>
        <patternFill patternType="solid">
          <fgColor rgb="00DCF2E3"/>
          <bgColor rgb="00DCF2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הוצאות: מתוכנן מול בפועל</a:t>
            </a:r>
          </a:p>
        </rich>
      </tx>
    </title>
    <plotArea>
      <barChart>
        <barDir val="col"/>
        <grouping val="clustered"/>
        <ser>
          <idx val="0"/>
          <order val="0"/>
          <tx>
            <v>מתוכנן</v>
          </tx>
          <spPr>
            <a:ln xmlns:a="http://schemas.openxmlformats.org/drawingml/2006/main">
              <a:prstDash val="solid"/>
            </a:ln>
          </spPr>
          <cat>
            <numRef>
              <f>'תקציב חודשי'!$A$15:$A$26</f>
            </numRef>
          </cat>
          <val>
            <numRef>
              <f>'תקציב חודשי'!$C$15:$C$26</f>
            </numRef>
          </val>
        </ser>
        <ser>
          <idx val="1"/>
          <order val="1"/>
          <tx>
            <v>בפועל</v>
          </tx>
          <spPr>
            <a:ln xmlns:a="http://schemas.openxmlformats.org/drawingml/2006/main">
              <a:prstDash val="solid"/>
            </a:ln>
          </spPr>
          <cat>
            <numRef>
              <f>'תקציב חודשי'!$A$15:$A$26</f>
            </numRef>
          </cat>
          <val>
            <numRef>
              <f>'תקציב חודשי'!$D$15:$D$26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10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showGridLines="0" rightToLeft="1" zoomScale="10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5" customWidth="1" min="4" max="4"/>
    <col width="15" customWidth="1" min="5" max="5"/>
    <col width="13" customWidth="1" min="6" max="6"/>
    <col width="14" customWidth="1" min="7" max="7"/>
  </cols>
  <sheetData>
    <row r="1" ht="34" customHeight="1">
      <c r="A1" s="1" t="inlineStr">
        <is>
          <t>תקציב חודשי למשק הבית</t>
        </is>
      </c>
      <c r="B1" s="2" t="n"/>
      <c r="C1" s="2" t="n"/>
      <c r="D1" s="2" t="n"/>
      <c r="E1" s="2" t="n"/>
      <c r="F1" s="2" t="n"/>
      <c r="G1" s="2" t="n"/>
    </row>
    <row r="2" ht="30" customHeight="1">
      <c r="A2" s="3" t="inlineStr">
        <is>
          <t>ממלאים רק את התאים הצהובים: קטגוריה, סוג (הכנסה/הוצאה), כמה תכננתם וכמה יצא בפועל. הסיכום והגרף מתעדכנים לבד.</t>
        </is>
      </c>
    </row>
    <row r="4">
      <c r="A4" s="4" t="inlineStr">
        <is>
          <t>חודש:</t>
        </is>
      </c>
      <c r="B4" s="5" t="inlineStr">
        <is>
          <t>ינואר 2027</t>
        </is>
      </c>
    </row>
    <row r="6">
      <c r="A6" s="6" t="inlineStr">
        <is>
          <t>סה״כ הכנסות בפועל</t>
        </is>
      </c>
      <c r="B6" s="7">
        <f>SUMIF(B12:B41,"הכנסה",D12:D41)</f>
        <v>13800</v>
      </c>
      <c r="C6" s="6" t="inlineStr">
        <is>
          <t>הכנסות מתוכננות</t>
        </is>
      </c>
      <c r="D6" s="7">
        <f>SUMIF(B12:B41,"הכנסה",C12:C41)</f>
        <v>13300</v>
      </c>
    </row>
    <row r="7">
      <c r="A7" s="6" t="inlineStr">
        <is>
          <t>סה״כ הוצאות בפועל</t>
        </is>
      </c>
      <c r="B7" s="7">
        <f>SUMIF(B12:B41,"הוצאה",D12:D41)</f>
        <v>13410</v>
      </c>
      <c r="C7" s="6" t="inlineStr">
        <is>
          <t>הוצאות מתוכננות</t>
        </is>
      </c>
      <c r="D7" s="7">
        <f>SUMIF(B12:B41,"הוצאה",C12:C41)</f>
        <v>13250</v>
      </c>
    </row>
    <row r="8">
      <c r="A8" s="6" t="inlineStr">
        <is>
          <t>נשאר בסוף החודש</t>
        </is>
      </c>
      <c r="B8" s="7">
        <f>B6-B7</f>
        <v>390</v>
      </c>
      <c r="C8" s="6" t="inlineStr">
        <is>
          <t>קטגוריות בחריגה</t>
        </is>
      </c>
      <c r="D8" s="8">
        <f>COUNTIF(G12:G41,"חריגה")</f>
        <v>3</v>
      </c>
    </row>
    <row r="11" ht="32" customHeight="1">
      <c r="A11" s="9" t="inlineStr">
        <is>
          <t>קטגוריה</t>
        </is>
      </c>
      <c r="B11" s="9" t="inlineStr">
        <is>
          <t>סוג</t>
        </is>
      </c>
      <c r="C11" s="9" t="inlineStr">
        <is>
          <t>מתוכנן (₪)</t>
        </is>
      </c>
      <c r="D11" s="9" t="inlineStr">
        <is>
          <t>בפועל (₪)</t>
        </is>
      </c>
      <c r="E11" s="9" t="inlineStr">
        <is>
          <t>הפרש (₪)</t>
        </is>
      </c>
      <c r="F11" s="9" t="inlineStr">
        <is>
          <t>% מהתכנון</t>
        </is>
      </c>
      <c r="G11" s="9" t="inlineStr">
        <is>
          <t>מצב</t>
        </is>
      </c>
    </row>
    <row r="12">
      <c r="A12" s="5" t="inlineStr">
        <is>
          <t>משכורת</t>
        </is>
      </c>
      <c r="B12" s="10" t="inlineStr">
        <is>
          <t>הכנסה</t>
        </is>
      </c>
      <c r="C12" s="11" t="n">
        <v>12000</v>
      </c>
      <c r="D12" s="11" t="n">
        <v>12000</v>
      </c>
      <c r="E12" s="12">
        <f>IF(OR(C12="",D12=""),"",D12-C12)</f>
        <v>0</v>
      </c>
      <c r="F12" s="13">
        <f>IF(OR(C12="",C12=0,D12=""),"",D12/C12)</f>
        <v>1</v>
      </c>
      <c r="G12" s="14" t="str">
        <f>IF(OR(B12="",D12=""),"",IF(B12="הוצאה",IF(D12&gt;C12,"חריגה","בתקציב"),IF(D12&lt;C12,"מתחת לצפי","תקין")))</f>
        <v>תקין</v>
      </c>
    </row>
    <row r="13">
      <c r="A13" s="5" t="inlineStr">
        <is>
          <t>הכנסה נוספת</t>
        </is>
      </c>
      <c r="B13" s="10" t="inlineStr">
        <is>
          <t>הכנסה</t>
        </is>
      </c>
      <c r="C13" s="11" t="n">
        <v>1000</v>
      </c>
      <c r="D13" s="11" t="n">
        <v>1500</v>
      </c>
      <c r="E13" s="12">
        <f>IF(OR(C13="",D13=""),"",D13-C13)</f>
        <v>500</v>
      </c>
      <c r="F13" s="13">
        <f>IF(OR(C13="",C13=0,D13=""),"",D13/C13)</f>
        <v>1.5</v>
      </c>
      <c r="G13" s="14" t="str">
        <f>IF(OR(B13="",D13=""),"",IF(B13="הוצאה",IF(D13&gt;C13,"חריגה","בתקציב"),IF(D13&lt;C13,"מתחת לצפי","תקין")))</f>
        <v>תקין</v>
      </c>
    </row>
    <row r="14">
      <c r="A14" s="5" t="inlineStr">
        <is>
          <t>קצבאות</t>
        </is>
      </c>
      <c r="B14" s="10" t="inlineStr">
        <is>
          <t>הכנסה</t>
        </is>
      </c>
      <c r="C14" s="11" t="n">
        <v>300</v>
      </c>
      <c r="D14" s="11" t="n">
        <v>300</v>
      </c>
      <c r="E14" s="12">
        <f>IF(OR(C14="",D14=""),"",D14-C14)</f>
        <v>0</v>
      </c>
      <c r="F14" s="13">
        <f>IF(OR(C14="",C14=0,D14=""),"",D14/C14)</f>
        <v>1</v>
      </c>
      <c r="G14" s="14" t="str">
        <f>IF(OR(B14="",D14=""),"",IF(B14="הוצאה",IF(D14&gt;C14,"חריגה","בתקציב"),IF(D14&lt;C14,"מתחת לצפי","תקין")))</f>
        <v>תקין</v>
      </c>
    </row>
    <row r="15">
      <c r="A15" s="5" t="inlineStr">
        <is>
          <t>שכירות / משכנתא</t>
        </is>
      </c>
      <c r="B15" s="10" t="inlineStr">
        <is>
          <t>הוצאה</t>
        </is>
      </c>
      <c r="C15" s="11" t="n">
        <v>4500</v>
      </c>
      <c r="D15" s="11" t="n">
        <v>4500</v>
      </c>
      <c r="E15" s="12">
        <f>IF(OR(C15="",D15=""),"",D15-C15)</f>
        <v>0</v>
      </c>
      <c r="F15" s="13">
        <f>IF(OR(C15="",C15=0,D15=""),"",D15/C15)</f>
        <v>1</v>
      </c>
      <c r="G15" s="14" t="str">
        <f>IF(OR(B15="",D15=""),"",IF(B15="הוצאה",IF(D15&gt;C15,"חריגה","בתקציב"),IF(D15&lt;C15,"מתחת לצפי","תקין")))</f>
        <v>בתקציב</v>
      </c>
    </row>
    <row r="16">
      <c r="A16" s="5" t="inlineStr">
        <is>
          <t>חשמל, מים, ארנונה</t>
        </is>
      </c>
      <c r="B16" s="10" t="inlineStr">
        <is>
          <t>הוצאה</t>
        </is>
      </c>
      <c r="C16" s="11" t="n">
        <v>900</v>
      </c>
      <c r="D16" s="11" t="n">
        <v>950</v>
      </c>
      <c r="E16" s="12">
        <f>IF(OR(C16="",D16=""),"",D16-C16)</f>
        <v>50</v>
      </c>
      <c r="F16" s="13">
        <f>IF(OR(C16="",C16=0,D16=""),"",D16/C16)</f>
        <v>1.05555555555556</v>
      </c>
      <c r="G16" s="14" t="str">
        <f>IF(OR(B16="",D16=""),"",IF(B16="הוצאה",IF(D16&gt;C16,"חריגה","בתקציב"),IF(D16&lt;C16,"מתחת לצפי","תקין")))</f>
        <v>חריגה</v>
      </c>
    </row>
    <row r="17">
      <c r="A17" s="5" t="inlineStr">
        <is>
          <t>סופרמרקט</t>
        </is>
      </c>
      <c r="B17" s="10" t="inlineStr">
        <is>
          <t>הוצאה</t>
        </is>
      </c>
      <c r="C17" s="11" t="n">
        <v>2200</v>
      </c>
      <c r="D17" s="11" t="n">
        <v>2450</v>
      </c>
      <c r="E17" s="12">
        <f>IF(OR(C17="",D17=""),"",D17-C17)</f>
        <v>250</v>
      </c>
      <c r="F17" s="13">
        <f>IF(OR(C17="",C17=0,D17=""),"",D17/C17)</f>
        <v>1.11363636363636</v>
      </c>
      <c r="G17" s="14" t="str">
        <f>IF(OR(B17="",D17=""),"",IF(B17="הוצאה",IF(D17&gt;C17,"חריגה","בתקציב"),IF(D17&lt;C17,"מתחת לצפי","תקין")))</f>
        <v>חריגה</v>
      </c>
    </row>
    <row r="18">
      <c r="A18" s="5" t="inlineStr">
        <is>
          <t>תחבורה ודלק</t>
        </is>
      </c>
      <c r="B18" s="10" t="inlineStr">
        <is>
          <t>הוצאה</t>
        </is>
      </c>
      <c r="C18" s="11" t="n">
        <v>800</v>
      </c>
      <c r="D18" s="11" t="n">
        <v>720</v>
      </c>
      <c r="E18" s="12">
        <f>IF(OR(C18="",D18=""),"",D18-C18)</f>
        <v>-80</v>
      </c>
      <c r="F18" s="13">
        <f>IF(OR(C18="",C18=0,D18=""),"",D18/C18)</f>
        <v>0.9</v>
      </c>
      <c r="G18" s="14" t="str">
        <f>IF(OR(B18="",D18=""),"",IF(B18="הוצאה",IF(D18&gt;C18,"חריגה","בתקציב"),IF(D18&lt;C18,"מתחת לצפי","תקין")))</f>
        <v>בתקציב</v>
      </c>
    </row>
    <row r="19">
      <c r="A19" s="5" t="inlineStr">
        <is>
          <t>ביטוחים</t>
        </is>
      </c>
      <c r="B19" s="10" t="inlineStr">
        <is>
          <t>הוצאה</t>
        </is>
      </c>
      <c r="C19" s="11" t="n">
        <v>600</v>
      </c>
      <c r="D19" s="11" t="n">
        <v>600</v>
      </c>
      <c r="E19" s="12">
        <f>IF(OR(C19="",D19=""),"",D19-C19)</f>
        <v>0</v>
      </c>
      <c r="F19" s="13">
        <f>IF(OR(C19="",C19=0,D19=""),"",D19/C19)</f>
        <v>1</v>
      </c>
      <c r="G19" s="14" t="str">
        <f>IF(OR(B19="",D19=""),"",IF(B19="הוצאה",IF(D19&gt;C19,"חריגה","בתקציב"),IF(D19&lt;C19,"מתחת לצפי","תקין")))</f>
        <v>בתקציב</v>
      </c>
    </row>
    <row r="20">
      <c r="A20" s="5" t="inlineStr">
        <is>
          <t>תקשורת (סלולר, אינטרנט)</t>
        </is>
      </c>
      <c r="B20" s="10" t="inlineStr">
        <is>
          <t>הוצאה</t>
        </is>
      </c>
      <c r="C20" s="11" t="n">
        <v>250</v>
      </c>
      <c r="D20" s="11" t="n">
        <v>240</v>
      </c>
      <c r="E20" s="12">
        <f>IF(OR(C20="",D20=""),"",D20-C20)</f>
        <v>-10</v>
      </c>
      <c r="F20" s="13">
        <f>IF(OR(C20="",C20=0,D20=""),"",D20/C20)</f>
        <v>0.96</v>
      </c>
      <c r="G20" s="14" t="str">
        <f>IF(OR(B20="",D20=""),"",IF(B20="הוצאה",IF(D20&gt;C20,"חריגה","בתקציב"),IF(D20&lt;C20,"מתחת לצפי","תקין")))</f>
        <v>בתקציב</v>
      </c>
    </row>
    <row r="21">
      <c r="A21" s="5" t="inlineStr">
        <is>
          <t>חינוך וחוגים</t>
        </is>
      </c>
      <c r="B21" s="10" t="inlineStr">
        <is>
          <t>הוצאה</t>
        </is>
      </c>
      <c r="C21" s="11" t="n">
        <v>900</v>
      </c>
      <c r="D21" s="11" t="n">
        <v>900</v>
      </c>
      <c r="E21" s="12">
        <f>IF(OR(C21="",D21=""),"",D21-C21)</f>
        <v>0</v>
      </c>
      <c r="F21" s="13">
        <f>IF(OR(C21="",C21=0,D21=""),"",D21/C21)</f>
        <v>1</v>
      </c>
      <c r="G21" s="14" t="str">
        <f>IF(OR(B21="",D21=""),"",IF(B21="הוצאה",IF(D21&gt;C21,"חריגה","בתקציב"),IF(D21&lt;C21,"מתחת לצפי","תקין")))</f>
        <v>בתקציב</v>
      </c>
    </row>
    <row r="22">
      <c r="A22" s="5" t="inlineStr">
        <is>
          <t>בריאות</t>
        </is>
      </c>
      <c r="B22" s="10" t="inlineStr">
        <is>
          <t>הוצאה</t>
        </is>
      </c>
      <c r="C22" s="11" t="n">
        <v>200</v>
      </c>
      <c r="D22" s="11" t="n">
        <v>120</v>
      </c>
      <c r="E22" s="12">
        <f>IF(OR(C22="",D22=""),"",D22-C22)</f>
        <v>-80</v>
      </c>
      <c r="F22" s="13">
        <f>IF(OR(C22="",C22=0,D22=""),"",D22/C22)</f>
        <v>0.6</v>
      </c>
      <c r="G22" s="14" t="str">
        <f>IF(OR(B22="",D22=""),"",IF(B22="הוצאה",IF(D22&gt;C22,"חריגה","בתקציב"),IF(D22&lt;C22,"מתחת לצפי","תקין")))</f>
        <v>בתקציב</v>
      </c>
    </row>
    <row r="23">
      <c r="A23" s="5" t="inlineStr">
        <is>
          <t>בילויים ופנאי</t>
        </is>
      </c>
      <c r="B23" s="10" t="inlineStr">
        <is>
          <t>הוצאה</t>
        </is>
      </c>
      <c r="C23" s="11" t="n">
        <v>700</v>
      </c>
      <c r="D23" s="11" t="n">
        <v>900</v>
      </c>
      <c r="E23" s="12">
        <f>IF(OR(C23="",D23=""),"",D23-C23)</f>
        <v>200</v>
      </c>
      <c r="F23" s="13">
        <f>IF(OR(C23="",C23=0,D23=""),"",D23/C23)</f>
        <v>1.28571428571429</v>
      </c>
      <c r="G23" s="14" t="str">
        <f>IF(OR(B23="",D23=""),"",IF(B23="הוצאה",IF(D23&gt;C23,"חריגה","בתקציב"),IF(D23&lt;C23,"מתחת לצפי","תקין")))</f>
        <v>חריגה</v>
      </c>
    </row>
    <row r="24">
      <c r="A24" s="5" t="inlineStr">
        <is>
          <t>ביגוד</t>
        </is>
      </c>
      <c r="B24" s="10" t="inlineStr">
        <is>
          <t>הוצאה</t>
        </is>
      </c>
      <c r="C24" s="11" t="n">
        <v>300</v>
      </c>
      <c r="D24" s="11" t="n">
        <v>180</v>
      </c>
      <c r="E24" s="12">
        <f>IF(OR(C24="",D24=""),"",D24-C24)</f>
        <v>-120</v>
      </c>
      <c r="F24" s="13">
        <f>IF(OR(C24="",C24=0,D24=""),"",D24/C24)</f>
        <v>0.6</v>
      </c>
      <c r="G24" s="14" t="str">
        <f>IF(OR(B24="",D24=""),"",IF(B24="הוצאה",IF(D24&gt;C24,"חריגה","בתקציב"),IF(D24&lt;C24,"מתחת לצפי","תקין")))</f>
        <v>בתקציב</v>
      </c>
    </row>
    <row r="25">
      <c r="A25" s="5" t="inlineStr">
        <is>
          <t>חיסכון</t>
        </is>
      </c>
      <c r="B25" s="10" t="inlineStr">
        <is>
          <t>הוצאה</t>
        </is>
      </c>
      <c r="C25" s="11" t="n">
        <v>1500</v>
      </c>
      <c r="D25" s="11" t="n">
        <v>1500</v>
      </c>
      <c r="E25" s="12">
        <f>IF(OR(C25="",D25=""),"",D25-C25)</f>
        <v>0</v>
      </c>
      <c r="F25" s="13">
        <f>IF(OR(C25="",C25=0,D25=""),"",D25/C25)</f>
        <v>1</v>
      </c>
      <c r="G25" s="14" t="str">
        <f>IF(OR(B25="",D25=""),"",IF(B25="הוצאה",IF(D25&gt;C25,"חריגה","בתקציב"),IF(D25&lt;C25,"מתחת לצפי","תקין")))</f>
        <v>בתקציב</v>
      </c>
    </row>
    <row r="26">
      <c r="A26" s="5" t="inlineStr">
        <is>
          <t>אחר</t>
        </is>
      </c>
      <c r="B26" s="10" t="inlineStr">
        <is>
          <t>הוצאה</t>
        </is>
      </c>
      <c r="C26" s="11" t="n">
        <v>400</v>
      </c>
      <c r="D26" s="11" t="n">
        <v>350</v>
      </c>
      <c r="E26" s="12">
        <f>IF(OR(C26="",D26=""),"",D26-C26)</f>
        <v>-50</v>
      </c>
      <c r="F26" s="13">
        <f>IF(OR(C26="",C26=0,D26=""),"",D26/C26)</f>
        <v>0.875</v>
      </c>
      <c r="G26" s="14" t="str">
        <f>IF(OR(B26="",D26=""),"",IF(B26="הוצאה",IF(D26&gt;C26,"חריגה","בתקציב"),IF(D26&lt;C26,"מתחת לצפי","תקין")))</f>
        <v>בתקציב</v>
      </c>
    </row>
    <row r="27">
      <c r="A27" s="5" t="n"/>
      <c r="B27" s="10" t="n"/>
      <c r="C27" s="15" t="n"/>
      <c r="D27" s="15" t="n"/>
      <c r="E27" s="12" t="str">
        <f>IF(OR(C27="",D27=""),"",D27-C27)</f>
        <v/>
      </c>
      <c r="F27" s="13" t="str">
        <f>IF(OR(C27="",C27=0,D27=""),"",D27/C27)</f>
        <v/>
      </c>
      <c r="G27" s="14" t="str">
        <f>IF(OR(B27="",D27=""),"",IF(B27="הוצאה",IF(D27&gt;C27,"חריגה","בתקציב"),IF(D27&lt;C27,"מתחת לצפי","תקין")))</f>
        <v/>
      </c>
    </row>
    <row r="28">
      <c r="A28" s="5" t="n"/>
      <c r="B28" s="10" t="n"/>
      <c r="C28" s="15" t="n"/>
      <c r="D28" s="15" t="n"/>
      <c r="E28" s="12" t="str">
        <f>IF(OR(C28="",D28=""),"",D28-C28)</f>
        <v/>
      </c>
      <c r="F28" s="13" t="str">
        <f>IF(OR(C28="",C28=0,D28=""),"",D28/C28)</f>
        <v/>
      </c>
      <c r="G28" s="14" t="str">
        <f>IF(OR(B28="",D28=""),"",IF(B28="הוצאה",IF(D28&gt;C28,"חריגה","בתקציב"),IF(D28&lt;C28,"מתחת לצפי","תקין")))</f>
        <v/>
      </c>
    </row>
    <row r="29">
      <c r="A29" s="5" t="n"/>
      <c r="B29" s="10" t="n"/>
      <c r="C29" s="15" t="n"/>
      <c r="D29" s="15" t="n"/>
      <c r="E29" s="12" t="str">
        <f>IF(OR(C29="",D29=""),"",D29-C29)</f>
        <v/>
      </c>
      <c r="F29" s="13" t="str">
        <f>IF(OR(C29="",C29=0,D29=""),"",D29/C29)</f>
        <v/>
      </c>
      <c r="G29" s="14" t="str">
        <f>IF(OR(B29="",D29=""),"",IF(B29="הוצאה",IF(D29&gt;C29,"חריגה","בתקציב"),IF(D29&lt;C29,"מתחת לצפי","תקין")))</f>
        <v/>
      </c>
    </row>
    <row r="30">
      <c r="A30" s="5" t="n"/>
      <c r="B30" s="10" t="n"/>
      <c r="C30" s="15" t="n"/>
      <c r="D30" s="15" t="n"/>
      <c r="E30" s="12" t="str">
        <f>IF(OR(C30="",D30=""),"",D30-C30)</f>
        <v/>
      </c>
      <c r="F30" s="13" t="str">
        <f>IF(OR(C30="",C30=0,D30=""),"",D30/C30)</f>
        <v/>
      </c>
      <c r="G30" s="14" t="str">
        <f>IF(OR(B30="",D30=""),"",IF(B30="הוצאה",IF(D30&gt;C30,"חריגה","בתקציב"),IF(D30&lt;C30,"מתחת לצפי","תקין")))</f>
        <v/>
      </c>
    </row>
    <row r="31">
      <c r="A31" s="5" t="n"/>
      <c r="B31" s="10" t="n"/>
      <c r="C31" s="15" t="n"/>
      <c r="D31" s="15" t="n"/>
      <c r="E31" s="12" t="str">
        <f>IF(OR(C31="",D31=""),"",D31-C31)</f>
        <v/>
      </c>
      <c r="F31" s="13" t="str">
        <f>IF(OR(C31="",C31=0,D31=""),"",D31/C31)</f>
        <v/>
      </c>
      <c r="G31" s="14" t="str">
        <f>IF(OR(B31="",D31=""),"",IF(B31="הוצאה",IF(D31&gt;C31,"חריגה","בתקציב"),IF(D31&lt;C31,"מתחת לצפי","תקין")))</f>
        <v/>
      </c>
    </row>
    <row r="32">
      <c r="A32" s="5" t="n"/>
      <c r="B32" s="10" t="n"/>
      <c r="C32" s="15" t="n"/>
      <c r="D32" s="15" t="n"/>
      <c r="E32" s="12" t="str">
        <f>IF(OR(C32="",D32=""),"",D32-C32)</f>
        <v/>
      </c>
      <c r="F32" s="13" t="str">
        <f>IF(OR(C32="",C32=0,D32=""),"",D32/C32)</f>
        <v/>
      </c>
      <c r="G32" s="14" t="str">
        <f>IF(OR(B32="",D32=""),"",IF(B32="הוצאה",IF(D32&gt;C32,"חריגה","בתקציב"),IF(D32&lt;C32,"מתחת לצפי","תקין")))</f>
        <v/>
      </c>
    </row>
    <row r="33">
      <c r="A33" s="5" t="n"/>
      <c r="B33" s="10" t="n"/>
      <c r="C33" s="15" t="n"/>
      <c r="D33" s="15" t="n"/>
      <c r="E33" s="12" t="str">
        <f>IF(OR(C33="",D33=""),"",D33-C33)</f>
        <v/>
      </c>
      <c r="F33" s="13" t="str">
        <f>IF(OR(C33="",C33=0,D33=""),"",D33/C33)</f>
        <v/>
      </c>
      <c r="G33" s="14" t="str">
        <f>IF(OR(B33="",D33=""),"",IF(B33="הוצאה",IF(D33&gt;C33,"חריגה","בתקציב"),IF(D33&lt;C33,"מתחת לצפי","תקין")))</f>
        <v/>
      </c>
    </row>
    <row r="34">
      <c r="A34" s="5" t="n"/>
      <c r="B34" s="10" t="n"/>
      <c r="C34" s="15" t="n"/>
      <c r="D34" s="15" t="n"/>
      <c r="E34" s="12" t="str">
        <f>IF(OR(C34="",D34=""),"",D34-C34)</f>
        <v/>
      </c>
      <c r="F34" s="13" t="str">
        <f>IF(OR(C34="",C34=0,D34=""),"",D34/C34)</f>
        <v/>
      </c>
      <c r="G34" s="14" t="str">
        <f>IF(OR(B34="",D34=""),"",IF(B34="הוצאה",IF(D34&gt;C34,"חריגה","בתקציב"),IF(D34&lt;C34,"מתחת לצפי","תקין")))</f>
        <v/>
      </c>
    </row>
    <row r="35">
      <c r="A35" s="5" t="n"/>
      <c r="B35" s="10" t="n"/>
      <c r="C35" s="15" t="n"/>
      <c r="D35" s="15" t="n"/>
      <c r="E35" s="12" t="str">
        <f>IF(OR(C35="",D35=""),"",D35-C35)</f>
        <v/>
      </c>
      <c r="F35" s="13" t="str">
        <f>IF(OR(C35="",C35=0,D35=""),"",D35/C35)</f>
        <v/>
      </c>
      <c r="G35" s="14" t="str">
        <f>IF(OR(B35="",D35=""),"",IF(B35="הוצאה",IF(D35&gt;C35,"חריגה","בתקציב"),IF(D35&lt;C35,"מתחת לצפי","תקין")))</f>
        <v/>
      </c>
    </row>
    <row r="36">
      <c r="A36" s="5" t="n"/>
      <c r="B36" s="10" t="n"/>
      <c r="C36" s="15" t="n"/>
      <c r="D36" s="15" t="n"/>
      <c r="E36" s="12" t="str">
        <f>IF(OR(C36="",D36=""),"",D36-C36)</f>
        <v/>
      </c>
      <c r="F36" s="13" t="str">
        <f>IF(OR(C36="",C36=0,D36=""),"",D36/C36)</f>
        <v/>
      </c>
      <c r="G36" s="14" t="str">
        <f>IF(OR(B36="",D36=""),"",IF(B36="הוצאה",IF(D36&gt;C36,"חריגה","בתקציב"),IF(D36&lt;C36,"מתחת לצפי","תקין")))</f>
        <v/>
      </c>
    </row>
    <row r="37">
      <c r="A37" s="5" t="n"/>
      <c r="B37" s="10" t="n"/>
      <c r="C37" s="15" t="n"/>
      <c r="D37" s="15" t="n"/>
      <c r="E37" s="12" t="str">
        <f>IF(OR(C37="",D37=""),"",D37-C37)</f>
        <v/>
      </c>
      <c r="F37" s="13" t="str">
        <f>IF(OR(C37="",C37=0,D37=""),"",D37/C37)</f>
        <v/>
      </c>
      <c r="G37" s="14" t="str">
        <f>IF(OR(B37="",D37=""),"",IF(B37="הוצאה",IF(D37&gt;C37,"חריגה","בתקציב"),IF(D37&lt;C37,"מתחת לצפי","תקין")))</f>
        <v/>
      </c>
    </row>
    <row r="38">
      <c r="A38" s="5" t="n"/>
      <c r="B38" s="10" t="n"/>
      <c r="C38" s="15" t="n"/>
      <c r="D38" s="15" t="n"/>
      <c r="E38" s="12" t="str">
        <f>IF(OR(C38="",D38=""),"",D38-C38)</f>
        <v/>
      </c>
      <c r="F38" s="13" t="str">
        <f>IF(OR(C38="",C38=0,D38=""),"",D38/C38)</f>
        <v/>
      </c>
      <c r="G38" s="14" t="str">
        <f>IF(OR(B38="",D38=""),"",IF(B38="הוצאה",IF(D38&gt;C38,"חריגה","בתקציב"),IF(D38&lt;C38,"מתחת לצפי","תקין")))</f>
        <v/>
      </c>
    </row>
    <row r="39">
      <c r="A39" s="5" t="n"/>
      <c r="B39" s="10" t="n"/>
      <c r="C39" s="15" t="n"/>
      <c r="D39" s="15" t="n"/>
      <c r="E39" s="12" t="str">
        <f>IF(OR(C39="",D39=""),"",D39-C39)</f>
        <v/>
      </c>
      <c r="F39" s="13" t="str">
        <f>IF(OR(C39="",C39=0,D39=""),"",D39/C39)</f>
        <v/>
      </c>
      <c r="G39" s="14" t="str">
        <f>IF(OR(B39="",D39=""),"",IF(B39="הוצאה",IF(D39&gt;C39,"חריגה","בתקציב"),IF(D39&lt;C39,"מתחת לצפי","תקין")))</f>
        <v/>
      </c>
    </row>
    <row r="40">
      <c r="A40" s="5" t="n"/>
      <c r="B40" s="10" t="n"/>
      <c r="C40" s="15" t="n"/>
      <c r="D40" s="15" t="n"/>
      <c r="E40" s="12" t="str">
        <f>IF(OR(C40="",D40=""),"",D40-C40)</f>
        <v/>
      </c>
      <c r="F40" s="13" t="str">
        <f>IF(OR(C40="",C40=0,D40=""),"",D40/C40)</f>
        <v/>
      </c>
      <c r="G40" s="14" t="str">
        <f>IF(OR(B40="",D40=""),"",IF(B40="הוצאה",IF(D40&gt;C40,"חריגה","בתקציב"),IF(D40&lt;C40,"מתחת לצפי","תקין")))</f>
        <v/>
      </c>
    </row>
    <row r="41">
      <c r="A41" s="5" t="n"/>
      <c r="B41" s="10" t="n"/>
      <c r="C41" s="15" t="n"/>
      <c r="D41" s="15" t="n"/>
      <c r="E41" s="12" t="str">
        <f>IF(OR(C41="",D41=""),"",D41-C41)</f>
        <v/>
      </c>
      <c r="F41" s="13" t="str">
        <f>IF(OR(C41="",C41=0,D41=""),"",D41/C41)</f>
        <v/>
      </c>
      <c r="G41" s="14" t="str">
        <f>IF(OR(B41="",D41=""),"",IF(B41="הוצאה",IF(D41&gt;C41,"חריגה","בתקציב"),IF(D41&lt;C41,"מתחת לצפי","תקין")))</f>
        <v/>
      </c>
    </row>
  </sheetData>
  <mergeCells count="2">
    <mergeCell ref="A2:G2"/>
    <mergeCell ref="A1:G1"/>
  </mergeCells>
  <conditionalFormatting sqref="B8">
    <cfRule type="cellIs" priority="1" operator="lessThan" dxfId="0">
      <formula>0</formula>
    </cfRule>
  </conditionalFormatting>
  <conditionalFormatting sqref="G12:G41">
    <cfRule type="expression" priority="2" dxfId="0">
      <formula>G12="חריגה"</formula>
    </cfRule>
    <cfRule type="expression" priority="3" dxfId="1">
      <formula>G12="מתחת לצפי"</formula>
    </cfRule>
    <cfRule type="expression" priority="4" dxfId="2">
      <formula>G12="בתקציב"</formula>
    </cfRule>
    <cfRule type="expression" priority="5" dxfId="2">
      <formula>G12="תקין"</formula>
    </cfRule>
  </conditionalFormatting>
  <dataValidations count="2">
    <dataValidation sqref="B12:B41" showDropDown="0" showInputMessage="0" showErrorMessage="0" allowBlank="1" errorTitle="ערך לא ברשימה" error="יש לבחור מהרשימה (אפשר לערוך אותה בגיליון הרשימות)" type="list" errorStyle="warning">
      <formula1>"הכנסה,הוצאה"</formula1>
    </dataValidation>
    <dataValidation sqref="C12:D41" showDropDown="0" showInputMessage="0" showErrorMessage="0" allowBlank="1" error="יש להזין מספר" type="decimal" errorStyle="warning" operator="greaterThanOrEqual">
      <formula1>0</formula1>
    </dataValidation>
  </dataValidations>
  <printOptions horizontalCentered="1"/>
  <pageMargins left="0.4" right="0.4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2026-10-13T06:01:47Z</dcterms:created>
  <dcterms:modified xmlns:dcterms="http://purl.org/dc/terms/" xmlns:xsi="http://www.w3.org/2001/XMLSchema-instance" xsi:type="dcterms:W3CDTF">2026-10-13T06:01:47Z</dcterms:modified>
</cp:coreProperties>
</file>