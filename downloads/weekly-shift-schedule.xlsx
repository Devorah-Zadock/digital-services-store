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דור עבודה" sheetId="1" state="visible" r:id="rId1"/>
    <sheet xmlns:r="http://schemas.openxmlformats.org/officeDocument/2006/relationships" name="סוגי משמרות" sheetId="2" state="visible" r:id="rId2"/>
  </sheets>
  <definedNames>
    <definedName name="ShiftNames">'סוגי משמרות'!$A$5:$A$16</definedName>
    <definedName name="ShiftHours">'סוגי משמרות'!$B$5:$B$16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dd/mm/yyyy"/>
    <numFmt numFmtId="167" formatCode="dd/mm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FFFFFF"/>
      <sz val="11"/>
    </font>
    <font>
      <name val="Arial"/>
      <color rgb="000000CC"/>
      <sz val="11"/>
    </font>
    <font>
      <name val="Arial"/>
      <b val="1"/>
      <color rgb="00222222"/>
      <sz val="11"/>
    </font>
    <font>
      <name val="Arial"/>
      <color rgb="00222222"/>
      <sz val="11"/>
    </font>
    <font>
      <name val="Arial"/>
      <b val="1"/>
      <color rgb="001F5C4E"/>
      <sz val="12"/>
    </font>
  </fonts>
  <fills count="9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  <fill>
      <patternFill patternType="solid">
        <fgColor rgb="00D6EEF8"/>
      </patternFill>
    </fill>
    <fill>
      <patternFill patternType="solid">
        <fgColor rgb="00E3F2D9"/>
      </patternFill>
    </fill>
    <fill>
      <patternFill patternType="solid">
        <fgColor rgb="00FDE7C8"/>
      </patternFill>
    </fill>
    <fill>
      <patternFill patternType="solid">
        <fgColor rgb="00E2DDF5"/>
      </patternFill>
    </fill>
  </fills>
  <borders count="5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  <border>
      <left/>
      <right/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 style="thin">
        <color rgb="00D9DE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wrapText="1" readingOrder="2"/>
    </xf>
    <xf numFmtId="0" fontId="5" fillId="0" borderId="1" applyAlignment="1" pivotButton="0" quotePrefix="0" xfId="0">
      <alignment horizontal="right" vertical="center" readingOrder="2"/>
    </xf>
    <xf numFmtId="166" fontId="4" fillId="3" borderId="1" applyAlignment="1" pivotButton="0" quotePrefix="0" xfId="0">
      <alignment horizontal="right" vertical="center" readingOrder="2"/>
    </xf>
    <xf numFmtId="0" fontId="0" fillId="0" borderId="4" pivotButton="0" quotePrefix="0" xfId="0"/>
    <xf numFmtId="0" fontId="3" fillId="2" borderId="1" applyAlignment="1" pivotButton="0" quotePrefix="0" xfId="0">
      <alignment horizontal="center" vertical="center" wrapText="1" readingOrder="2"/>
    </xf>
    <xf numFmtId="0" fontId="5" fillId="4" borderId="1" applyAlignment="1" pivotButton="0" quotePrefix="0" xfId="0">
      <alignment horizontal="right" vertical="center" readingOrder="2"/>
    </xf>
    <xf numFmtId="167" fontId="5" fillId="4" borderId="1" applyAlignment="1" pivotButton="0" quotePrefix="0" xfId="0">
      <alignment horizontal="center" vertical="center" readingOrder="2"/>
    </xf>
    <xf numFmtId="0" fontId="6" fillId="4" borderId="1" applyAlignment="1" pivotButton="0" quotePrefix="0" xfId="0">
      <alignment horizontal="right" vertical="center" readingOrder="2"/>
    </xf>
    <xf numFmtId="0" fontId="4" fillId="3" borderId="1" applyAlignment="1" pivotButton="0" quotePrefix="0" xfId="0">
      <alignment horizontal="right" vertical="center" readingOrder="2"/>
    </xf>
    <xf numFmtId="0" fontId="4" fillId="3" borderId="1" applyAlignment="1" pivotButton="0" quotePrefix="0" xfId="0">
      <alignment horizontal="center" vertical="center" readingOrder="2"/>
    </xf>
    <xf numFmtId="1" fontId="6" fillId="0" borderId="1" applyAlignment="1" pivotButton="0" quotePrefix="0" xfId="0">
      <alignment horizontal="center" vertical="center" readingOrder="2"/>
    </xf>
    <xf numFmtId="164" fontId="5" fillId="0" borderId="1" applyAlignment="1" pivotButton="0" quotePrefix="0" xfId="0">
      <alignment horizontal="center" vertical="center" readingOrder="2"/>
    </xf>
    <xf numFmtId="0" fontId="7" fillId="0" borderId="0" applyAlignment="1" pivotButton="0" quotePrefix="0" xfId="0">
      <alignment horizontal="right" vertical="center" readingOrder="2"/>
    </xf>
    <xf numFmtId="0" fontId="5" fillId="5" borderId="1" applyAlignment="1" pivotButton="0" quotePrefix="0" xfId="0">
      <alignment horizontal="right" vertical="center" readingOrder="2"/>
    </xf>
    <xf numFmtId="0" fontId="5" fillId="6" borderId="1" applyAlignment="1" pivotButton="0" quotePrefix="0" xfId="0">
      <alignment horizontal="right" vertical="center" readingOrder="2"/>
    </xf>
    <xf numFmtId="0" fontId="5" fillId="7" borderId="1" applyAlignment="1" pivotButton="0" quotePrefix="0" xfId="0">
      <alignment horizontal="right" vertical="center" readingOrder="2"/>
    </xf>
    <xf numFmtId="0" fontId="5" fillId="8" borderId="1" applyAlignment="1" pivotButton="0" quotePrefix="0" xfId="0">
      <alignment horizontal="right" vertical="center" readingOrder="2"/>
    </xf>
    <xf numFmtId="164" fontId="4" fillId="3" borderId="1" applyAlignment="1" pivotButton="0" quotePrefix="0" xfId="0">
      <alignment vertical="center" readingOrder="2"/>
    </xf>
    <xf numFmtId="164" fontId="4" fillId="3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dxfs count="6">
    <dxf>
      <fill>
        <patternFill patternType="solid">
          <fgColor rgb="00D6EEF8"/>
          <bgColor rgb="00D6EEF8"/>
        </patternFill>
      </fill>
    </dxf>
    <dxf>
      <fill>
        <patternFill patternType="solid">
          <fgColor rgb="00E3F2D9"/>
          <bgColor rgb="00E3F2D9"/>
        </patternFill>
      </fill>
    </dxf>
    <dxf>
      <fill>
        <patternFill patternType="solid">
          <fgColor rgb="00FDE7C8"/>
          <bgColor rgb="00FDE7C8"/>
        </patternFill>
      </fill>
    </dxf>
    <dxf>
      <fill>
        <patternFill patternType="solid">
          <fgColor rgb="00E2DDF5"/>
          <bgColor rgb="00E2DDF5"/>
        </patternFill>
      </fill>
    </dxf>
    <dxf>
      <fill>
        <patternFill patternType="solid">
          <fgColor rgb="00EEEEEE"/>
          <bgColor rgb="00EEEEEE"/>
        </patternFill>
      </fill>
    </dxf>
    <dxf>
      <fill>
        <patternFill patternType="solid">
          <fgColor rgb="00F8D7DA"/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rightToLeft="1" zoomScale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1" customWidth="1" min="9" max="9"/>
    <col width="11" customWidth="1" min="10" max="10"/>
  </cols>
  <sheetData>
    <row r="1" ht="34" customHeight="1">
      <c r="A1" s="1" t="inlineStr">
        <is>
          <t>סידור משמרות שבועי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בוחרים שבוע (יום ראשון) ולכל עובד משמרת בכל יום מהרשימה. סופרים לבד כמה משמרות ושעות לכל עובד, וכמה אנשים בכל משמרת ביום.</t>
        </is>
      </c>
    </row>
    <row r="4">
      <c r="A4" s="4" t="inlineStr">
        <is>
          <t>השבוע שמתחיל ב־</t>
        </is>
      </c>
      <c r="B4" s="5" t="n">
        <v>46306</v>
      </c>
      <c r="C4" s="6" t="n"/>
    </row>
    <row r="6" ht="32" customHeight="1">
      <c r="A6" s="7" t="inlineStr">
        <is>
          <t>עובד</t>
        </is>
      </c>
      <c r="B6" s="7" t="inlineStr">
        <is>
          <t>ראשון</t>
        </is>
      </c>
      <c r="C6" s="7" t="inlineStr">
        <is>
          <t>שני</t>
        </is>
      </c>
      <c r="D6" s="7" t="inlineStr">
        <is>
          <t>שלישי</t>
        </is>
      </c>
      <c r="E6" s="7" t="inlineStr">
        <is>
          <t>רביעי</t>
        </is>
      </c>
      <c r="F6" s="7" t="inlineStr">
        <is>
          <t>חמישי</t>
        </is>
      </c>
      <c r="G6" s="7" t="inlineStr">
        <is>
          <t>שישי</t>
        </is>
      </c>
      <c r="H6" s="7" t="inlineStr">
        <is>
          <t>שבת</t>
        </is>
      </c>
      <c r="I6" s="7" t="inlineStr">
        <is>
          <t>משמרות</t>
        </is>
      </c>
      <c r="J6" s="7" t="inlineStr">
        <is>
          <t>שעות</t>
        </is>
      </c>
    </row>
    <row r="7">
      <c r="A7" s="8" t="inlineStr">
        <is>
          <t>תאריך</t>
        </is>
      </c>
      <c r="B7" s="9">
        <f>$B$4+0</f>
        <v>46306.0</v>
      </c>
      <c r="C7" s="9">
        <f>$B$4+1</f>
        <v>46307.0</v>
      </c>
      <c r="D7" s="9">
        <f>$B$4+2</f>
        <v>46308.0</v>
      </c>
      <c r="E7" s="9">
        <f>$B$4+3</f>
        <v>46309.0</v>
      </c>
      <c r="F7" s="9">
        <f>$B$4+4</f>
        <v>46310.0</v>
      </c>
      <c r="G7" s="9">
        <f>$B$4+5</f>
        <v>46311.0</v>
      </c>
      <c r="H7" s="9">
        <f>$B$4+6</f>
        <v>46312.0</v>
      </c>
      <c r="I7" s="10" t="n"/>
      <c r="J7" s="10" t="n"/>
    </row>
    <row r="8">
      <c r="A8" s="11" t="inlineStr">
        <is>
          <t>נועה</t>
        </is>
      </c>
      <c r="B8" s="12" t="inlineStr">
        <is>
          <t>בוקר</t>
        </is>
      </c>
      <c r="C8" s="12" t="inlineStr">
        <is>
          <t>בוקר</t>
        </is>
      </c>
      <c r="D8" s="12" t="inlineStr">
        <is>
          <t>ערב</t>
        </is>
      </c>
      <c r="E8" s="12" t="inlineStr">
        <is>
          <t>חופש</t>
        </is>
      </c>
      <c r="F8" s="12" t="inlineStr">
        <is>
          <t>בוקר</t>
        </is>
      </c>
      <c r="G8" s="12" t="inlineStr">
        <is>
          <t>צהריים</t>
        </is>
      </c>
      <c r="H8" s="12" t="inlineStr">
        <is>
          <t>חופש</t>
        </is>
      </c>
      <c r="I8" s="13">
        <f>IF(A8="","",COUNTA(B8:H8)-COUNTIF(B8:H8,"חופש")-COUNTIF(B8:H8,"מחלה"))</f>
        <v>5</v>
      </c>
      <c r="J8" s="14">
        <f>IF(A8="","",SUMPRODUCT(SUMIF(ShiftNames,B8:H8,ShiftHours)))</f>
        <v>38</v>
      </c>
    </row>
    <row r="9">
      <c r="A9" s="11" t="inlineStr">
        <is>
          <t>אורי</t>
        </is>
      </c>
      <c r="B9" s="12" t="inlineStr">
        <is>
          <t>ערב</t>
        </is>
      </c>
      <c r="C9" s="12" t="inlineStr">
        <is>
          <t>ערב</t>
        </is>
      </c>
      <c r="D9" s="12" t="inlineStr">
        <is>
          <t>חופש</t>
        </is>
      </c>
      <c r="E9" s="12" t="inlineStr">
        <is>
          <t>בוקר</t>
        </is>
      </c>
      <c r="F9" s="12" t="inlineStr">
        <is>
          <t>ערב</t>
        </is>
      </c>
      <c r="G9" s="12" t="inlineStr">
        <is>
          <t>חופש</t>
        </is>
      </c>
      <c r="H9" s="12" t="inlineStr">
        <is>
          <t>חופש</t>
        </is>
      </c>
      <c r="I9" s="13">
        <f>IF(A9="","",COUNTA(B9:H9)-COUNTIF(B9:H9,"חופש")-COUNTIF(B9:H9,"מחלה"))</f>
        <v>4</v>
      </c>
      <c r="J9" s="14">
        <f>IF(A9="","",SUMPRODUCT(SUMIF(ShiftNames,B9:H9,ShiftHours)))</f>
        <v>32</v>
      </c>
    </row>
    <row r="10">
      <c r="A10" s="11" t="inlineStr">
        <is>
          <t>מאיה</t>
        </is>
      </c>
      <c r="B10" s="12" t="inlineStr">
        <is>
          <t>חופש</t>
        </is>
      </c>
      <c r="C10" s="12" t="inlineStr">
        <is>
          <t>צהריים</t>
        </is>
      </c>
      <c r="D10" s="12" t="inlineStr">
        <is>
          <t>בוקר</t>
        </is>
      </c>
      <c r="E10" s="12" t="inlineStr">
        <is>
          <t>ערב</t>
        </is>
      </c>
      <c r="F10" s="12" t="inlineStr">
        <is>
          <t>חופש</t>
        </is>
      </c>
      <c r="G10" s="12" t="inlineStr">
        <is>
          <t>בוקר</t>
        </is>
      </c>
      <c r="H10" s="12" t="inlineStr">
        <is>
          <t>חופש</t>
        </is>
      </c>
      <c r="I10" s="13">
        <f>IF(A10="","",COUNTA(B10:H10)-COUNTIF(B10:H10,"חופש")-COUNTIF(B10:H10,"מחלה"))</f>
        <v>4</v>
      </c>
      <c r="J10" s="14">
        <f>IF(A10="","",SUMPRODUCT(SUMIF(ShiftNames,B10:H10,ShiftHours)))</f>
        <v>30</v>
      </c>
    </row>
    <row r="11">
      <c r="A11" s="11" t="inlineStr">
        <is>
          <t>דניאל</t>
        </is>
      </c>
      <c r="B11" s="12" t="inlineStr">
        <is>
          <t>לילה</t>
        </is>
      </c>
      <c r="C11" s="12" t="inlineStr">
        <is>
          <t>לילה</t>
        </is>
      </c>
      <c r="D11" s="12" t="inlineStr">
        <is>
          <t>לילה</t>
        </is>
      </c>
      <c r="E11" s="12" t="inlineStr">
        <is>
          <t>חופש</t>
        </is>
      </c>
      <c r="F11" s="12" t="inlineStr">
        <is>
          <t>חופש</t>
        </is>
      </c>
      <c r="G11" s="12" t="inlineStr">
        <is>
          <t>ערב</t>
        </is>
      </c>
      <c r="H11" s="12" t="inlineStr">
        <is>
          <t>ערב</t>
        </is>
      </c>
      <c r="I11" s="13">
        <f>IF(A11="","",COUNTA(B11:H11)-COUNTIF(B11:H11,"חופש")-COUNTIF(B11:H11,"מחלה"))</f>
        <v>5</v>
      </c>
      <c r="J11" s="14">
        <f>IF(A11="","",SUMPRODUCT(SUMIF(ShiftNames,B11:H11,ShiftHours)))</f>
        <v>40</v>
      </c>
    </row>
    <row r="12">
      <c r="A12" s="11" t="inlineStr">
        <is>
          <t>שירה</t>
        </is>
      </c>
      <c r="B12" s="12" t="inlineStr">
        <is>
          <t>צהריים</t>
        </is>
      </c>
      <c r="C12" s="12" t="inlineStr">
        <is>
          <t>חופש</t>
        </is>
      </c>
      <c r="D12" s="12" t="inlineStr">
        <is>
          <t>צהריים</t>
        </is>
      </c>
      <c r="E12" s="12" t="inlineStr">
        <is>
          <t>צהריים</t>
        </is>
      </c>
      <c r="F12" s="12" t="inlineStr">
        <is>
          <t>צהריים</t>
        </is>
      </c>
      <c r="G12" s="12" t="inlineStr">
        <is>
          <t>חופש</t>
        </is>
      </c>
      <c r="H12" s="12" t="inlineStr">
        <is>
          <t>בוקר</t>
        </is>
      </c>
      <c r="I12" s="13">
        <f>IF(A12="","",COUNTA(B12:H12)-COUNTIF(B12:H12,"חופש")-COUNTIF(B12:H12,"מחלה"))</f>
        <v>5</v>
      </c>
      <c r="J12" s="14">
        <f>IF(A12="","",SUMPRODUCT(SUMIF(ShiftNames,B12:H12,ShiftHours)))</f>
        <v>32</v>
      </c>
    </row>
    <row r="13">
      <c r="A13" s="11" t="n"/>
      <c r="B13" s="12" t="n"/>
      <c r="C13" s="12" t="n"/>
      <c r="D13" s="12" t="n"/>
      <c r="E13" s="12" t="n"/>
      <c r="F13" s="12" t="n"/>
      <c r="G13" s="12" t="n"/>
      <c r="H13" s="12" t="n"/>
      <c r="I13" s="13" t="str">
        <f>IF(A13="","",COUNTA(B13:H13)-COUNTIF(B13:H13,"חופש")-COUNTIF(B13:H13,"מחלה"))</f>
        <v/>
      </c>
      <c r="J13" s="14" t="str">
        <f>IF(A13="","",SUMPRODUCT(SUMIF(ShiftNames,B13:H13,ShiftHours)))</f>
        <v/>
      </c>
    </row>
    <row r="14">
      <c r="A14" s="11" t="n"/>
      <c r="B14" s="12" t="n"/>
      <c r="C14" s="12" t="n"/>
      <c r="D14" s="12" t="n"/>
      <c r="E14" s="12" t="n"/>
      <c r="F14" s="12" t="n"/>
      <c r="G14" s="12" t="n"/>
      <c r="H14" s="12" t="n"/>
      <c r="I14" s="13" t="str">
        <f>IF(A14="","",COUNTA(B14:H14)-COUNTIF(B14:H14,"חופש")-COUNTIF(B14:H14,"מחלה"))</f>
        <v/>
      </c>
      <c r="J14" s="14" t="str">
        <f>IF(A14="","",SUMPRODUCT(SUMIF(ShiftNames,B14:H14,ShiftHours)))</f>
        <v/>
      </c>
    </row>
    <row r="15">
      <c r="A15" s="11" t="n"/>
      <c r="B15" s="12" t="n"/>
      <c r="C15" s="12" t="n"/>
      <c r="D15" s="12" t="n"/>
      <c r="E15" s="12" t="n"/>
      <c r="F15" s="12" t="n"/>
      <c r="G15" s="12" t="n"/>
      <c r="H15" s="12" t="n"/>
      <c r="I15" s="13" t="str">
        <f>IF(A15="","",COUNTA(B15:H15)-COUNTIF(B15:H15,"חופש")-COUNTIF(B15:H15,"מחלה"))</f>
        <v/>
      </c>
      <c r="J15" s="14" t="str">
        <f>IF(A15="","",SUMPRODUCT(SUMIF(ShiftNames,B15:H15,ShiftHours)))</f>
        <v/>
      </c>
    </row>
    <row r="16">
      <c r="A16" s="11" t="n"/>
      <c r="B16" s="12" t="n"/>
      <c r="C16" s="12" t="n"/>
      <c r="D16" s="12" t="n"/>
      <c r="E16" s="12" t="n"/>
      <c r="F16" s="12" t="n"/>
      <c r="G16" s="12" t="n"/>
      <c r="H16" s="12" t="n"/>
      <c r="I16" s="13" t="str">
        <f>IF(A16="","",COUNTA(B16:H16)-COUNTIF(B16:H16,"חופש")-COUNTIF(B16:H16,"מחלה"))</f>
        <v/>
      </c>
      <c r="J16" s="14" t="str">
        <f>IF(A16="","",SUMPRODUCT(SUMIF(ShiftNames,B16:H16,ShiftHours)))</f>
        <v/>
      </c>
    </row>
    <row r="17">
      <c r="A17" s="11" t="n"/>
      <c r="B17" s="12" t="n"/>
      <c r="C17" s="12" t="n"/>
      <c r="D17" s="12" t="n"/>
      <c r="E17" s="12" t="n"/>
      <c r="F17" s="12" t="n"/>
      <c r="G17" s="12" t="n"/>
      <c r="H17" s="12" t="n"/>
      <c r="I17" s="13" t="str">
        <f>IF(A17="","",COUNTA(B17:H17)-COUNTIF(B17:H17,"חופש")-COUNTIF(B17:H17,"מחלה"))</f>
        <v/>
      </c>
      <c r="J17" s="14" t="str">
        <f>IF(A17="","",SUMPRODUCT(SUMIF(ShiftNames,B17:H17,ShiftHours)))</f>
        <v/>
      </c>
    </row>
    <row r="18">
      <c r="A18" s="11" t="n"/>
      <c r="B18" s="12" t="n"/>
      <c r="C18" s="12" t="n"/>
      <c r="D18" s="12" t="n"/>
      <c r="E18" s="12" t="n"/>
      <c r="F18" s="12" t="n"/>
      <c r="G18" s="12" t="n"/>
      <c r="H18" s="12" t="n"/>
      <c r="I18" s="13" t="str">
        <f>IF(A18="","",COUNTA(B18:H18)-COUNTIF(B18:H18,"חופש")-COUNTIF(B18:H18,"מחלה"))</f>
        <v/>
      </c>
      <c r="J18" s="14" t="str">
        <f>IF(A18="","",SUMPRODUCT(SUMIF(ShiftNames,B18:H18,ShiftHours)))</f>
        <v/>
      </c>
    </row>
    <row r="19">
      <c r="A19" s="11" t="n"/>
      <c r="B19" s="12" t="n"/>
      <c r="C19" s="12" t="n"/>
      <c r="D19" s="12" t="n"/>
      <c r="E19" s="12" t="n"/>
      <c r="F19" s="12" t="n"/>
      <c r="G19" s="12" t="n"/>
      <c r="H19" s="12" t="n"/>
      <c r="I19" s="13" t="str">
        <f>IF(A19="","",COUNTA(B19:H19)-COUNTIF(B19:H19,"חופש")-COUNTIF(B19:H19,"מחלה"))</f>
        <v/>
      </c>
      <c r="J19" s="14" t="str">
        <f>IF(A19="","",SUMPRODUCT(SUMIF(ShiftNames,B19:H19,ShiftHours)))</f>
        <v/>
      </c>
    </row>
    <row r="20">
      <c r="A20" s="11" t="n"/>
      <c r="B20" s="12" t="n"/>
      <c r="C20" s="12" t="n"/>
      <c r="D20" s="12" t="n"/>
      <c r="E20" s="12" t="n"/>
      <c r="F20" s="12" t="n"/>
      <c r="G20" s="12" t="n"/>
      <c r="H20" s="12" t="n"/>
      <c r="I20" s="13" t="str">
        <f>IF(A20="","",COUNTA(B20:H20)-COUNTIF(B20:H20,"חופש")-COUNTIF(B20:H20,"מחלה"))</f>
        <v/>
      </c>
      <c r="J20" s="14" t="str">
        <f>IF(A20="","",SUMPRODUCT(SUMIF(ShiftNames,B20:H20,ShiftHours)))</f>
        <v/>
      </c>
    </row>
    <row r="21">
      <c r="A21" s="11" t="n"/>
      <c r="B21" s="12" t="n"/>
      <c r="C21" s="12" t="n"/>
      <c r="D21" s="12" t="n"/>
      <c r="E21" s="12" t="n"/>
      <c r="F21" s="12" t="n"/>
      <c r="G21" s="12" t="n"/>
      <c r="H21" s="12" t="n"/>
      <c r="I21" s="13" t="str">
        <f>IF(A21="","",COUNTA(B21:H21)-COUNTIF(B21:H21,"חופש")-COUNTIF(B21:H21,"מחלה"))</f>
        <v/>
      </c>
      <c r="J21" s="14" t="str">
        <f>IF(A21="","",SUMPRODUCT(SUMIF(ShiftNames,B21:H21,ShiftHours)))</f>
        <v/>
      </c>
    </row>
    <row r="22">
      <c r="A22" s="11" t="n"/>
      <c r="B22" s="12" t="n"/>
      <c r="C22" s="12" t="n"/>
      <c r="D22" s="12" t="n"/>
      <c r="E22" s="12" t="n"/>
      <c r="F22" s="12" t="n"/>
      <c r="G22" s="12" t="n"/>
      <c r="H22" s="12" t="n"/>
      <c r="I22" s="13" t="str">
        <f>IF(A22="","",COUNTA(B22:H22)-COUNTIF(B22:H22,"חופש")-COUNTIF(B22:H22,"מחלה"))</f>
        <v/>
      </c>
      <c r="J22" s="14" t="str">
        <f>IF(A22="","",SUMPRODUCT(SUMIF(ShiftNames,B22:H22,ShiftHours)))</f>
        <v/>
      </c>
    </row>
    <row r="23">
      <c r="A23" s="11" t="n"/>
      <c r="B23" s="12" t="n"/>
      <c r="C23" s="12" t="n"/>
      <c r="D23" s="12" t="n"/>
      <c r="E23" s="12" t="n"/>
      <c r="F23" s="12" t="n"/>
      <c r="G23" s="12" t="n"/>
      <c r="H23" s="12" t="n"/>
      <c r="I23" s="13" t="str">
        <f>IF(A23="","",COUNTA(B23:H23)-COUNTIF(B23:H23,"חופש")-COUNTIF(B23:H23,"מחלה"))</f>
        <v/>
      </c>
      <c r="J23" s="14" t="str">
        <f>IF(A23="","",SUMPRODUCT(SUMIF(ShiftNames,B23:H23,ShiftHours)))</f>
        <v/>
      </c>
    </row>
    <row r="24">
      <c r="A24" s="11" t="n"/>
      <c r="B24" s="12" t="n"/>
      <c r="C24" s="12" t="n"/>
      <c r="D24" s="12" t="n"/>
      <c r="E24" s="12" t="n"/>
      <c r="F24" s="12" t="n"/>
      <c r="G24" s="12" t="n"/>
      <c r="H24" s="12" t="n"/>
      <c r="I24" s="13" t="str">
        <f>IF(A24="","",COUNTA(B24:H24)-COUNTIF(B24:H24,"חופש")-COUNTIF(B24:H24,"מחלה"))</f>
        <v/>
      </c>
      <c r="J24" s="14" t="str">
        <f>IF(A24="","",SUMPRODUCT(SUMIF(ShiftNames,B24:H24,ShiftHours)))</f>
        <v/>
      </c>
    </row>
    <row r="25">
      <c r="A25" s="11" t="n"/>
      <c r="B25" s="12" t="n"/>
      <c r="C25" s="12" t="n"/>
      <c r="D25" s="12" t="n"/>
      <c r="E25" s="12" t="n"/>
      <c r="F25" s="12" t="n"/>
      <c r="G25" s="12" t="n"/>
      <c r="H25" s="12" t="n"/>
      <c r="I25" s="13" t="str">
        <f>IF(A25="","",COUNTA(B25:H25)-COUNTIF(B25:H25,"חופש")-COUNTIF(B25:H25,"מחלה"))</f>
        <v/>
      </c>
      <c r="J25" s="14" t="str">
        <f>IF(A25="","",SUMPRODUCT(SUMIF(ShiftNames,B25:H25,ShiftHours)))</f>
        <v/>
      </c>
    </row>
    <row r="26">
      <c r="A26" s="11" t="n"/>
      <c r="B26" s="12" t="n"/>
      <c r="C26" s="12" t="n"/>
      <c r="D26" s="12" t="n"/>
      <c r="E26" s="12" t="n"/>
      <c r="F26" s="12" t="n"/>
      <c r="G26" s="12" t="n"/>
      <c r="H26" s="12" t="n"/>
      <c r="I26" s="13" t="str">
        <f>IF(A26="","",COUNTA(B26:H26)-COUNTIF(B26:H26,"חופש")-COUNTIF(B26:H26,"מחלה"))</f>
        <v/>
      </c>
      <c r="J26" s="14" t="str">
        <f>IF(A26="","",SUMPRODUCT(SUMIF(ShiftNames,B26:H26,ShiftHours)))</f>
        <v/>
      </c>
    </row>
    <row r="27">
      <c r="A27" s="11" t="n"/>
      <c r="B27" s="12" t="n"/>
      <c r="C27" s="12" t="n"/>
      <c r="D27" s="12" t="n"/>
      <c r="E27" s="12" t="n"/>
      <c r="F27" s="12" t="n"/>
      <c r="G27" s="12" t="n"/>
      <c r="H27" s="12" t="n"/>
      <c r="I27" s="13" t="str">
        <f>IF(A27="","",COUNTA(B27:H27)-COUNTIF(B27:H27,"חופש")-COUNTIF(B27:H27,"מחלה"))</f>
        <v/>
      </c>
      <c r="J27" s="14" t="str">
        <f>IF(A27="","",SUMPRODUCT(SUMIF(ShiftNames,B27:H27,ShiftHours)))</f>
        <v/>
      </c>
    </row>
    <row r="29">
      <c r="A29" s="15" t="inlineStr">
        <is>
          <t>כמה עובדים בכל משמרת</t>
        </is>
      </c>
    </row>
    <row r="30">
      <c r="A30" s="16" t="inlineStr">
        <is>
          <t>בוקר</t>
        </is>
      </c>
      <c r="B30" s="13">
        <f>COUNTIF(B$8:B$27,"בוקר")</f>
        <v>1</v>
      </c>
      <c r="C30" s="13">
        <f>COUNTIF(C$8:C$27,"בוקר")</f>
        <v>1</v>
      </c>
      <c r="D30" s="13">
        <f>COUNTIF(D$8:D$27,"בוקר")</f>
        <v>1</v>
      </c>
      <c r="E30" s="13">
        <f>COUNTIF(E$8:E$27,"בוקר")</f>
        <v>1</v>
      </c>
      <c r="F30" s="13">
        <f>COUNTIF(F$8:F$27,"בוקר")</f>
        <v>1</v>
      </c>
      <c r="G30" s="13">
        <f>COUNTIF(G$8:G$27,"בוקר")</f>
        <v>1</v>
      </c>
      <c r="H30" s="13">
        <f>COUNTIF(H$8:H$27,"בוקר")</f>
        <v>1</v>
      </c>
    </row>
    <row r="31">
      <c r="A31" s="17" t="inlineStr">
        <is>
          <t>צהריים</t>
        </is>
      </c>
      <c r="B31" s="13">
        <f>COUNTIF(B$8:B$27,"צהריים")</f>
        <v>1</v>
      </c>
      <c r="C31" s="13">
        <f>COUNTIF(C$8:C$27,"צהריים")</f>
        <v>1</v>
      </c>
      <c r="D31" s="13">
        <f>COUNTIF(D$8:D$27,"צהריים")</f>
        <v>1</v>
      </c>
      <c r="E31" s="13">
        <f>COUNTIF(E$8:E$27,"צהריים")</f>
        <v>1</v>
      </c>
      <c r="F31" s="13">
        <f>COUNTIF(F$8:F$27,"צהריים")</f>
        <v>1</v>
      </c>
      <c r="G31" s="13">
        <f>COUNTIF(G$8:G$27,"צהריים")</f>
        <v>1</v>
      </c>
      <c r="H31" s="13">
        <f>COUNTIF(H$8:H$27,"צהריים")</f>
        <v>0</v>
      </c>
    </row>
    <row r="32">
      <c r="A32" s="18" t="inlineStr">
        <is>
          <t>ערב</t>
        </is>
      </c>
      <c r="B32" s="13">
        <f>COUNTIF(B$8:B$27,"ערב")</f>
        <v>1</v>
      </c>
      <c r="C32" s="13">
        <f>COUNTIF(C$8:C$27,"ערב")</f>
        <v>1</v>
      </c>
      <c r="D32" s="13">
        <f>COUNTIF(D$8:D$27,"ערב")</f>
        <v>1</v>
      </c>
      <c r="E32" s="13">
        <f>COUNTIF(E$8:E$27,"ערב")</f>
        <v>1</v>
      </c>
      <c r="F32" s="13">
        <f>COUNTIF(F$8:F$27,"ערב")</f>
        <v>1</v>
      </c>
      <c r="G32" s="13">
        <f>COUNTIF(G$8:G$27,"ערב")</f>
        <v>1</v>
      </c>
      <c r="H32" s="13">
        <f>COUNTIF(H$8:H$27,"ערב")</f>
        <v>1</v>
      </c>
    </row>
    <row r="33">
      <c r="A33" s="19" t="inlineStr">
        <is>
          <t>לילה</t>
        </is>
      </c>
      <c r="B33" s="13">
        <f>COUNTIF(B$8:B$27,"לילה")</f>
        <v>1</v>
      </c>
      <c r="C33" s="13">
        <f>COUNTIF(C$8:C$27,"לילה")</f>
        <v>1</v>
      </c>
      <c r="D33" s="13">
        <f>COUNTIF(D$8:D$27,"לילה")</f>
        <v>1</v>
      </c>
      <c r="E33" s="13">
        <f>COUNTIF(E$8:E$27,"לילה")</f>
        <v>0</v>
      </c>
      <c r="F33" s="13">
        <f>COUNTIF(F$8:F$27,"לילה")</f>
        <v>0</v>
      </c>
      <c r="G33" s="13">
        <f>COUNTIF(G$8:G$27,"לילה")</f>
        <v>0</v>
      </c>
      <c r="H33" s="13">
        <f>COUNTIF(H$8:H$27,"לילה")</f>
        <v>0</v>
      </c>
    </row>
  </sheetData>
  <mergeCells count="3">
    <mergeCell ref="A1:J1"/>
    <mergeCell ref="B4:C4"/>
    <mergeCell ref="A2:J2"/>
  </mergeCells>
  <conditionalFormatting sqref="B8:H27">
    <cfRule type="expression" priority="1" dxfId="0">
      <formula>B8="בוקר"</formula>
    </cfRule>
    <cfRule type="expression" priority="2" dxfId="1">
      <formula>B8="צהריים"</formula>
    </cfRule>
    <cfRule type="expression" priority="3" dxfId="2">
      <formula>B8="ערב"</formula>
    </cfRule>
    <cfRule type="expression" priority="4" dxfId="3">
      <formula>B8="לילה"</formula>
    </cfRule>
    <cfRule type="expression" priority="5" dxfId="4">
      <formula>B8="חופש"</formula>
    </cfRule>
    <cfRule type="expression" priority="6" dxfId="5">
      <formula>B8="מחלה"</formula>
    </cfRule>
  </conditionalFormatting>
  <dataValidations count="1">
    <dataValidation sqref="B8:H27" showDropDown="0" showInputMessage="0" showErrorMessage="0" allowBlank="1" errorTitle="ערך לא ברשימה" error="יש לבחור מהרשימה (אפשר לערוך אותה בגיליון הרשימות)" type="list" errorStyle="warning">
      <formula1>=ShiftNames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rightToLeft="1" zoomScale="100"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 ht="34" customHeight="1">
      <c r="A1" s="1" t="inlineStr">
        <is>
          <t>סוגי משמרות</t>
        </is>
      </c>
      <c r="B1" s="2" t="n"/>
    </row>
    <row r="2" ht="30" customHeight="1">
      <c r="A2" s="3" t="inlineStr">
        <is>
          <t>אפשר לשנות שם ומספר שעות לכל משמרת.</t>
        </is>
      </c>
    </row>
    <row r="4" ht="32" customHeight="1">
      <c r="A4" s="7" t="inlineStr">
        <is>
          <t>משמרת</t>
        </is>
      </c>
      <c r="B4" s="7" t="inlineStr">
        <is>
          <t>שעות</t>
        </is>
      </c>
    </row>
    <row r="5">
      <c r="A5" s="11" t="inlineStr">
        <is>
          <t>בוקר</t>
        </is>
      </c>
      <c r="B5" s="20" t="n">
        <v>8</v>
      </c>
    </row>
    <row r="6">
      <c r="A6" s="11" t="inlineStr">
        <is>
          <t>צהריים</t>
        </is>
      </c>
      <c r="B6" s="20" t="n">
        <v>6</v>
      </c>
    </row>
    <row r="7">
      <c r="A7" s="11" t="inlineStr">
        <is>
          <t>ערב</t>
        </is>
      </c>
      <c r="B7" s="20" t="n">
        <v>8</v>
      </c>
    </row>
    <row r="8">
      <c r="A8" s="11" t="inlineStr">
        <is>
          <t>לילה</t>
        </is>
      </c>
      <c r="B8" s="20" t="n">
        <v>8</v>
      </c>
    </row>
    <row r="9">
      <c r="A9" s="11" t="inlineStr">
        <is>
          <t>חופש</t>
        </is>
      </c>
      <c r="B9" s="20" t="n">
        <v>0</v>
      </c>
    </row>
    <row r="10">
      <c r="A10" s="11" t="inlineStr">
        <is>
          <t>מחלה</t>
        </is>
      </c>
      <c r="B10" s="20" t="n">
        <v>0</v>
      </c>
    </row>
    <row r="11">
      <c r="A11" s="11" t="n"/>
      <c r="B11" s="21" t="n"/>
    </row>
    <row r="12">
      <c r="A12" s="11" t="n"/>
      <c r="B12" s="21" t="n"/>
    </row>
    <row r="13">
      <c r="A13" s="11" t="n"/>
      <c r="B13" s="21" t="n"/>
    </row>
    <row r="14">
      <c r="A14" s="11" t="n"/>
      <c r="B14" s="21" t="n"/>
    </row>
    <row r="15">
      <c r="A15" s="11" t="n"/>
      <c r="B15" s="21" t="n"/>
    </row>
    <row r="16">
      <c r="A16" s="11" t="n"/>
      <c r="B16" s="21" t="n"/>
    </row>
  </sheetData>
  <mergeCells count="2">
    <mergeCell ref="A2:B2"/>
    <mergeCell ref="A1:B1"/>
  </mergeCells>
  <printOptions horizontalCentered="1"/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2026-10-13T06:02:09Z</dcterms:created>
  <dcterms:modified xmlns:dcterms="http://purl.org/dc/terms/" xmlns:xsi="http://www.w3.org/2001/XMLSchema-instance" xsi:type="dcterms:W3CDTF">2026-10-13T06:02:09Z</dcterms:modified>
</cp:coreProperties>
</file>