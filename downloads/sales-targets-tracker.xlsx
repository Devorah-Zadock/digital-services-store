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כירות ויעד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₪&quot;;[Red]-#,##0 &quot;₪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FFFFFF"/>
      <sz val="11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right" vertical="center" readingOrder="2"/>
    </xf>
    <xf numFmtId="0" fontId="0" fillId="2" borderId="0" pivotButton="0" quotePrefix="0" xfId="0"/>
    <xf numFmtId="0" fontId="2" fillId="0" borderId="0" applyAlignment="1" pivotButton="0" quotePrefix="0" xfId="0">
      <alignment horizontal="right" vertical="center" wrapText="1" readingOrder="2"/>
    </xf>
    <xf numFmtId="0" fontId="3" fillId="0" borderId="1" applyAlignment="1" pivotButton="0" quotePrefix="0" xfId="0">
      <alignment horizontal="right" vertical="center" readingOrder="2"/>
    </xf>
    <xf numFmtId="1" fontId="4" fillId="3" borderId="1" applyAlignment="1" pivotButton="0" quotePrefix="0" xfId="0">
      <alignment vertical="center" readingOrder="2"/>
    </xf>
    <xf numFmtId="0" fontId="5" fillId="2" borderId="1" applyAlignment="1" pivotButton="0" quotePrefix="0" xfId="0">
      <alignment horizontal="center" vertical="center" wrapText="1" readingOrder="2"/>
    </xf>
    <xf numFmtId="164" fontId="4" fillId="3" borderId="1" applyAlignment="1" pivotButton="0" quotePrefix="0" xfId="0">
      <alignment vertical="center" readingOrder="2"/>
    </xf>
    <xf numFmtId="9" fontId="6" fillId="0" borderId="1" applyAlignment="1" pivotButton="0" quotePrefix="0" xfId="0">
      <alignment horizontal="center" vertical="center" readingOrder="2"/>
    </xf>
    <xf numFmtId="164" fontId="6" fillId="0" borderId="1" applyAlignment="1" pivotButton="0" quotePrefix="0" xfId="0">
      <alignment vertical="center" readingOrder="2"/>
    </xf>
    <xf numFmtId="164" fontId="4" fillId="3" borderId="1" applyAlignment="1" pivotButton="0" quotePrefix="0" xfId="0">
      <alignment horizontal="right" vertical="center" readingOrder="2"/>
    </xf>
    <xf numFmtId="0" fontId="3" fillId="4" borderId="1" applyAlignment="1" pivotButton="0" quotePrefix="0" xfId="0">
      <alignment horizontal="right" vertical="center" readingOrder="2"/>
    </xf>
    <xf numFmtId="164" fontId="3" fillId="4" borderId="1" applyAlignment="1" pivotButton="0" quotePrefix="0" xfId="0">
      <alignment vertical="center" readingOrder="2"/>
    </xf>
    <xf numFmtId="9" fontId="3" fillId="4" borderId="1" applyAlignment="1" pivotButton="0" quotePrefix="0" xfId="0">
      <alignment vertical="center" readingOrder="2"/>
    </xf>
    <xf numFmtId="3" fontId="6" fillId="0" borderId="1" applyAlignment="1" pivotButton="0" quotePrefix="0" xfId="0">
      <alignment vertical="center" readingOrder="2"/>
    </xf>
  </cellXfs>
  <cellStyles count="1">
    <cellStyle name="Normal" xfId="0" builtinId="0" hidden="0"/>
  </cellStyles>
  <dxfs count="2"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יעד מול בפועל</a:t>
            </a:r>
          </a:p>
        </rich>
      </tx>
    </title>
    <plotArea>
      <barChart>
        <barDir val="col"/>
        <grouping val="clustered"/>
        <ser>
          <idx val="0"/>
          <order val="0"/>
          <tx>
            <v>יעד</v>
          </tx>
          <spPr>
            <a:ln xmlns:a="http://schemas.openxmlformats.org/drawingml/2006/main">
              <a:prstDash val="solid"/>
            </a:ln>
          </spPr>
          <cat>
            <numRef>
              <f>'מכירות ויעדים'!$A$7:$A$18</f>
            </numRef>
          </cat>
          <val>
            <numRef>
              <f>'מכירות ויעדים'!$B$7:$B$18</f>
            </numRef>
          </val>
        </ser>
        <ser>
          <idx val="1"/>
          <order val="1"/>
          <tx>
            <v>בפועל</v>
          </tx>
          <spPr>
            <a:ln xmlns:a="http://schemas.openxmlformats.org/drawingml/2006/main">
              <a:prstDash val="solid"/>
            </a:ln>
          </spPr>
          <cat>
            <numRef>
              <f>'מכירות ויעדים'!$A$7:$A$18</f>
            </numRef>
          </cat>
          <val>
            <numRef>
              <f>'מכירות ויעדים'!$C$7:$C$18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5</row>
      <rowOff>0</rowOff>
    </from>
    <ext cx="72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rightToLeft="1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2" customWidth="1" min="4" max="4"/>
    <col width="15" customWidth="1" min="5" max="5"/>
    <col width="16" customWidth="1" min="6" max="6"/>
    <col width="16" customWidth="1" min="7" max="7"/>
    <col width="12" customWidth="1" min="8" max="8"/>
  </cols>
  <sheetData>
    <row r="1" ht="34" customHeight="1">
      <c r="A1" s="1" t="inlineStr">
        <is>
          <t>מכירות מול יעדים — שנה שלמה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3" t="inlineStr">
        <is>
          <t>ממלאים יעד לכל חודש, ובסוף החודש את המכירות בפועל. אחוז העמידה ביעד, הפער והמצטבר מחושבים לבד: ירוק = עמדתם ביעד, אדום = פחות מ־80%.</t>
        </is>
      </c>
    </row>
    <row r="4">
      <c r="A4" s="4" t="inlineStr">
        <is>
          <t>שנה:</t>
        </is>
      </c>
      <c r="B4" s="5" t="n">
        <v>2027</v>
      </c>
    </row>
    <row r="6" ht="32" customHeight="1">
      <c r="A6" s="6" t="inlineStr">
        <is>
          <t>חודש</t>
        </is>
      </c>
      <c r="B6" s="6" t="inlineStr">
        <is>
          <t>יעד (₪)</t>
        </is>
      </c>
      <c r="C6" s="6" t="inlineStr">
        <is>
          <t>בפועל (₪)</t>
        </is>
      </c>
      <c r="D6" s="6" t="inlineStr">
        <is>
          <t>% עמידה</t>
        </is>
      </c>
      <c r="E6" s="6" t="inlineStr">
        <is>
          <t>פער (₪)</t>
        </is>
      </c>
      <c r="F6" s="6" t="inlineStr">
        <is>
          <t>יעד מצטבר (₪)</t>
        </is>
      </c>
      <c r="G6" s="6" t="inlineStr">
        <is>
          <t>בפועל מצטבר (₪)</t>
        </is>
      </c>
      <c r="H6" s="6" t="inlineStr">
        <is>
          <t>% מצטבר</t>
        </is>
      </c>
    </row>
    <row r="7">
      <c r="A7" s="4" t="inlineStr">
        <is>
          <t>ינואר</t>
        </is>
      </c>
      <c r="B7" s="7" t="n">
        <v>30000</v>
      </c>
      <c r="C7" s="7" t="n">
        <v>28000</v>
      </c>
      <c r="D7" s="8">
        <f>IF(OR(B7="",C7="",B7=0),"",C7/B7)</f>
        <v>0.933333333333333</v>
      </c>
      <c r="E7" s="9">
        <f>IF(OR(B7="",C7=""),"",C7-B7)</f>
        <v>-2000</v>
      </c>
      <c r="F7" s="9">
        <f>IF(C7="","",SUM($B$7:B7))</f>
        <v>30000</v>
      </c>
      <c r="G7" s="9">
        <f>IF(C7="","",SUM($C$7:C7))</f>
        <v>28000</v>
      </c>
      <c r="H7" s="8">
        <f>IF(OR(F7="",F7=0),"",G7/F7)</f>
        <v>0.933333333333333</v>
      </c>
    </row>
    <row r="8">
      <c r="A8" s="4" t="inlineStr">
        <is>
          <t>פברואר</t>
        </is>
      </c>
      <c r="B8" s="7" t="n">
        <v>30000</v>
      </c>
      <c r="C8" s="7" t="n">
        <v>31500</v>
      </c>
      <c r="D8" s="8">
        <f>IF(OR(B8="",C8="",B8=0),"",C8/B8)</f>
        <v>1.05</v>
      </c>
      <c r="E8" s="9">
        <f>IF(OR(B8="",C8=""),"",C8-B8)</f>
        <v>1500</v>
      </c>
      <c r="F8" s="9">
        <f>IF(C8="","",SUM($B$7:B8))</f>
        <v>60000</v>
      </c>
      <c r="G8" s="9">
        <f>IF(C8="","",SUM($C$7:C8))</f>
        <v>59500</v>
      </c>
      <c r="H8" s="8">
        <f>IF(OR(F8="",F8=0),"",G8/F8)</f>
        <v>0.991666666666667</v>
      </c>
    </row>
    <row r="9">
      <c r="A9" s="4" t="inlineStr">
        <is>
          <t>מרץ</t>
        </is>
      </c>
      <c r="B9" s="7" t="n">
        <v>35000</v>
      </c>
      <c r="C9" s="7" t="n">
        <v>33000</v>
      </c>
      <c r="D9" s="8">
        <f>IF(OR(B9="",C9="",B9=0),"",C9/B9)</f>
        <v>0.942857142857143</v>
      </c>
      <c r="E9" s="9">
        <f>IF(OR(B9="",C9=""),"",C9-B9)</f>
        <v>-2000</v>
      </c>
      <c r="F9" s="9">
        <f>IF(C9="","",SUM($B$7:B9))</f>
        <v>95000</v>
      </c>
      <c r="G9" s="9">
        <f>IF(C9="","",SUM($C$7:C9))</f>
        <v>92500</v>
      </c>
      <c r="H9" s="8">
        <f>IF(OR(F9="",F9=0),"",G9/F9)</f>
        <v>0.973684210526316</v>
      </c>
    </row>
    <row r="10">
      <c r="A10" s="4" t="inlineStr">
        <is>
          <t>אפריל</t>
        </is>
      </c>
      <c r="B10" s="7" t="n">
        <v>35000</v>
      </c>
      <c r="C10" s="7" t="n">
        <v>37500</v>
      </c>
      <c r="D10" s="8">
        <f>IF(OR(B10="",C10="",B10=0),"",C10/B10)</f>
        <v>1.07142857142857</v>
      </c>
      <c r="E10" s="9">
        <f>IF(OR(B10="",C10=""),"",C10-B10)</f>
        <v>2500</v>
      </c>
      <c r="F10" s="9">
        <f>IF(C10="","",SUM($B$7:B10))</f>
        <v>130000</v>
      </c>
      <c r="G10" s="9">
        <f>IF(C10="","",SUM($C$7:C10))</f>
        <v>130000</v>
      </c>
      <c r="H10" s="8">
        <f>IF(OR(F10="",F10=0),"",G10/F10)</f>
        <v>1</v>
      </c>
    </row>
    <row r="11">
      <c r="A11" s="4" t="inlineStr">
        <is>
          <t>מאי</t>
        </is>
      </c>
      <c r="B11" s="7" t="n">
        <v>40000</v>
      </c>
      <c r="C11" s="7" t="n">
        <v>39000</v>
      </c>
      <c r="D11" s="8">
        <f>IF(OR(B11="",C11="",B11=0),"",C11/B11)</f>
        <v>0.975</v>
      </c>
      <c r="E11" s="9">
        <f>IF(OR(B11="",C11=""),"",C11-B11)</f>
        <v>-1000</v>
      </c>
      <c r="F11" s="9">
        <f>IF(C11="","",SUM($B$7:B11))</f>
        <v>170000</v>
      </c>
      <c r="G11" s="9">
        <f>IF(C11="","",SUM($C$7:C11))</f>
        <v>169000</v>
      </c>
      <c r="H11" s="8">
        <f>IF(OR(F11="",F11=0),"",G11/F11)</f>
        <v>0.994117647058824</v>
      </c>
    </row>
    <row r="12">
      <c r="A12" s="4" t="inlineStr">
        <is>
          <t>יוני</t>
        </is>
      </c>
      <c r="B12" s="7" t="n">
        <v>40000</v>
      </c>
      <c r="C12" s="7" t="n">
        <v>44000</v>
      </c>
      <c r="D12" s="8">
        <f>IF(OR(B12="",C12="",B12=0),"",C12/B12)</f>
        <v>1.1</v>
      </c>
      <c r="E12" s="9">
        <f>IF(OR(B12="",C12=""),"",C12-B12)</f>
        <v>4000</v>
      </c>
      <c r="F12" s="9">
        <f>IF(C12="","",SUM($B$7:B12))</f>
        <v>210000</v>
      </c>
      <c r="G12" s="9">
        <f>IF(C12="","",SUM($C$7:C12))</f>
        <v>213000</v>
      </c>
      <c r="H12" s="8">
        <f>IF(OR(F12="",F12=0),"",G12/F12)</f>
        <v>1.01428571428571</v>
      </c>
    </row>
    <row r="13">
      <c r="A13" s="4" t="inlineStr">
        <is>
          <t>יולי</t>
        </is>
      </c>
      <c r="B13" s="7" t="n">
        <v>40000</v>
      </c>
      <c r="C13" s="10" t="n"/>
      <c r="D13" s="8" t="str">
        <f>IF(OR(B13="",C13="",B13=0),"",C13/B13)</f>
        <v/>
      </c>
      <c r="E13" s="9" t="str">
        <f>IF(OR(B13="",C13=""),"",C13-B13)</f>
        <v/>
      </c>
      <c r="F13" s="9" t="str">
        <f>IF(C13="","",SUM($B$7:B13))</f>
        <v/>
      </c>
      <c r="G13" s="9" t="str">
        <f>IF(C13="","",SUM($C$7:C13))</f>
        <v/>
      </c>
      <c r="H13" s="8" t="str">
        <f>IF(OR(F13="",F13=0),"",G13/F13)</f>
        <v/>
      </c>
    </row>
    <row r="14">
      <c r="A14" s="4" t="inlineStr">
        <is>
          <t>אוגוסט</t>
        </is>
      </c>
      <c r="B14" s="7" t="n">
        <v>38000</v>
      </c>
      <c r="C14" s="10" t="n"/>
      <c r="D14" s="8" t="str">
        <f>IF(OR(B14="",C14="",B14=0),"",C14/B14)</f>
        <v/>
      </c>
      <c r="E14" s="9" t="str">
        <f>IF(OR(B14="",C14=""),"",C14-B14)</f>
        <v/>
      </c>
      <c r="F14" s="9" t="str">
        <f>IF(C14="","",SUM($B$7:B14))</f>
        <v/>
      </c>
      <c r="G14" s="9" t="str">
        <f>IF(C14="","",SUM($C$7:C14))</f>
        <v/>
      </c>
      <c r="H14" s="8" t="str">
        <f>IF(OR(F14="",F14=0),"",G14/F14)</f>
        <v/>
      </c>
    </row>
    <row r="15">
      <c r="A15" s="4" t="inlineStr">
        <is>
          <t>ספטמבר</t>
        </is>
      </c>
      <c r="B15" s="7" t="n">
        <v>42000</v>
      </c>
      <c r="C15" s="10" t="n"/>
      <c r="D15" s="8" t="str">
        <f>IF(OR(B15="",C15="",B15=0),"",C15/B15)</f>
        <v/>
      </c>
      <c r="E15" s="9" t="str">
        <f>IF(OR(B15="",C15=""),"",C15-B15)</f>
        <v/>
      </c>
      <c r="F15" s="9" t="str">
        <f>IF(C15="","",SUM($B$7:B15))</f>
        <v/>
      </c>
      <c r="G15" s="9" t="str">
        <f>IF(C15="","",SUM($C$7:C15))</f>
        <v/>
      </c>
      <c r="H15" s="8" t="str">
        <f>IF(OR(F15="",F15=0),"",G15/F15)</f>
        <v/>
      </c>
    </row>
    <row r="16">
      <c r="A16" s="4" t="inlineStr">
        <is>
          <t>אוקטובר</t>
        </is>
      </c>
      <c r="B16" s="7" t="n">
        <v>45000</v>
      </c>
      <c r="C16" s="10" t="n"/>
      <c r="D16" s="8" t="str">
        <f>IF(OR(B16="",C16="",B16=0),"",C16/B16)</f>
        <v/>
      </c>
      <c r="E16" s="9" t="str">
        <f>IF(OR(B16="",C16=""),"",C16-B16)</f>
        <v/>
      </c>
      <c r="F16" s="9" t="str">
        <f>IF(C16="","",SUM($B$7:B16))</f>
        <v/>
      </c>
      <c r="G16" s="9" t="str">
        <f>IF(C16="","",SUM($C$7:C16))</f>
        <v/>
      </c>
      <c r="H16" s="8" t="str">
        <f>IF(OR(F16="",F16=0),"",G16/F16)</f>
        <v/>
      </c>
    </row>
    <row r="17">
      <c r="A17" s="4" t="inlineStr">
        <is>
          <t>נובמבר</t>
        </is>
      </c>
      <c r="B17" s="7" t="n">
        <v>45000</v>
      </c>
      <c r="C17" s="10" t="n"/>
      <c r="D17" s="8" t="str">
        <f>IF(OR(B17="",C17="",B17=0),"",C17/B17)</f>
        <v/>
      </c>
      <c r="E17" s="9" t="str">
        <f>IF(OR(B17="",C17=""),"",C17-B17)</f>
        <v/>
      </c>
      <c r="F17" s="9" t="str">
        <f>IF(C17="","",SUM($B$7:B17))</f>
        <v/>
      </c>
      <c r="G17" s="9" t="str">
        <f>IF(C17="","",SUM($C$7:C17))</f>
        <v/>
      </c>
      <c r="H17" s="8" t="str">
        <f>IF(OR(F17="",F17=0),"",G17/F17)</f>
        <v/>
      </c>
    </row>
    <row r="18">
      <c r="A18" s="4" t="inlineStr">
        <is>
          <t>דצמבר</t>
        </is>
      </c>
      <c r="B18" s="7" t="n">
        <v>50000</v>
      </c>
      <c r="C18" s="10" t="n"/>
      <c r="D18" s="8" t="str">
        <f>IF(OR(B18="",C18="",B18=0),"",C18/B18)</f>
        <v/>
      </c>
      <c r="E18" s="9" t="str">
        <f>IF(OR(B18="",C18=""),"",C18-B18)</f>
        <v/>
      </c>
      <c r="F18" s="9" t="str">
        <f>IF(C18="","",SUM($B$7:B18))</f>
        <v/>
      </c>
      <c r="G18" s="9" t="str">
        <f>IF(C18="","",SUM($C$7:C18))</f>
        <v/>
      </c>
      <c r="H18" s="8" t="str">
        <f>IF(OR(F18="",F18=0),"",G18/F18)</f>
        <v/>
      </c>
    </row>
    <row r="19">
      <c r="A19" s="11" t="inlineStr">
        <is>
          <t>סה״כ</t>
        </is>
      </c>
      <c r="B19" s="12">
        <f>SUM(B7:B18)</f>
        <v>470000</v>
      </c>
      <c r="C19" s="12">
        <f>SUM(C7:C18)</f>
        <v>213000</v>
      </c>
      <c r="D19" s="13">
        <f>IF(SUMIF(C7:C18,"&lt;&gt;",B7:B18)=0,"",C19/SUMIF(C7:C18,"&lt;&gt;",B7:B18))</f>
        <v>1.01428571428571</v>
      </c>
      <c r="E19" s="12">
        <f>C19-SUMIF(C7:C18,"&lt;&gt;",B7:B18)</f>
        <v>3000</v>
      </c>
    </row>
    <row r="21">
      <c r="A21" s="4" t="inlineStr">
        <is>
          <t>חודשים שעמדו ביעד</t>
        </is>
      </c>
      <c r="C21" s="14">
        <f>COUNTIF(D7:D18,"&gt;=1")</f>
        <v>3</v>
      </c>
    </row>
    <row r="22">
      <c r="A22" s="4" t="inlineStr">
        <is>
          <t>כמה חסר ליעד השנתי</t>
        </is>
      </c>
      <c r="C22" s="9">
        <f>MAX(0,B19-C19)</f>
        <v>257000</v>
      </c>
    </row>
  </sheetData>
  <mergeCells count="2">
    <mergeCell ref="A2:H2"/>
    <mergeCell ref="A1:H1"/>
  </mergeCells>
  <conditionalFormatting sqref="D7:D19">
    <cfRule type="expression" priority="1" dxfId="0">
      <formula>AND(ISNUMBER(D7),D7&gt;=1)</formula>
    </cfRule>
    <cfRule type="expression" priority="2" dxfId="1">
      <formula>AND(ISNUMBER(D7),D7&lt;0.8)</formula>
    </cfRule>
  </conditionalFormatting>
  <conditionalFormatting sqref="H7:H18">
    <cfRule type="expression" priority="3" dxfId="0">
      <formula>AND(ISNUMBER(H7),H7&gt;=1)</formula>
    </cfRule>
    <cfRule type="expression" priority="4" dxfId="1">
      <formula>AND(ISNUMBER(H7),H7&lt;0.8)</formula>
    </cfRule>
  </conditionalFormatting>
  <conditionalFormatting sqref="E7:E19">
    <cfRule type="cellIs" priority="5" operator="lessThan" dxfId="1">
      <formula>0</formula>
    </cfRule>
  </conditionalFormatting>
  <printOptions horizontalCentered="1"/>
  <pageMargins left="0.4" right="0.4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2026-10-13T06:02:03Z</dcterms:created>
  <dcterms:modified xmlns:dcterms="http://purl.org/dc/terms/" xmlns:xsi="http://www.w3.org/2001/XMLSchema-instance" xsi:type="dcterms:W3CDTF">2026-10-13T06:02:03Z</dcterms:modified>
</cp:coreProperties>
</file>