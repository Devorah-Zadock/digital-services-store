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מכירות ויעדים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<sst xmlns="http://schemas.openxmlformats.org/spreadsheetml/2006/main" count="17" uniqueCount="17">
  <si>
    <t xml:space="preserve">מעקב מכירות מול יעדים</t>
  </si>
  <si>
    <t xml:space="preserve">מלאו את התאים הצהובים (יעד מכירות ומכירות בפועל לכל חודש) — האחוזים, הפערים והמצטבר מתעדכנים אוטומטית.</t>
  </si>
  <si>
    <t xml:space="preserve">חודש</t>
  </si>
  <si>
    <t xml:space="preserve">יעד מכירות (₪)</t>
  </si>
  <si>
    <t xml:space="preserve">מכירות בפועל (₪)</t>
  </si>
  <si>
    <t xml:space="preserve">אחוז השגה</t>
  </si>
  <si>
    <t xml:space="preserve">פער (₪)</t>
  </si>
  <si>
    <t xml:space="preserve">מצטבר בפועל (₪)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</si>
  <si>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</si>
  <si>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</si>
  <si>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</si>
  <si>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</si>
  <si>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</si>
  <si>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</si>
  <si>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סיכום</t>
  </si>
  <si>
    <t xml:space="preserve">סה"כ יעד מול סה"כ בפועל (תקופה)</t>
  </si>
  <si>
    <t xml:space="preserve">חודשים שעמדו ביעד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</si>
</sst>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₪&quot;"/>
    <numFmt numFmtId="166" formatCode="0.0%"/>
    <numFmt numFmtId="167" formatCode="#,##0&quot; ₪&quot;;\(#,##0&quot; ₪)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22222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1F5C4E"/>
      <name val="Arial"/>
      <family val="0"/>
      <charset val="1"/>
    </font>
    <font>
      <b val="true"/>
      <sz val="11"/>
      <color rgb="FF22222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5C4E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C99A3B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C4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9A3B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6"/>
    <col collapsed="false" customWidth="true" hidden="false" outlineLevel="0" max="5" min="4" style="0" width="14"/>
    <col collapsed="false" customWidth="true" hidden="false" outlineLevel="0" max="6" min="6" style="0" width="18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2.6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v>30000</v>
      </c>
      <c r="C5" s="5" t="n">
        <v>28000</v>
      </c>
      <c r="D5" s="6" t="n">
        <f aca="false">C5/B5</f>
        <v>0.933333333333333</v>
      </c>
      <c r="E5" s="7" t="n">
        <f aca="false">C5-B5</f>
        <v>-2000</v>
      </c>
      <c r="F5" s="8" t="n">
        <f aca="false">C5</f>
        <v>28000</v>
      </c>
    </row>
    <row r="6" customFormat="false" ht="15" hidden="false" customHeight="false" outlineLevel="0" collapsed="false">
      <c r="A6" s="4" t="s">
        <v>9</v>
      </c>
      <c r="B6" s="5" t="n">
        <v>30000</v>
      </c>
      <c r="C6" s="5" t="n">
        <v>31500</v>
      </c>
      <c r="D6" s="6" t="n">
        <f aca="false">C6/B6</f>
        <v>1.05</v>
      </c>
      <c r="E6" s="7" t="n">
        <f aca="false">C6-B6</f>
        <v>1500</v>
      </c>
      <c r="F6" s="8" t="n">
        <f aca="false">F5+C6</f>
        <v>59500</v>
      </c>
    </row>
    <row r="7" customFormat="false" ht="15" hidden="false" customHeight="false" outlineLevel="0" collapsed="false">
      <c r="A7" s="4" t="s">
        <v>10</v>
      </c>
      <c r="B7" s="5" t="n">
        <v>35000</v>
      </c>
      <c r="C7" s="5" t="n">
        <v>33000</v>
      </c>
      <c r="D7" s="6" t="n">
        <f aca="false">C7/B7</f>
        <v>0.942857142857143</v>
      </c>
      <c r="E7" s="7" t="n">
        <f aca="false">C7-B7</f>
        <v>-2000</v>
      </c>
      <c r="F7" s="8" t="n">
        <f aca="false">F6+C7</f>
        <v>92500</v>
      </c>
    </row>
    <row r="8" customFormat="false" ht="15" hidden="false" customHeight="false" outlineLevel="0" collapsed="false">
      <c r="A8" s="4" t="s">
        <v>11</v>
      </c>
      <c r="B8" s="5" t="n">
        <v>35000</v>
      </c>
      <c r="C8" s="5" t="n">
        <v>37500</v>
      </c>
      <c r="D8" s="6" t="n">
        <f aca="false">C8/B8</f>
        <v>1.07142857142857</v>
      </c>
      <c r="E8" s="7" t="n">
        <f aca="false">C8-B8</f>
        <v>2500</v>
      </c>
      <c r="F8" s="8" t="n">
        <f aca="false">F7+C8</f>
        <v>130000</v>
      </c>
    </row>
    <row r="9" customFormat="false" ht="15" hidden="false" customHeight="false" outlineLevel="0" collapsed="false">
      <c r="A9" s="4" t="s">
        <v>12</v>
      </c>
      <c r="B9" s="5" t="n">
        <v>40000</v>
      </c>
      <c r="C9" s="5" t="n">
        <v>39000</v>
      </c>
      <c r="D9" s="6" t="n">
        <f aca="false">C9/B9</f>
        <v>0.975</v>
      </c>
      <c r="E9" s="7" t="n">
        <f aca="false">C9-B9</f>
        <v>-1000</v>
      </c>
      <c r="F9" s="8" t="n">
        <f aca="false">F8+C9</f>
        <v>169000</v>
      </c>
    </row>
    <row r="10" customFormat="false" ht="15" hidden="false" customHeight="false" outlineLevel="0" collapsed="false">
      <c r="A10" s="4" t="s">
        <v>13</v>
      </c>
      <c r="B10" s="5" t="n">
        <v>40000</v>
      </c>
      <c r="C10" s="5" t="n">
        <v>44000</v>
      </c>
      <c r="D10" s="6" t="n">
        <f aca="false">C10/B10</f>
        <v>1.1</v>
      </c>
      <c r="E10" s="7" t="n">
        <f aca="false">C10-B10</f>
        <v>4000</v>
      </c>
      <c r="F10" s="8" t="n">
        <f aca="false">F9+C10</f>
        <v>213000</v>
      </c>
    </row>
    <row r="12" customFormat="false" ht="16.15" hidden="false" customHeight="false" outlineLevel="0" collapsed="false">
      <c r="A12" s="9" t="s">
        <v>14</v>
      </c>
    </row>
    <row r="13" customFormat="false" ht="15" hidden="false" customHeight="false" outlineLevel="0" collapsed="false">
      <c r="A13" s="10" t="s">
        <v>15</v>
      </c>
      <c r="B13" s="11" t="n">
        <f aca="false">SUM(B5:B10)</f>
        <v>210000</v>
      </c>
      <c r="C13" s="11" t="n">
        <f aca="false">SUM(C5:C10)</f>
        <v>213000</v>
      </c>
      <c r="D13" s="12" t="n">
        <f aca="false">C13/B13</f>
        <v>1.01428571428571</v>
      </c>
      <c r="E13" s="13"/>
      <c r="F13" s="13"/>
    </row>
    <row r="14" customFormat="false" ht="15" hidden="false" customHeight="false" outlineLevel="0" collapsed="false">
      <c r="A14" s="14" t="s">
        <v>16</v>
      </c>
      <c r="D14" s="14" t="n">
        <f aca="false">COUNTIF(E5:E10,"&gt;=0")</f>
        <v>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2026-09-14T13:01:53Z</dcterms:created>
  <dc:creator>openpyxl</dc:creator>
  <dc:description/>
  <dc:language>en-US</dc:language>
  <cp:lastModifiedBy/>
  <dcterms:modified xsi:type="dcterms:W3CDTF">2026-09-14T13:01:53Z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